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Jaleny\OneDrive\Desktop\Lux\"/>
    </mc:Choice>
  </mc:AlternateContent>
  <xr:revisionPtr revIDLastSave="0" documentId="13_ncr:1_{7D271A5E-CE40-442D-A980-F1B49EF78459}" xr6:coauthVersionLast="47" xr6:coauthVersionMax="47" xr10:uidLastSave="{00000000-0000-0000-0000-000000000000}"/>
  <bookViews>
    <workbookView xWindow="-110" yWindow="-110" windowWidth="19420" windowHeight="11020" firstSheet="8" activeTab="9" xr2:uid="{681730A7-1EAD-4FB6-AA44-58316D5802A4}"/>
  </bookViews>
  <sheets>
    <sheet name="Data" sheetId="2" r:id="rId1"/>
    <sheet name="Region Hierarchy " sheetId="3" r:id="rId2"/>
    <sheet name="Sales by Country &amp; Month" sheetId="4" r:id="rId3"/>
    <sheet name="SKUs by Revenue Within Each Cat" sheetId="7" r:id="rId4"/>
    <sheet name="Salesperson Productivity" sheetId="8" r:id="rId5"/>
    <sheet name="Salesperson Productivity2" sheetId="9" r:id="rId6"/>
    <sheet name="Channel Mix &amp; Cannibalization" sheetId="10" r:id="rId7"/>
    <sheet name="Service Level Proxy" sheetId="11" r:id="rId8"/>
    <sheet name="Price Compliance" sheetId="12" r:id="rId9"/>
    <sheet name="Dashboard" sheetId="14" r:id="rId10"/>
    <sheet name="Staging" sheetId="1" r:id="rId11"/>
  </sheets>
  <definedNames>
    <definedName name="ExternalData_1" localSheetId="0" hidden="1">Data!$A$1:$O$633</definedName>
    <definedName name="ExternalData_1" localSheetId="10" hidden="1">Staging!$A$1:$AC$229</definedName>
    <definedName name="Slicer_CustomerSegment">#N/A</definedName>
    <definedName name="Slicer_OrderQuarter">#N/A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1" l="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F5" i="8"/>
  <c r="F6" i="8"/>
  <c r="F7" i="8"/>
  <c r="F8" i="8"/>
  <c r="F9" i="8"/>
  <c r="F10" i="8"/>
  <c r="F11" i="8"/>
  <c r="F12" i="8"/>
  <c r="F13" i="8"/>
  <c r="F14" i="8"/>
  <c r="F15" i="8"/>
  <c r="F16" i="8"/>
  <c r="F17" i="8"/>
  <c r="F18" i="8"/>
  <c r="F19" i="8"/>
  <c r="F20" i="8"/>
  <c r="F4" i="8"/>
  <c r="E5" i="8"/>
  <c r="E6" i="8"/>
  <c r="E7" i="8"/>
  <c r="E8" i="8"/>
  <c r="E9" i="8"/>
  <c r="E10" i="8"/>
  <c r="E11" i="8"/>
  <c r="E12" i="8"/>
  <c r="E13" i="8"/>
  <c r="E14" i="8"/>
  <c r="E15" i="8"/>
  <c r="E16" i="8"/>
  <c r="E17" i="8"/>
  <c r="E18" i="8"/>
  <c r="E19" i="8"/>
  <c r="E20" i="8"/>
  <c r="E4" i="8"/>
  <c r="C4" i="7"/>
  <c r="Y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W2" i="1"/>
  <c r="V2" i="1" s="1" a="1"/>
  <c r="V2" i="1" s="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D3" i="1"/>
  <c r="D2"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D2" i="1"/>
  <c r="AI2" i="1" s="1"/>
  <c r="AD3" i="1"/>
  <c r="AF3" i="1" s="1"/>
  <c r="AD4" i="1"/>
  <c r="AF4" i="1" s="1"/>
  <c r="AD5" i="1"/>
  <c r="AF5" i="1" s="1"/>
  <c r="AD6" i="1"/>
  <c r="AD7" i="1"/>
  <c r="AF7" i="1" s="1"/>
  <c r="AD8" i="1"/>
  <c r="AF8" i="1" s="1"/>
  <c r="AD9" i="1"/>
  <c r="AF9" i="1" s="1"/>
  <c r="AD10" i="1"/>
  <c r="AD11" i="1"/>
  <c r="AI11" i="1" s="1"/>
  <c r="AD12" i="1"/>
  <c r="AF12" i="1" s="1"/>
  <c r="AD13" i="1"/>
  <c r="AF13" i="1" s="1"/>
  <c r="AD14" i="1"/>
  <c r="AD15" i="1"/>
  <c r="AF15" i="1" s="1"/>
  <c r="AD16" i="1"/>
  <c r="AF16" i="1" s="1"/>
  <c r="AD17" i="1"/>
  <c r="AF17" i="1" s="1"/>
  <c r="AD18" i="1"/>
  <c r="AD19" i="1"/>
  <c r="AI19" i="1" s="1"/>
  <c r="AD20" i="1"/>
  <c r="AD21" i="1"/>
  <c r="AF21" i="1" s="1"/>
  <c r="AD22" i="1"/>
  <c r="AD23" i="1"/>
  <c r="AF23" i="1" s="1"/>
  <c r="AD24" i="1"/>
  <c r="AF24" i="1" s="1"/>
  <c r="AD25" i="1"/>
  <c r="AF25" i="1" s="1"/>
  <c r="AD26" i="1"/>
  <c r="AD27" i="1"/>
  <c r="AF27" i="1" s="1"/>
  <c r="AD28" i="1"/>
  <c r="AF28" i="1" s="1"/>
  <c r="AD29" i="1"/>
  <c r="AF29" i="1" s="1"/>
  <c r="AD30" i="1"/>
  <c r="AD31" i="1"/>
  <c r="AF31" i="1" s="1"/>
  <c r="AD32" i="1"/>
  <c r="AF32" i="1" s="1"/>
  <c r="AD33" i="1"/>
  <c r="AF33" i="1" s="1"/>
  <c r="AD34" i="1"/>
  <c r="AD35" i="1"/>
  <c r="AI35" i="1" s="1"/>
  <c r="AD36" i="1"/>
  <c r="AD37" i="1"/>
  <c r="AF37" i="1" s="1"/>
  <c r="AD38" i="1"/>
  <c r="AD39" i="1"/>
  <c r="AF39" i="1" s="1"/>
  <c r="AD40" i="1"/>
  <c r="AF40" i="1" s="1"/>
  <c r="AD41" i="1"/>
  <c r="AF41" i="1" s="1"/>
  <c r="AD42" i="1"/>
  <c r="AD43" i="1"/>
  <c r="AF43" i="1" s="1"/>
  <c r="AD44" i="1"/>
  <c r="AF44" i="1" s="1"/>
  <c r="AD45" i="1"/>
  <c r="AF45" i="1" s="1"/>
  <c r="AD46" i="1"/>
  <c r="AD47" i="1"/>
  <c r="AF47" i="1" s="1"/>
  <c r="AD48" i="1"/>
  <c r="AF48" i="1" s="1"/>
  <c r="AD49" i="1"/>
  <c r="AF49" i="1" s="1"/>
  <c r="AD50" i="1"/>
  <c r="AD51" i="1"/>
  <c r="AI51" i="1" s="1"/>
  <c r="AD52" i="1"/>
  <c r="AD53" i="1"/>
  <c r="AF53" i="1" s="1"/>
  <c r="AD54" i="1"/>
  <c r="AD55" i="1"/>
  <c r="AF55" i="1" s="1"/>
  <c r="AD56" i="1"/>
  <c r="AF56" i="1" s="1"/>
  <c r="AD57" i="1"/>
  <c r="AF57" i="1" s="1"/>
  <c r="AD58" i="1"/>
  <c r="AD59" i="1"/>
  <c r="AF59" i="1" s="1"/>
  <c r="AD60" i="1"/>
  <c r="AF60" i="1" s="1"/>
  <c r="AD61" i="1"/>
  <c r="AF61" i="1" s="1"/>
  <c r="AD62" i="1"/>
  <c r="AD63" i="1"/>
  <c r="AF63" i="1" s="1"/>
  <c r="AD64" i="1"/>
  <c r="AF64" i="1" s="1"/>
  <c r="AD65" i="1"/>
  <c r="AF65" i="1" s="1"/>
  <c r="AD66" i="1"/>
  <c r="AD67" i="1"/>
  <c r="AI67" i="1" s="1"/>
  <c r="AD68" i="1"/>
  <c r="AD69" i="1"/>
  <c r="AF69" i="1" s="1"/>
  <c r="AD70" i="1"/>
  <c r="AD71" i="1"/>
  <c r="AF71" i="1" s="1"/>
  <c r="AD72" i="1"/>
  <c r="AF72" i="1" s="1"/>
  <c r="AD73" i="1"/>
  <c r="AF73" i="1" s="1"/>
  <c r="AD74" i="1"/>
  <c r="AD75" i="1"/>
  <c r="AI75" i="1" s="1"/>
  <c r="AD76" i="1"/>
  <c r="AF76" i="1" s="1"/>
  <c r="AD77" i="1"/>
  <c r="AF77" i="1" s="1"/>
  <c r="AD78" i="1"/>
  <c r="AD79" i="1"/>
  <c r="AF79" i="1" s="1"/>
  <c r="AD80" i="1"/>
  <c r="AF80" i="1" s="1"/>
  <c r="AD81" i="1"/>
  <c r="AF81" i="1" s="1"/>
  <c r="AD82" i="1"/>
  <c r="AD83" i="1"/>
  <c r="AI83" i="1" s="1"/>
  <c r="AD84" i="1"/>
  <c r="AD85" i="1"/>
  <c r="AF85" i="1" s="1"/>
  <c r="AD86" i="1"/>
  <c r="AD87" i="1"/>
  <c r="AF87" i="1" s="1"/>
  <c r="AD88" i="1"/>
  <c r="AF88" i="1" s="1"/>
  <c r="AD89" i="1"/>
  <c r="AF89" i="1" s="1"/>
  <c r="AD90" i="1"/>
  <c r="AD91" i="1"/>
  <c r="AF91" i="1" s="1"/>
  <c r="AD92" i="1"/>
  <c r="AF92" i="1" s="1"/>
  <c r="AD93" i="1"/>
  <c r="AF93" i="1" s="1"/>
  <c r="AD94" i="1"/>
  <c r="AD95" i="1"/>
  <c r="AF95" i="1" s="1"/>
  <c r="AD96" i="1"/>
  <c r="AF96" i="1" s="1"/>
  <c r="AD97" i="1"/>
  <c r="AF97" i="1" s="1"/>
  <c r="AD98" i="1"/>
  <c r="AD99" i="1"/>
  <c r="AI99" i="1" s="1"/>
  <c r="AD100" i="1"/>
  <c r="AD101" i="1"/>
  <c r="AF101" i="1" s="1"/>
  <c r="AD102" i="1"/>
  <c r="AD103" i="1"/>
  <c r="AF103" i="1" s="1"/>
  <c r="AD104" i="1"/>
  <c r="AF104" i="1" s="1"/>
  <c r="AD105" i="1"/>
  <c r="AF105" i="1" s="1"/>
  <c r="AD106" i="1"/>
  <c r="AD107" i="1"/>
  <c r="AF107" i="1" s="1"/>
  <c r="AD108" i="1"/>
  <c r="AF108" i="1" s="1"/>
  <c r="AD109" i="1"/>
  <c r="AF109" i="1" s="1"/>
  <c r="AD110" i="1"/>
  <c r="AD111" i="1"/>
  <c r="AF111" i="1" s="1"/>
  <c r="AD112" i="1"/>
  <c r="AF112" i="1" s="1"/>
  <c r="AD113" i="1"/>
  <c r="AF113" i="1" s="1"/>
  <c r="AD114" i="1"/>
  <c r="AD115" i="1"/>
  <c r="AI115" i="1" s="1"/>
  <c r="AD116" i="1"/>
  <c r="AD117" i="1"/>
  <c r="AF117" i="1" s="1"/>
  <c r="AD118" i="1"/>
  <c r="AI118" i="1" s="1"/>
  <c r="AD119" i="1"/>
  <c r="AF119" i="1" s="1"/>
  <c r="AD120" i="1"/>
  <c r="AF120" i="1" s="1"/>
  <c r="AD121" i="1"/>
  <c r="AF121" i="1" s="1"/>
  <c r="AD122" i="1"/>
  <c r="AI122" i="1" s="1"/>
  <c r="AD123" i="1"/>
  <c r="AF123" i="1" s="1"/>
  <c r="AD124" i="1"/>
  <c r="AF124" i="1" s="1"/>
  <c r="AD125" i="1"/>
  <c r="AF125" i="1" s="1"/>
  <c r="AD126" i="1"/>
  <c r="AI126" i="1" s="1"/>
  <c r="AD127" i="1"/>
  <c r="AI127" i="1" s="1"/>
  <c r="AD128" i="1"/>
  <c r="AF128" i="1" s="1"/>
  <c r="AD129" i="1"/>
  <c r="AF129" i="1" s="1"/>
  <c r="AD130" i="1"/>
  <c r="AI130" i="1" s="1"/>
  <c r="AD131" i="1"/>
  <c r="AI131" i="1" s="1"/>
  <c r="AD132" i="1"/>
  <c r="AD133" i="1"/>
  <c r="AF133" i="1" s="1"/>
  <c r="AD134" i="1"/>
  <c r="AI134" i="1" s="1"/>
  <c r="AD135" i="1"/>
  <c r="AF135" i="1" s="1"/>
  <c r="AD136" i="1"/>
  <c r="AF136" i="1" s="1"/>
  <c r="AD137" i="1"/>
  <c r="AF137" i="1" s="1"/>
  <c r="AD138" i="1"/>
  <c r="AI138" i="1" s="1"/>
  <c r="AD139" i="1"/>
  <c r="AF139" i="1" s="1"/>
  <c r="AD140" i="1"/>
  <c r="AF140" i="1" s="1"/>
  <c r="AD141" i="1"/>
  <c r="AF141" i="1" s="1"/>
  <c r="AD142" i="1"/>
  <c r="AI142" i="1" s="1"/>
  <c r="AD143" i="1"/>
  <c r="AI143" i="1" s="1"/>
  <c r="AD144" i="1"/>
  <c r="AF144" i="1" s="1"/>
  <c r="AD145" i="1"/>
  <c r="AF145" i="1" s="1"/>
  <c r="AD146" i="1"/>
  <c r="AI146" i="1" s="1"/>
  <c r="AD147" i="1"/>
  <c r="AI147" i="1" s="1"/>
  <c r="AD148" i="1"/>
  <c r="AD149" i="1"/>
  <c r="AF149" i="1" s="1"/>
  <c r="AD150" i="1"/>
  <c r="AI150" i="1" s="1"/>
  <c r="AD151" i="1"/>
  <c r="AF151" i="1" s="1"/>
  <c r="AD152" i="1"/>
  <c r="AF152" i="1" s="1"/>
  <c r="AD153" i="1"/>
  <c r="AF153" i="1" s="1"/>
  <c r="AD154" i="1"/>
  <c r="AI154" i="1" s="1"/>
  <c r="AD155" i="1"/>
  <c r="AF155" i="1" s="1"/>
  <c r="AD156" i="1"/>
  <c r="AF156" i="1" s="1"/>
  <c r="AD157" i="1"/>
  <c r="AF157" i="1" s="1"/>
  <c r="AD158" i="1"/>
  <c r="AI158" i="1" s="1"/>
  <c r="AD159" i="1"/>
  <c r="AI159" i="1" s="1"/>
  <c r="AD160" i="1"/>
  <c r="AF160" i="1" s="1"/>
  <c r="AD161" i="1"/>
  <c r="AF161" i="1" s="1"/>
  <c r="AD162" i="1"/>
  <c r="AF162" i="1" s="1"/>
  <c r="AD163" i="1"/>
  <c r="AI163" i="1" s="1"/>
  <c r="AD164" i="1"/>
  <c r="AD165" i="1"/>
  <c r="AF165" i="1" s="1"/>
  <c r="AD166" i="1"/>
  <c r="AF166" i="1" s="1"/>
  <c r="AD167" i="1"/>
  <c r="AF167" i="1" s="1"/>
  <c r="AD168" i="1"/>
  <c r="AF168" i="1" s="1"/>
  <c r="AD169" i="1"/>
  <c r="AF169" i="1" s="1"/>
  <c r="AD170" i="1"/>
  <c r="AF170" i="1" s="1"/>
  <c r="AD171" i="1"/>
  <c r="AF171" i="1" s="1"/>
  <c r="AD172" i="1"/>
  <c r="AF172" i="1" s="1"/>
  <c r="AD173" i="1"/>
  <c r="AF173" i="1" s="1"/>
  <c r="AD174" i="1"/>
  <c r="AF174" i="1" s="1"/>
  <c r="AD175" i="1"/>
  <c r="AI175" i="1" s="1"/>
  <c r="AD176" i="1"/>
  <c r="AF176" i="1" s="1"/>
  <c r="AD177" i="1"/>
  <c r="AF177" i="1" s="1"/>
  <c r="AD178" i="1"/>
  <c r="AF178" i="1" s="1"/>
  <c r="AD179" i="1"/>
  <c r="AI179" i="1" s="1"/>
  <c r="AD180" i="1"/>
  <c r="AD181" i="1"/>
  <c r="AF181" i="1" s="1"/>
  <c r="AD182" i="1"/>
  <c r="AF182" i="1" s="1"/>
  <c r="AD183" i="1"/>
  <c r="AF183" i="1" s="1"/>
  <c r="AD184" i="1"/>
  <c r="AF184" i="1" s="1"/>
  <c r="AD185" i="1"/>
  <c r="AF185" i="1" s="1"/>
  <c r="AD186" i="1"/>
  <c r="AF186" i="1" s="1"/>
  <c r="AD187" i="1"/>
  <c r="AF187" i="1" s="1"/>
  <c r="AD188" i="1"/>
  <c r="AF188" i="1" s="1"/>
  <c r="AD189" i="1"/>
  <c r="AF189" i="1" s="1"/>
  <c r="AD190" i="1"/>
  <c r="AF190" i="1" s="1"/>
  <c r="AD191" i="1"/>
  <c r="AI191" i="1" s="1"/>
  <c r="AD192" i="1"/>
  <c r="AF192" i="1" s="1"/>
  <c r="AD193" i="1"/>
  <c r="AF193" i="1" s="1"/>
  <c r="AD194" i="1"/>
  <c r="AF194" i="1" s="1"/>
  <c r="AD195" i="1"/>
  <c r="AI195" i="1" s="1"/>
  <c r="AD196" i="1"/>
  <c r="AD197" i="1"/>
  <c r="AF197" i="1" s="1"/>
  <c r="AD198" i="1"/>
  <c r="AF198" i="1" s="1"/>
  <c r="AD199" i="1"/>
  <c r="AF199" i="1" s="1"/>
  <c r="AD200" i="1"/>
  <c r="AF200" i="1" s="1"/>
  <c r="AD201" i="1"/>
  <c r="AF201" i="1" s="1"/>
  <c r="AD202" i="1"/>
  <c r="AF202" i="1" s="1"/>
  <c r="AD203" i="1"/>
  <c r="AF203" i="1" s="1"/>
  <c r="AD204" i="1"/>
  <c r="AF204" i="1" s="1"/>
  <c r="AD205" i="1"/>
  <c r="AF205" i="1" s="1"/>
  <c r="AD206" i="1"/>
  <c r="AF206" i="1" s="1"/>
  <c r="AD207" i="1"/>
  <c r="AI207" i="1" s="1"/>
  <c r="AD208" i="1"/>
  <c r="AF208" i="1" s="1"/>
  <c r="AD209" i="1"/>
  <c r="AF209" i="1" s="1"/>
  <c r="AD210" i="1"/>
  <c r="AF210" i="1" s="1"/>
  <c r="AD211" i="1"/>
  <c r="AI211" i="1" s="1"/>
  <c r="AD212" i="1"/>
  <c r="AD213" i="1"/>
  <c r="AF213" i="1" s="1"/>
  <c r="AD214" i="1"/>
  <c r="AF214" i="1" s="1"/>
  <c r="AD215" i="1"/>
  <c r="AF215" i="1" s="1"/>
  <c r="AD216" i="1"/>
  <c r="AF216" i="1" s="1"/>
  <c r="AD217" i="1"/>
  <c r="AF217" i="1" s="1"/>
  <c r="AD218" i="1"/>
  <c r="AI218" i="1" s="1"/>
  <c r="AD219" i="1"/>
  <c r="AF219" i="1" s="1"/>
  <c r="AD220" i="1"/>
  <c r="AF220" i="1" s="1"/>
  <c r="AD221" i="1"/>
  <c r="AF221" i="1" s="1"/>
  <c r="AD222" i="1"/>
  <c r="AF222" i="1" s="1"/>
  <c r="AD223" i="1"/>
  <c r="AI223" i="1" s="1"/>
  <c r="AD224" i="1"/>
  <c r="AF224" i="1" s="1"/>
  <c r="AD225" i="1"/>
  <c r="AF225" i="1" s="1"/>
  <c r="AD226" i="1"/>
  <c r="AF226" i="1" s="1"/>
  <c r="AD227" i="1"/>
  <c r="AI227" i="1" s="1"/>
  <c r="AD228" i="1"/>
  <c r="AD229" i="1"/>
  <c r="AF229" i="1" s="1"/>
  <c r="AI110" i="1" l="1"/>
  <c r="AF110" i="1"/>
  <c r="AI98" i="1"/>
  <c r="AF98" i="1"/>
  <c r="AH98" i="1" s="1"/>
  <c r="AI86" i="1"/>
  <c r="AF86" i="1"/>
  <c r="AI66" i="1"/>
  <c r="AF66" i="1"/>
  <c r="AI54" i="1"/>
  <c r="AF54" i="1"/>
  <c r="AI38" i="1"/>
  <c r="AF38" i="1"/>
  <c r="AH38" i="1" s="1"/>
  <c r="AI22" i="1"/>
  <c r="AF22" i="1"/>
  <c r="AF146" i="1"/>
  <c r="AI212" i="1"/>
  <c r="AF212" i="1"/>
  <c r="AI196" i="1"/>
  <c r="AF196" i="1"/>
  <c r="AI164" i="1"/>
  <c r="AF164" i="1"/>
  <c r="AI148" i="1"/>
  <c r="AF148" i="1"/>
  <c r="AI114" i="1"/>
  <c r="AF114" i="1"/>
  <c r="AI102" i="1"/>
  <c r="AF102" i="1"/>
  <c r="AI90" i="1"/>
  <c r="AF90" i="1"/>
  <c r="AI78" i="1"/>
  <c r="AF78" i="1"/>
  <c r="AI70" i="1"/>
  <c r="AF70" i="1"/>
  <c r="AI58" i="1"/>
  <c r="AF58" i="1"/>
  <c r="AH58" i="1" s="1"/>
  <c r="AI46" i="1"/>
  <c r="AF46" i="1"/>
  <c r="AI34" i="1"/>
  <c r="AF34" i="1"/>
  <c r="AI26" i="1"/>
  <c r="AF26" i="1"/>
  <c r="AI18" i="1"/>
  <c r="AF18" i="1"/>
  <c r="AI10" i="1"/>
  <c r="AF10" i="1"/>
  <c r="AF130" i="1"/>
  <c r="AI228" i="1"/>
  <c r="AF228" i="1"/>
  <c r="AH228" i="1" s="1"/>
  <c r="AI180" i="1"/>
  <c r="AF180" i="1"/>
  <c r="AI132" i="1"/>
  <c r="AF132" i="1"/>
  <c r="AH132" i="1" s="1"/>
  <c r="AI116" i="1"/>
  <c r="AF116" i="1"/>
  <c r="AI100" i="1"/>
  <c r="AF100" i="1"/>
  <c r="AH100" i="1" s="1"/>
  <c r="AI84" i="1"/>
  <c r="AF84" i="1"/>
  <c r="AI68" i="1"/>
  <c r="AF68" i="1"/>
  <c r="AH68" i="1" s="1"/>
  <c r="AI52" i="1"/>
  <c r="AF52" i="1"/>
  <c r="AI36" i="1"/>
  <c r="AF36" i="1"/>
  <c r="AH36" i="1" s="1"/>
  <c r="AI20" i="1"/>
  <c r="AF20" i="1"/>
  <c r="AF158" i="1"/>
  <c r="AF142" i="1"/>
  <c r="AH142" i="1" s="1"/>
  <c r="AF126" i="1"/>
  <c r="AF218" i="1"/>
  <c r="AF154" i="1"/>
  <c r="AF138" i="1"/>
  <c r="AH138" i="1" s="1"/>
  <c r="AF122" i="1"/>
  <c r="AI106" i="1"/>
  <c r="AF106" i="1"/>
  <c r="AI94" i="1"/>
  <c r="AF94" i="1"/>
  <c r="AI82" i="1"/>
  <c r="AF82" i="1"/>
  <c r="AI74" i="1"/>
  <c r="AF74" i="1"/>
  <c r="AI62" i="1"/>
  <c r="AF62" i="1"/>
  <c r="AI50" i="1"/>
  <c r="AF50" i="1"/>
  <c r="AI42" i="1"/>
  <c r="AF42" i="1"/>
  <c r="AH42" i="1" s="1"/>
  <c r="AI30" i="1"/>
  <c r="AF30" i="1"/>
  <c r="AI14" i="1"/>
  <c r="AF14" i="1"/>
  <c r="AI6" i="1"/>
  <c r="AF6" i="1"/>
  <c r="AF2" i="1"/>
  <c r="AF150" i="1"/>
  <c r="AF134" i="1"/>
  <c r="AH134" i="1" s="1"/>
  <c r="AF118" i="1"/>
  <c r="AF227" i="1"/>
  <c r="AF223" i="1"/>
  <c r="AH223" i="1" s="1"/>
  <c r="AF211" i="1"/>
  <c r="AH211" i="1" s="1"/>
  <c r="AF207" i="1"/>
  <c r="AF195" i="1"/>
  <c r="AF191" i="1"/>
  <c r="AF179" i="1"/>
  <c r="AF175" i="1"/>
  <c r="AF163" i="1"/>
  <c r="AF159" i="1"/>
  <c r="AH159" i="1" s="1"/>
  <c r="AF147" i="1"/>
  <c r="AH147" i="1" s="1"/>
  <c r="AF143" i="1"/>
  <c r="AF131" i="1"/>
  <c r="AF127" i="1"/>
  <c r="AF115" i="1"/>
  <c r="AH115" i="1" s="1"/>
  <c r="AF99" i="1"/>
  <c r="AF83" i="1"/>
  <c r="AF75" i="1"/>
  <c r="AH75" i="1" s="1"/>
  <c r="AF67" i="1"/>
  <c r="AH67" i="1" s="1"/>
  <c r="AF51" i="1"/>
  <c r="AF35" i="1"/>
  <c r="AF19" i="1"/>
  <c r="AH19" i="1" s="1"/>
  <c r="AF11" i="1"/>
  <c r="AH11" i="1" s="1"/>
  <c r="V56" i="1" a="1"/>
  <c r="V56" i="1" s="1"/>
  <c r="AI219" i="1"/>
  <c r="AI215" i="1"/>
  <c r="AI203" i="1"/>
  <c r="AI199" i="1"/>
  <c r="AI187" i="1"/>
  <c r="AI183" i="1"/>
  <c r="AI171" i="1"/>
  <c r="AI167" i="1"/>
  <c r="AI155" i="1"/>
  <c r="AI151" i="1"/>
  <c r="AI139" i="1"/>
  <c r="AI135" i="1"/>
  <c r="AI123" i="1"/>
  <c r="AI119" i="1"/>
  <c r="AI111" i="1"/>
  <c r="AI107" i="1"/>
  <c r="AI103" i="1"/>
  <c r="AI95" i="1"/>
  <c r="AI91" i="1"/>
  <c r="AI87" i="1"/>
  <c r="AI79" i="1"/>
  <c r="AI71" i="1"/>
  <c r="AI63" i="1"/>
  <c r="AI59" i="1"/>
  <c r="AI55" i="1"/>
  <c r="AI47" i="1"/>
  <c r="AI43" i="1"/>
  <c r="AI39" i="1"/>
  <c r="AI31" i="1"/>
  <c r="AI27" i="1"/>
  <c r="AI23" i="1"/>
  <c r="AI15" i="1"/>
  <c r="AI7" i="1"/>
  <c r="AI3" i="1"/>
  <c r="V220" i="1" a="1"/>
  <c r="V220" i="1" s="1"/>
  <c r="AI226" i="1"/>
  <c r="AI222" i="1"/>
  <c r="AI214" i="1"/>
  <c r="AI210" i="1"/>
  <c r="AI206" i="1"/>
  <c r="AI202" i="1"/>
  <c r="AI198" i="1"/>
  <c r="AI194" i="1"/>
  <c r="AI190" i="1"/>
  <c r="AI186" i="1"/>
  <c r="AI182" i="1"/>
  <c r="AI178" i="1"/>
  <c r="AI174" i="1"/>
  <c r="AI170" i="1"/>
  <c r="AI166" i="1"/>
  <c r="AI162" i="1"/>
  <c r="V188" i="1" a="1"/>
  <c r="V188" i="1" s="1"/>
  <c r="AI229" i="1"/>
  <c r="AI225" i="1"/>
  <c r="AI221" i="1"/>
  <c r="AI217" i="1"/>
  <c r="AI213" i="1"/>
  <c r="AI209" i="1"/>
  <c r="AI205" i="1"/>
  <c r="AI201" i="1"/>
  <c r="AI197" i="1"/>
  <c r="AI193" i="1"/>
  <c r="AI189" i="1"/>
  <c r="AI185" i="1"/>
  <c r="AI181" i="1"/>
  <c r="AI177" i="1"/>
  <c r="AI173" i="1"/>
  <c r="AI169" i="1"/>
  <c r="AI165" i="1"/>
  <c r="AI161" i="1"/>
  <c r="AI157" i="1"/>
  <c r="AI153" i="1"/>
  <c r="AI149" i="1"/>
  <c r="AI145" i="1"/>
  <c r="AI141" i="1"/>
  <c r="AI137" i="1"/>
  <c r="AI133" i="1"/>
  <c r="AI129" i="1"/>
  <c r="AI125" i="1"/>
  <c r="AI121" i="1"/>
  <c r="AI117" i="1"/>
  <c r="AI113" i="1"/>
  <c r="AI109" i="1"/>
  <c r="AI105" i="1"/>
  <c r="AI101" i="1"/>
  <c r="AI97" i="1"/>
  <c r="AI93" i="1"/>
  <c r="AI89" i="1"/>
  <c r="AI85" i="1"/>
  <c r="AI81" i="1"/>
  <c r="AI77" i="1"/>
  <c r="AI73" i="1"/>
  <c r="AI69" i="1"/>
  <c r="AI65" i="1"/>
  <c r="AI61" i="1"/>
  <c r="AI57" i="1"/>
  <c r="AI53" i="1"/>
  <c r="AI49" i="1"/>
  <c r="AI45" i="1"/>
  <c r="AI41" i="1"/>
  <c r="AI37" i="1"/>
  <c r="AI33" i="1"/>
  <c r="AI29" i="1"/>
  <c r="AI25" i="1"/>
  <c r="AI21" i="1"/>
  <c r="AI17" i="1"/>
  <c r="AI13" i="1"/>
  <c r="AI9" i="1"/>
  <c r="AI5" i="1"/>
  <c r="V88" i="1" a="1"/>
  <c r="V88" i="1" s="1"/>
  <c r="AI224" i="1"/>
  <c r="AI220" i="1"/>
  <c r="AI216" i="1"/>
  <c r="AI208" i="1"/>
  <c r="AI204" i="1"/>
  <c r="AI200" i="1"/>
  <c r="AI192" i="1"/>
  <c r="AI188" i="1"/>
  <c r="AI184" i="1"/>
  <c r="AI176" i="1"/>
  <c r="AI172" i="1"/>
  <c r="AI168" i="1"/>
  <c r="AI160" i="1"/>
  <c r="AI156" i="1"/>
  <c r="AI152" i="1"/>
  <c r="AI144" i="1"/>
  <c r="AI140" i="1"/>
  <c r="AI136" i="1"/>
  <c r="AI128" i="1"/>
  <c r="AI124" i="1"/>
  <c r="AI120" i="1"/>
  <c r="AI112" i="1"/>
  <c r="AI108" i="1"/>
  <c r="AI104" i="1"/>
  <c r="AI96" i="1"/>
  <c r="AI92" i="1"/>
  <c r="AI88" i="1"/>
  <c r="AI80" i="1"/>
  <c r="AI76" i="1"/>
  <c r="AI72" i="1"/>
  <c r="AI64" i="1"/>
  <c r="AI60" i="1"/>
  <c r="AI56" i="1"/>
  <c r="AI48" i="1"/>
  <c r="AI44" i="1"/>
  <c r="AI40" i="1"/>
  <c r="AI32" i="1"/>
  <c r="AI28" i="1"/>
  <c r="AI24" i="1"/>
  <c r="AI16" i="1"/>
  <c r="AI12" i="1"/>
  <c r="AI8" i="1"/>
  <c r="AI4" i="1"/>
  <c r="V152" i="1" a="1"/>
  <c r="V152" i="1" s="1"/>
  <c r="V24" i="1" a="1"/>
  <c r="V24" i="1" s="1"/>
  <c r="V120" i="1" a="1"/>
  <c r="V120" i="1" s="1"/>
  <c r="V207" i="1" a="1"/>
  <c r="V207" i="1" s="1"/>
  <c r="V175" i="1" a="1"/>
  <c r="V175" i="1" s="1"/>
  <c r="V143" i="1" a="1"/>
  <c r="V143" i="1" s="1"/>
  <c r="V111" i="1" a="1"/>
  <c r="V111" i="1" s="1"/>
  <c r="V79" i="1" a="1"/>
  <c r="V79" i="1" s="1"/>
  <c r="V43" i="1" a="1"/>
  <c r="V43" i="1" s="1"/>
  <c r="V11" i="1" a="1"/>
  <c r="V11" i="1" s="1"/>
  <c r="V204" i="1" a="1"/>
  <c r="V204" i="1" s="1"/>
  <c r="V172" i="1" a="1"/>
  <c r="V172" i="1" s="1"/>
  <c r="V140" i="1" a="1"/>
  <c r="V140" i="1" s="1"/>
  <c r="V108" i="1" a="1"/>
  <c r="V108" i="1" s="1"/>
  <c r="V76" i="1" a="1"/>
  <c r="V76" i="1" s="1"/>
  <c r="V40" i="1" a="1"/>
  <c r="V40" i="1" s="1"/>
  <c r="V8" i="1" a="1"/>
  <c r="V8" i="1" s="1"/>
  <c r="V223" i="1" a="1"/>
  <c r="V223" i="1" s="1"/>
  <c r="V191" i="1" a="1"/>
  <c r="V191" i="1" s="1"/>
  <c r="V155" i="1" a="1"/>
  <c r="V155" i="1" s="1"/>
  <c r="V123" i="1" a="1"/>
  <c r="V123" i="1" s="1"/>
  <c r="V91" i="1" a="1"/>
  <c r="V91" i="1" s="1"/>
  <c r="V59" i="1" a="1"/>
  <c r="V59" i="1" s="1"/>
  <c r="V27" i="1" a="1"/>
  <c r="V27" i="1" s="1"/>
  <c r="V215" i="1" a="1"/>
  <c r="V215" i="1" s="1"/>
  <c r="V199" i="1" a="1"/>
  <c r="V199" i="1" s="1"/>
  <c r="V183" i="1" a="1"/>
  <c r="V183" i="1" s="1"/>
  <c r="V166" i="1" a="1"/>
  <c r="V166" i="1" s="1"/>
  <c r="V149" i="1" a="1"/>
  <c r="V149" i="1" s="1"/>
  <c r="V134" i="1" a="1"/>
  <c r="V134" i="1" s="1"/>
  <c r="V117" i="1" a="1"/>
  <c r="V117" i="1" s="1"/>
  <c r="V102" i="1" a="1"/>
  <c r="V102" i="1" s="1"/>
  <c r="V85" i="1" a="1"/>
  <c r="V85" i="1" s="1"/>
  <c r="V70" i="1" a="1"/>
  <c r="V70" i="1" s="1"/>
  <c r="V52" i="1" a="1"/>
  <c r="V52" i="1" s="1"/>
  <c r="V36" i="1" a="1"/>
  <c r="V36" i="1" s="1"/>
  <c r="V20" i="1" a="1"/>
  <c r="V20" i="1" s="1"/>
  <c r="V4" i="1" a="1"/>
  <c r="V4" i="1" s="1"/>
  <c r="V228" i="1" a="1"/>
  <c r="V228" i="1" s="1"/>
  <c r="V212" i="1" a="1"/>
  <c r="V212" i="1" s="1"/>
  <c r="V196" i="1" a="1"/>
  <c r="V196" i="1" s="1"/>
  <c r="V180" i="1" a="1"/>
  <c r="V180" i="1" s="1"/>
  <c r="V161" i="1" a="1"/>
  <c r="V161" i="1" s="1"/>
  <c r="V146" i="1" a="1"/>
  <c r="V146" i="1" s="1"/>
  <c r="V129" i="1" a="1"/>
  <c r="V129" i="1" s="1"/>
  <c r="V114" i="1" a="1"/>
  <c r="V114" i="1" s="1"/>
  <c r="V97" i="1" a="1"/>
  <c r="V97" i="1" s="1"/>
  <c r="V82" i="1" a="1"/>
  <c r="V82" i="1" s="1"/>
  <c r="V65" i="1" a="1"/>
  <c r="V65" i="1" s="1"/>
  <c r="V46" i="1" a="1"/>
  <c r="V46" i="1" s="1"/>
  <c r="V30" i="1" a="1"/>
  <c r="V30" i="1" s="1"/>
  <c r="V14" i="1" a="1"/>
  <c r="V14" i="1" s="1"/>
  <c r="V225" i="1" a="1"/>
  <c r="V225" i="1" s="1"/>
  <c r="V222" i="1" a="1"/>
  <c r="V222" i="1" s="1"/>
  <c r="V217" i="1" a="1"/>
  <c r="V217" i="1" s="1"/>
  <c r="V214" i="1" a="1"/>
  <c r="V214" i="1" s="1"/>
  <c r="V209" i="1" a="1"/>
  <c r="V209" i="1" s="1"/>
  <c r="V206" i="1" a="1"/>
  <c r="V206" i="1" s="1"/>
  <c r="V201" i="1" a="1"/>
  <c r="V201" i="1" s="1"/>
  <c r="V198" i="1" a="1"/>
  <c r="V198" i="1" s="1"/>
  <c r="V193" i="1" a="1"/>
  <c r="V193" i="1" s="1"/>
  <c r="V190" i="1" a="1"/>
  <c r="V190" i="1" s="1"/>
  <c r="V185" i="1" a="1"/>
  <c r="V185" i="1" s="1"/>
  <c r="V182" i="1" a="1"/>
  <c r="V182" i="1" s="1"/>
  <c r="V177" i="1" a="1"/>
  <c r="V177" i="1" s="1"/>
  <c r="V174" i="1" a="1"/>
  <c r="V174" i="1" s="1"/>
  <c r="V169" i="1" a="1"/>
  <c r="V169" i="1" s="1"/>
  <c r="V163" i="1" a="1"/>
  <c r="V163" i="1" s="1"/>
  <c r="V160" i="1" a="1"/>
  <c r="V160" i="1" s="1"/>
  <c r="V157" i="1" a="1"/>
  <c r="V157" i="1" s="1"/>
  <c r="V154" i="1" a="1"/>
  <c r="V154" i="1" s="1"/>
  <c r="V151" i="1" a="1"/>
  <c r="V151" i="1" s="1"/>
  <c r="V148" i="1" a="1"/>
  <c r="V148" i="1" s="1"/>
  <c r="V142" i="1" a="1"/>
  <c r="V142" i="1" s="1"/>
  <c r="V137" i="1" a="1"/>
  <c r="V137" i="1" s="1"/>
  <c r="V131" i="1" a="1"/>
  <c r="V131" i="1" s="1"/>
  <c r="V128" i="1" a="1"/>
  <c r="V128" i="1" s="1"/>
  <c r="V125" i="1" a="1"/>
  <c r="V125" i="1" s="1"/>
  <c r="V122" i="1" a="1"/>
  <c r="V122" i="1" s="1"/>
  <c r="V119" i="1" a="1"/>
  <c r="V119" i="1" s="1"/>
  <c r="V116" i="1" a="1"/>
  <c r="V116" i="1" s="1"/>
  <c r="V110" i="1" a="1"/>
  <c r="V110" i="1" s="1"/>
  <c r="V105" i="1" a="1"/>
  <c r="V105" i="1" s="1"/>
  <c r="V99" i="1" a="1"/>
  <c r="V99" i="1" s="1"/>
  <c r="V96" i="1" a="1"/>
  <c r="V96" i="1" s="1"/>
  <c r="V93" i="1" a="1"/>
  <c r="V93" i="1" s="1"/>
  <c r="V90" i="1" a="1"/>
  <c r="V90" i="1" s="1"/>
  <c r="V87" i="1" a="1"/>
  <c r="V87" i="1" s="1"/>
  <c r="V84" i="1" a="1"/>
  <c r="V84" i="1" s="1"/>
  <c r="V78" i="1" a="1"/>
  <c r="V78" i="1" s="1"/>
  <c r="V73" i="1" a="1"/>
  <c r="V73" i="1" s="1"/>
  <c r="V67" i="1" a="1"/>
  <c r="V67" i="1" s="1"/>
  <c r="V64" i="1" a="1"/>
  <c r="V64" i="1" s="1"/>
  <c r="V61" i="1" a="1"/>
  <c r="V61" i="1" s="1"/>
  <c r="V58" i="1" a="1"/>
  <c r="V58" i="1" s="1"/>
  <c r="V55" i="1" a="1"/>
  <c r="V55" i="1" s="1"/>
  <c r="V49" i="1" a="1"/>
  <c r="V49" i="1" s="1"/>
  <c r="V45" i="1" a="1"/>
  <c r="V45" i="1" s="1"/>
  <c r="V42" i="1" a="1"/>
  <c r="V42" i="1" s="1"/>
  <c r="V39" i="1" a="1"/>
  <c r="V39" i="1" s="1"/>
  <c r="V33" i="1" a="1"/>
  <c r="V33" i="1" s="1"/>
  <c r="V29" i="1" a="1"/>
  <c r="V29" i="1" s="1"/>
  <c r="V26" i="1" a="1"/>
  <c r="V26" i="1" s="1"/>
  <c r="V23" i="1" a="1"/>
  <c r="V23" i="1" s="1"/>
  <c r="V17" i="1" a="1"/>
  <c r="V17" i="1" s="1"/>
  <c r="V13" i="1" a="1"/>
  <c r="V13" i="1" s="1"/>
  <c r="V10" i="1" a="1"/>
  <c r="V10" i="1" s="1"/>
  <c r="V7" i="1" a="1"/>
  <c r="V7" i="1" s="1"/>
  <c r="V227" i="1" a="1"/>
  <c r="V227" i="1" s="1"/>
  <c r="V224" i="1" a="1"/>
  <c r="V224" i="1" s="1"/>
  <c r="V219" i="1" a="1"/>
  <c r="V219" i="1" s="1"/>
  <c r="V216" i="1" a="1"/>
  <c r="V216" i="1" s="1"/>
  <c r="V211" i="1" a="1"/>
  <c r="V211" i="1" s="1"/>
  <c r="V208" i="1" a="1"/>
  <c r="V208" i="1" s="1"/>
  <c r="V203" i="1" a="1"/>
  <c r="V203" i="1" s="1"/>
  <c r="V200" i="1" a="1"/>
  <c r="V200" i="1" s="1"/>
  <c r="V195" i="1" a="1"/>
  <c r="V195" i="1" s="1"/>
  <c r="V192" i="1" a="1"/>
  <c r="V192" i="1" s="1"/>
  <c r="V187" i="1" a="1"/>
  <c r="V187" i="1" s="1"/>
  <c r="V184" i="1" a="1"/>
  <c r="V184" i="1" s="1"/>
  <c r="V179" i="1" a="1"/>
  <c r="V179" i="1" s="1"/>
  <c r="V176" i="1" a="1"/>
  <c r="V176" i="1" s="1"/>
  <c r="V171" i="1" a="1"/>
  <c r="V171" i="1" s="1"/>
  <c r="V168" i="1" a="1"/>
  <c r="V168" i="1" s="1"/>
  <c r="V165" i="1" a="1"/>
  <c r="V165" i="1" s="1"/>
  <c r="V162" i="1" a="1"/>
  <c r="V162" i="1" s="1"/>
  <c r="V159" i="1" a="1"/>
  <c r="V159" i="1" s="1"/>
  <c r="V156" i="1" a="1"/>
  <c r="V156" i="1" s="1"/>
  <c r="V150" i="1" a="1"/>
  <c r="V150" i="1" s="1"/>
  <c r="V145" i="1" a="1"/>
  <c r="V145" i="1" s="1"/>
  <c r="V139" i="1" a="1"/>
  <c r="V139" i="1" s="1"/>
  <c r="V136" i="1" a="1"/>
  <c r="V136" i="1" s="1"/>
  <c r="V133" i="1" a="1"/>
  <c r="V133" i="1" s="1"/>
  <c r="V130" i="1" a="1"/>
  <c r="V130" i="1" s="1"/>
  <c r="V127" i="1" a="1"/>
  <c r="V127" i="1" s="1"/>
  <c r="V124" i="1" a="1"/>
  <c r="V124" i="1" s="1"/>
  <c r="V118" i="1" a="1"/>
  <c r="V118" i="1" s="1"/>
  <c r="V113" i="1" a="1"/>
  <c r="V113" i="1" s="1"/>
  <c r="V107" i="1" a="1"/>
  <c r="V107" i="1" s="1"/>
  <c r="V104" i="1" a="1"/>
  <c r="V104" i="1" s="1"/>
  <c r="V101" i="1" a="1"/>
  <c r="V101" i="1" s="1"/>
  <c r="V98" i="1" a="1"/>
  <c r="V98" i="1" s="1"/>
  <c r="V95" i="1" a="1"/>
  <c r="V95" i="1" s="1"/>
  <c r="V92" i="1" a="1"/>
  <c r="V92" i="1" s="1"/>
  <c r="V86" i="1" a="1"/>
  <c r="V86" i="1" s="1"/>
  <c r="V81" i="1" a="1"/>
  <c r="V81" i="1" s="1"/>
  <c r="V75" i="1" a="1"/>
  <c r="V75" i="1" s="1"/>
  <c r="V72" i="1" a="1"/>
  <c r="V72" i="1" s="1"/>
  <c r="V69" i="1" a="1"/>
  <c r="V69" i="1" s="1"/>
  <c r="V66" i="1" a="1"/>
  <c r="V66" i="1" s="1"/>
  <c r="V63" i="1" a="1"/>
  <c r="V63" i="1" s="1"/>
  <c r="V60" i="1" a="1"/>
  <c r="V60" i="1" s="1"/>
  <c r="V54" i="1" a="1"/>
  <c r="V54" i="1" s="1"/>
  <c r="V51" i="1" a="1"/>
  <c r="V51" i="1" s="1"/>
  <c r="V48" i="1" a="1"/>
  <c r="V48" i="1" s="1"/>
  <c r="V44" i="1" a="1"/>
  <c r="V44" i="1" s="1"/>
  <c r="V38" i="1" a="1"/>
  <c r="V38" i="1" s="1"/>
  <c r="V35" i="1" a="1"/>
  <c r="V35" i="1" s="1"/>
  <c r="V32" i="1" a="1"/>
  <c r="V32" i="1" s="1"/>
  <c r="V28" i="1" a="1"/>
  <c r="V28" i="1" s="1"/>
  <c r="V22" i="1" a="1"/>
  <c r="V22" i="1" s="1"/>
  <c r="V19" i="1" a="1"/>
  <c r="V19" i="1" s="1"/>
  <c r="V16" i="1" a="1"/>
  <c r="V16" i="1" s="1"/>
  <c r="V12" i="1" a="1"/>
  <c r="V12" i="1" s="1"/>
  <c r="V6" i="1" a="1"/>
  <c r="V6" i="1" s="1"/>
  <c r="V3" i="1" a="1"/>
  <c r="V3" i="1" s="1"/>
  <c r="V229" i="1" a="1"/>
  <c r="V229" i="1" s="1"/>
  <c r="V226" i="1" a="1"/>
  <c r="V226" i="1" s="1"/>
  <c r="V221" i="1" a="1"/>
  <c r="V221" i="1" s="1"/>
  <c r="V218" i="1" a="1"/>
  <c r="V218" i="1" s="1"/>
  <c r="V213" i="1" a="1"/>
  <c r="V213" i="1" s="1"/>
  <c r="V210" i="1" a="1"/>
  <c r="V210" i="1" s="1"/>
  <c r="V205" i="1" a="1"/>
  <c r="V205" i="1" s="1"/>
  <c r="V202" i="1" a="1"/>
  <c r="V202" i="1" s="1"/>
  <c r="V197" i="1" a="1"/>
  <c r="V197" i="1" s="1"/>
  <c r="V194" i="1" a="1"/>
  <c r="V194" i="1" s="1"/>
  <c r="V189" i="1" a="1"/>
  <c r="V189" i="1" s="1"/>
  <c r="V186" i="1" a="1"/>
  <c r="V186" i="1" s="1"/>
  <c r="V181" i="1" a="1"/>
  <c r="V181" i="1" s="1"/>
  <c r="V178" i="1" a="1"/>
  <c r="V178" i="1" s="1"/>
  <c r="V173" i="1" a="1"/>
  <c r="V173" i="1" s="1"/>
  <c r="V170" i="1" a="1"/>
  <c r="V170" i="1" s="1"/>
  <c r="V167" i="1" a="1"/>
  <c r="V167" i="1" s="1"/>
  <c r="V164" i="1" a="1"/>
  <c r="V164" i="1" s="1"/>
  <c r="V158" i="1" a="1"/>
  <c r="V158" i="1" s="1"/>
  <c r="V153" i="1" a="1"/>
  <c r="V153" i="1" s="1"/>
  <c r="V147" i="1" a="1"/>
  <c r="V147" i="1" s="1"/>
  <c r="V144" i="1" a="1"/>
  <c r="V144" i="1" s="1"/>
  <c r="V141" i="1" a="1"/>
  <c r="V141" i="1" s="1"/>
  <c r="V138" i="1" a="1"/>
  <c r="V138" i="1" s="1"/>
  <c r="V135" i="1" a="1"/>
  <c r="V135" i="1" s="1"/>
  <c r="V132" i="1" a="1"/>
  <c r="V132" i="1" s="1"/>
  <c r="V126" i="1" a="1"/>
  <c r="V126" i="1" s="1"/>
  <c r="V121" i="1" a="1"/>
  <c r="V121" i="1" s="1"/>
  <c r="V115" i="1" a="1"/>
  <c r="V115" i="1" s="1"/>
  <c r="V112" i="1" a="1"/>
  <c r="V112" i="1" s="1"/>
  <c r="V109" i="1" a="1"/>
  <c r="V109" i="1" s="1"/>
  <c r="V106" i="1" a="1"/>
  <c r="V106" i="1" s="1"/>
  <c r="V103" i="1" a="1"/>
  <c r="V103" i="1" s="1"/>
  <c r="V100" i="1" a="1"/>
  <c r="V100" i="1" s="1"/>
  <c r="V94" i="1" a="1"/>
  <c r="V94" i="1" s="1"/>
  <c r="V89" i="1" a="1"/>
  <c r="V89" i="1" s="1"/>
  <c r="V83" i="1" a="1"/>
  <c r="V83" i="1" s="1"/>
  <c r="V80" i="1" a="1"/>
  <c r="V80" i="1" s="1"/>
  <c r="V77" i="1" a="1"/>
  <c r="V77" i="1" s="1"/>
  <c r="V74" i="1" a="1"/>
  <c r="V74" i="1" s="1"/>
  <c r="V71" i="1" a="1"/>
  <c r="V71" i="1" s="1"/>
  <c r="V68" i="1" a="1"/>
  <c r="V68" i="1" s="1"/>
  <c r="V62" i="1" a="1"/>
  <c r="V62" i="1" s="1"/>
  <c r="V57" i="1" a="1"/>
  <c r="V57" i="1" s="1"/>
  <c r="V53" i="1" a="1"/>
  <c r="V53" i="1" s="1"/>
  <c r="V50" i="1" a="1"/>
  <c r="V50" i="1" s="1"/>
  <c r="V47" i="1" a="1"/>
  <c r="V47" i="1" s="1"/>
  <c r="V41" i="1" a="1"/>
  <c r="V41" i="1" s="1"/>
  <c r="V37" i="1" a="1"/>
  <c r="V37" i="1" s="1"/>
  <c r="V34" i="1" a="1"/>
  <c r="V34" i="1" s="1"/>
  <c r="V31" i="1" a="1"/>
  <c r="V31" i="1" s="1"/>
  <c r="V25" i="1" a="1"/>
  <c r="V25" i="1" s="1"/>
  <c r="V21" i="1" a="1"/>
  <c r="V21" i="1" s="1"/>
  <c r="V18" i="1" a="1"/>
  <c r="V18" i="1" s="1"/>
  <c r="V15" i="1" a="1"/>
  <c r="V15" i="1" s="1"/>
  <c r="V9" i="1" a="1"/>
  <c r="V9" i="1" s="1"/>
  <c r="V5" i="1" a="1"/>
  <c r="V5" i="1" s="1"/>
  <c r="AH107" i="1"/>
  <c r="AH59" i="1"/>
  <c r="AH43" i="1"/>
  <c r="AH158" i="1"/>
  <c r="AH110" i="1"/>
  <c r="AH86" i="1"/>
  <c r="AH74" i="1"/>
  <c r="AH62" i="1"/>
  <c r="AH50" i="1"/>
  <c r="AH26" i="1"/>
  <c r="AH14" i="1"/>
  <c r="AH6" i="1"/>
  <c r="AH218" i="1"/>
  <c r="AH202" i="1"/>
  <c r="AH186" i="1"/>
  <c r="AH170" i="1"/>
  <c r="AH214" i="1"/>
  <c r="AH198" i="1"/>
  <c r="AH182" i="1"/>
  <c r="AH166" i="1"/>
  <c r="AH146" i="1"/>
  <c r="AH126" i="1"/>
  <c r="AH114" i="1"/>
  <c r="AH102" i="1"/>
  <c r="AH82" i="1"/>
  <c r="AH70" i="1"/>
  <c r="AH46" i="1"/>
  <c r="AH34" i="1"/>
  <c r="AH22" i="1"/>
  <c r="AH2" i="1"/>
  <c r="AH154" i="1"/>
  <c r="AH91" i="1"/>
  <c r="AH27" i="1"/>
  <c r="AH122" i="1"/>
  <c r="AH226" i="1"/>
  <c r="AH210" i="1"/>
  <c r="AH194" i="1"/>
  <c r="AH178" i="1"/>
  <c r="AH162" i="1"/>
  <c r="AH150" i="1"/>
  <c r="AH130" i="1"/>
  <c r="AH118" i="1"/>
  <c r="AH106" i="1"/>
  <c r="AH94" i="1"/>
  <c r="AH90" i="1"/>
  <c r="AH78" i="1"/>
  <c r="AH66" i="1"/>
  <c r="AH54" i="1"/>
  <c r="AH30" i="1"/>
  <c r="AH18" i="1"/>
  <c r="AH10" i="1"/>
  <c r="AH222" i="1"/>
  <c r="AH206" i="1"/>
  <c r="AH190" i="1"/>
  <c r="AH174" i="1"/>
  <c r="AH212" i="1"/>
  <c r="AH196" i="1"/>
  <c r="AH180" i="1"/>
  <c r="AH164" i="1"/>
  <c r="AH148" i="1"/>
  <c r="AH116" i="1"/>
  <c r="AH84" i="1"/>
  <c r="AH52" i="1"/>
  <c r="AH20" i="1"/>
  <c r="AH229" i="1"/>
  <c r="AH225" i="1"/>
  <c r="AH221" i="1"/>
  <c r="AH217" i="1"/>
  <c r="AH213" i="1"/>
  <c r="AH209" i="1"/>
  <c r="AH205" i="1"/>
  <c r="AH201" i="1"/>
  <c r="AH197" i="1"/>
  <c r="AH193" i="1"/>
  <c r="AH189" i="1"/>
  <c r="AH185" i="1"/>
  <c r="AH181" i="1"/>
  <c r="AH177" i="1"/>
  <c r="AH173" i="1"/>
  <c r="AH169" i="1"/>
  <c r="AH165" i="1"/>
  <c r="AH161" i="1"/>
  <c r="AH157" i="1"/>
  <c r="AH153" i="1"/>
  <c r="AH149" i="1"/>
  <c r="AH145" i="1"/>
  <c r="AH141" i="1"/>
  <c r="AH137" i="1"/>
  <c r="AH133" i="1"/>
  <c r="AH129" i="1"/>
  <c r="AH125" i="1"/>
  <c r="AH121" i="1"/>
  <c r="AH117" i="1"/>
  <c r="AH113" i="1"/>
  <c r="AH109" i="1"/>
  <c r="AH105" i="1"/>
  <c r="AH101" i="1"/>
  <c r="AH97" i="1"/>
  <c r="AH93" i="1"/>
  <c r="AH89" i="1"/>
  <c r="AH85" i="1"/>
  <c r="AH81" i="1"/>
  <c r="AH77" i="1"/>
  <c r="AH73" i="1"/>
  <c r="AH69" i="1"/>
  <c r="AH65" i="1"/>
  <c r="AH61" i="1"/>
  <c r="AH57" i="1"/>
  <c r="AH53" i="1"/>
  <c r="AH49" i="1"/>
  <c r="AH45" i="1"/>
  <c r="AH41" i="1"/>
  <c r="AH37" i="1"/>
  <c r="AH33" i="1"/>
  <c r="AH29" i="1"/>
  <c r="AH25" i="1"/>
  <c r="AH21" i="1"/>
  <c r="AH17" i="1"/>
  <c r="AH13" i="1"/>
  <c r="AH9" i="1"/>
  <c r="AH5" i="1"/>
  <c r="AH227" i="1"/>
  <c r="AH195" i="1"/>
  <c r="AH179" i="1"/>
  <c r="AH163" i="1"/>
  <c r="AH131" i="1"/>
  <c r="AH99" i="1"/>
  <c r="AH83" i="1"/>
  <c r="AH51" i="1"/>
  <c r="AH35" i="1"/>
  <c r="AH224" i="1"/>
  <c r="AH220" i="1"/>
  <c r="AH216" i="1"/>
  <c r="AH208" i="1"/>
  <c r="AH204" i="1"/>
  <c r="AH200" i="1"/>
  <c r="AH192" i="1"/>
  <c r="AH188" i="1"/>
  <c r="AH184" i="1"/>
  <c r="AH176" i="1"/>
  <c r="AH172" i="1"/>
  <c r="AH168" i="1"/>
  <c r="AH160" i="1"/>
  <c r="AH156" i="1"/>
  <c r="AH152" i="1"/>
  <c r="AH144" i="1"/>
  <c r="AH140" i="1"/>
  <c r="AH136" i="1"/>
  <c r="AH128" i="1"/>
  <c r="AH124" i="1"/>
  <c r="AH120" i="1"/>
  <c r="AH112" i="1"/>
  <c r="AH108" i="1"/>
  <c r="AH104" i="1"/>
  <c r="AH96" i="1"/>
  <c r="AH92" i="1"/>
  <c r="AH88" i="1"/>
  <c r="AH80" i="1"/>
  <c r="AH76" i="1"/>
  <c r="AH72" i="1"/>
  <c r="AH64" i="1"/>
  <c r="AH60" i="1"/>
  <c r="AH56" i="1"/>
  <c r="AH48" i="1"/>
  <c r="AH44" i="1"/>
  <c r="AH40" i="1"/>
  <c r="AH32" i="1"/>
  <c r="AH28" i="1"/>
  <c r="AH24" i="1"/>
  <c r="AH16" i="1"/>
  <c r="AH12" i="1"/>
  <c r="AH8" i="1"/>
  <c r="AH4" i="1"/>
  <c r="AH207" i="1"/>
  <c r="AH191" i="1"/>
  <c r="AH175" i="1"/>
  <c r="AH143" i="1"/>
  <c r="AH127" i="1"/>
  <c r="AH219" i="1"/>
  <c r="AH215" i="1"/>
  <c r="AH203" i="1"/>
  <c r="AH199" i="1"/>
  <c r="AH187" i="1"/>
  <c r="AH183" i="1"/>
  <c r="AH171" i="1"/>
  <c r="AH167" i="1"/>
  <c r="AH155" i="1"/>
  <c r="AH151" i="1"/>
  <c r="AH139" i="1"/>
  <c r="AH135" i="1"/>
  <c r="AH123" i="1"/>
  <c r="AH119" i="1"/>
  <c r="AH111" i="1"/>
  <c r="AH103" i="1"/>
  <c r="AH95" i="1"/>
  <c r="AH87" i="1"/>
  <c r="AH79" i="1"/>
  <c r="AH71" i="1"/>
  <c r="AH63" i="1"/>
  <c r="AH55" i="1"/>
  <c r="AH47" i="1"/>
  <c r="AH39" i="1"/>
  <c r="AH31" i="1"/>
  <c r="AH23" i="1"/>
  <c r="AH15" i="1"/>
  <c r="AH7" i="1"/>
  <c r="AH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06A55B-9DD0-496E-BD2A-900CB4967F62}" keepAlive="1" name="Query - Data" description="Connection to the 'Data' query in the workbook." type="5" refreshedVersion="8" background="1" saveData="1">
    <dbPr connection="Provider=Microsoft.Mashup.OleDb.1;Data Source=$Workbook$;Location=Data;Extended Properties=&quot;&quot;" command="SELECT * FROM [Data]"/>
  </connection>
  <connection id="2" xr16:uid="{25C2AD0D-54D5-43B3-A349-A8DC8CDEB4B0}" keepAlive="1" name="Query - Data (2)" description="Connection to the 'Data (2)' query in the workbook." type="5" refreshedVersion="8" background="1" saveData="1">
    <dbPr connection="Provider=Microsoft.Mashup.OleDb.1;Data Source=$Workbook$;Location=&quot;Data (2)&quot;;Extended Properties=&quot;&quot;" command="SELECT * FROM [Data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<sst xmlns="http://schemas.openxmlformats.org/spreadsheetml/2006/main" count="9546" uniqueCount="1437">
  <si>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</si>
  <si>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</si>
  <si>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</si>
  <si>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</si>
  <si>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</si>
  <si>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</si>
  <si>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</si>
  <si>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</si>
  <si>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</si>
  <si>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</si>
  <si>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</si>
  <si>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</si>
  <si>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</si>
  <si>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</si>
  <si>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</si>
  <si>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</si>
  <si>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Africa</t>
  </si>
  <si>
    <t>Kenya</t>
  </si>
  <si>
    <t>Kisumu</t>
  </si>
  <si>
    <t>Corporate</t>
  </si>
  <si>
    <t>Retail</t>
  </si>
  <si>
    <t>C. Otieno</t>
  </si>
  <si>
    <t>Components</t>
  </si>
  <si>
    <t>CMP-8270</t>
  </si>
  <si>
    <t>ORD-2024-358795</t>
  </si>
  <si>
    <t>Nigeria</t>
  </si>
  <si>
    <t>Port Harcourt</t>
  </si>
  <si>
    <t>Education</t>
  </si>
  <si>
    <t>Online</t>
  </si>
  <si>
    <t>J. Njeri</t>
  </si>
  <si>
    <t>Printers</t>
  </si>
  <si>
    <t>PRN-9322</t>
  </si>
  <si>
    <t>ORD-2023-373538</t>
  </si>
  <si>
    <t>Nairobi</t>
  </si>
  <si>
    <t>I. Johnson</t>
  </si>
  <si>
    <t>Networking</t>
  </si>
  <si>
    <t>NET-9666</t>
  </si>
  <si>
    <t>ORD-2025-168148</t>
  </si>
  <si>
    <t>Lagos</t>
  </si>
  <si>
    <t>Non-Profit</t>
  </si>
  <si>
    <t>Marketplace</t>
  </si>
  <si>
    <t>G. Dubois</t>
  </si>
  <si>
    <t>Phones</t>
  </si>
  <si>
    <t>PHN-4556</t>
  </si>
  <si>
    <t>ORD-2023-824839</t>
  </si>
  <si>
    <t>Asia</t>
  </si>
  <si>
    <t>Japan</t>
  </si>
  <si>
    <t>Osaka</t>
  </si>
  <si>
    <t>Consumer</t>
  </si>
  <si>
    <t>L. Okafor</t>
  </si>
  <si>
    <t>PRN-8041</t>
  </si>
  <si>
    <t>ORD-2023-723587</t>
  </si>
  <si>
    <t>Americas</t>
  </si>
  <si>
    <t>Canada</t>
  </si>
  <si>
    <t>Toronto</t>
  </si>
  <si>
    <t>Distributor</t>
  </si>
  <si>
    <t>B. Chen</t>
  </si>
  <si>
    <t>Laptops</t>
  </si>
  <si>
    <t>LAP-8555</t>
  </si>
  <si>
    <t>ORD-2024-336584</t>
  </si>
  <si>
    <t>India</t>
  </si>
  <si>
    <t>Bengaluru</t>
  </si>
  <si>
    <t>Small Business</t>
  </si>
  <si>
    <t>E. Garcia</t>
  </si>
  <si>
    <t>Monitors</t>
  </si>
  <si>
    <t>MON-8629</t>
  </si>
  <si>
    <t>ORD-2023-112666</t>
  </si>
  <si>
    <t>Abuja</t>
  </si>
  <si>
    <t>O. Wang</t>
  </si>
  <si>
    <t>PRN-6276</t>
  </si>
  <si>
    <t>ORD-2024-589570</t>
  </si>
  <si>
    <t>MON-6892</t>
  </si>
  <si>
    <t>ORD-2025-997421</t>
  </si>
  <si>
    <t>Brazil</t>
  </si>
  <si>
    <t>São Paulo</t>
  </si>
  <si>
    <t>A. Patel</t>
  </si>
  <si>
    <t>CMP-3731</t>
  </si>
  <si>
    <t>ORD-2024-210687</t>
  </si>
  <si>
    <t>Europe</t>
  </si>
  <si>
    <t>Germany</t>
  </si>
  <si>
    <t>Berlin</t>
  </si>
  <si>
    <t>Accessories</t>
  </si>
  <si>
    <t>ACC-7938</t>
  </si>
  <si>
    <t>ORD-2025-515515</t>
  </si>
  <si>
    <t>F. Müller</t>
  </si>
  <si>
    <t>PHN-7019</t>
  </si>
  <si>
    <t>ORD-2025-487261</t>
  </si>
  <si>
    <t>Brasília</t>
  </si>
  <si>
    <t>CMP-3693</t>
  </si>
  <si>
    <t>ORD-2024-890180</t>
  </si>
  <si>
    <t>France</t>
  </si>
  <si>
    <t>Marseille</t>
  </si>
  <si>
    <t>H. Kim</t>
  </si>
  <si>
    <t>PRN-8392</t>
  </si>
  <si>
    <t>ORD-2025-840976</t>
  </si>
  <si>
    <t>K. Singh</t>
  </si>
  <si>
    <t>ACC-1663</t>
  </si>
  <si>
    <t>ORD-2023-937291</t>
  </si>
  <si>
    <t>Direct</t>
  </si>
  <si>
    <t>LAP-1698</t>
  </si>
  <si>
    <t>ORD-2024-206081</t>
  </si>
  <si>
    <t>PRN-6791</t>
  </si>
  <si>
    <t>ORD-2025-233883</t>
  </si>
  <si>
    <t>PHN-1197</t>
  </si>
  <si>
    <t>ORD-2025-843974</t>
  </si>
  <si>
    <t>Enterprise</t>
  </si>
  <si>
    <t>ACC-8098</t>
  </si>
  <si>
    <t>ORD-2025-745263</t>
  </si>
  <si>
    <t>United Kingdom</t>
  </si>
  <si>
    <t>Birmingham</t>
  </si>
  <si>
    <t>M. Rossi</t>
  </si>
  <si>
    <t>LAP-3385</t>
  </si>
  <si>
    <t>ORD-2024-798002</t>
  </si>
  <si>
    <t>Mombasa</t>
  </si>
  <si>
    <t>LAP-9815</t>
  </si>
  <si>
    <t>ORD-2023-867836</t>
  </si>
  <si>
    <t>China</t>
  </si>
  <si>
    <t>Shenzhen</t>
  </si>
  <si>
    <t>NET-3255</t>
  </si>
  <si>
    <t>ORD-2025-580047</t>
  </si>
  <si>
    <t>ACC-3961</t>
  </si>
  <si>
    <t>ORD-2024-500109</t>
  </si>
  <si>
    <t>USA</t>
  </si>
  <si>
    <t>Chicago</t>
  </si>
  <si>
    <t>LAP-4987</t>
  </si>
  <si>
    <t>ORD-2023-271836</t>
  </si>
  <si>
    <t>N. Brown</t>
  </si>
  <si>
    <t>CMP-2693</t>
  </si>
  <si>
    <t>ORD-2024-215294</t>
  </si>
  <si>
    <t>ACC-8683</t>
  </si>
  <si>
    <t>ORD-2024-788105</t>
  </si>
  <si>
    <t>PRN-4170</t>
  </si>
  <si>
    <t>ORD-2024-855073</t>
  </si>
  <si>
    <t>PHN-6854</t>
  </si>
  <si>
    <t>ORD-2023-897079</t>
  </si>
  <si>
    <t>Nakuru</t>
  </si>
  <si>
    <t>PHN-1784</t>
  </si>
  <si>
    <t>ORD-2025-548982</t>
  </si>
  <si>
    <t>Lyon</t>
  </si>
  <si>
    <t>NET-9716</t>
  </si>
  <si>
    <t>ORD-2024-170313</t>
  </si>
  <si>
    <t>Delhi</t>
  </si>
  <si>
    <t>CMP-6919</t>
  </si>
  <si>
    <t>ORD-2023-562894</t>
  </si>
  <si>
    <t>Montreal</t>
  </si>
  <si>
    <t>D. Smith</t>
  </si>
  <si>
    <t>PHN-4854</t>
  </si>
  <si>
    <t>ORD-2025-474710</t>
  </si>
  <si>
    <t>South Africa</t>
  </si>
  <si>
    <t>Johannesburg</t>
  </si>
  <si>
    <t>NET-7966</t>
  </si>
  <si>
    <t>ORD-2024-629525</t>
  </si>
  <si>
    <t>London</t>
  </si>
  <si>
    <t>LAP-9932</t>
  </si>
  <si>
    <t>ORD-2024-167215</t>
  </si>
  <si>
    <t>CMP-1559</t>
  </si>
  <si>
    <t>ORD-2023-864121</t>
  </si>
  <si>
    <t>PRN-4506</t>
  </si>
  <si>
    <t>ORD-2024-692673</t>
  </si>
  <si>
    <t>Munich</t>
  </si>
  <si>
    <t>CMP-7617</t>
  </si>
  <si>
    <t>ORD-2025-718992</t>
  </si>
  <si>
    <t>Shanghai</t>
  </si>
  <si>
    <t>CMP-8390</t>
  </si>
  <si>
    <t>ORD-2024-599522</t>
  </si>
  <si>
    <t>PRN-7303</t>
  </si>
  <si>
    <t>ORD-2023-651638</t>
  </si>
  <si>
    <t>San Francisco</t>
  </si>
  <si>
    <t>PRN-6536</t>
  </si>
  <si>
    <t>ORD-2024-635626</t>
  </si>
  <si>
    <t>MON-9967</t>
  </si>
  <si>
    <t>ORD-2024-296582</t>
  </si>
  <si>
    <t>Durban</t>
  </si>
  <si>
    <t>NET-1412</t>
  </si>
  <si>
    <t>ORD-2024-998320</t>
  </si>
  <si>
    <t>PRN-3143</t>
  </si>
  <si>
    <t>ORD-2025-820255</t>
  </si>
  <si>
    <t>PRN-9787</t>
  </si>
  <si>
    <t>ORD-2024-389336</t>
  </si>
  <si>
    <t>Vancouver</t>
  </si>
  <si>
    <t>CMP-5946</t>
  </si>
  <si>
    <t>ORD-2023-308124</t>
  </si>
  <si>
    <t>NET-2062</t>
  </si>
  <si>
    <t>ORD-2023-128295</t>
  </si>
  <si>
    <t>PRN-2542</t>
  </si>
  <si>
    <t>ORD-2024-548345</t>
  </si>
  <si>
    <t>NET-2365</t>
  </si>
  <si>
    <t>ORD-2024-966651</t>
  </si>
  <si>
    <t>NET-5268</t>
  </si>
  <si>
    <t>ORD-2023-292714</t>
  </si>
  <si>
    <t>PRN-1504</t>
  </si>
  <si>
    <t>ORD-2024-468501</t>
  </si>
  <si>
    <t>ACC-6348</t>
  </si>
  <si>
    <t>ORD-2024-260775</t>
  </si>
  <si>
    <t>MON-4330</t>
  </si>
  <si>
    <t>ORD-2023-419187</t>
  </si>
  <si>
    <t>LAP-7819</t>
  </si>
  <si>
    <t>ORD-2025-578007</t>
  </si>
  <si>
    <t>LAP-3779</t>
  </si>
  <si>
    <t>ORD-2023-235230</t>
  </si>
  <si>
    <t>NET-9989</t>
  </si>
  <si>
    <t>ORD-2025-765220</t>
  </si>
  <si>
    <t>MON-4925</t>
  </si>
  <si>
    <t>ORD-2025-931538</t>
  </si>
  <si>
    <t>LAP-6989</t>
  </si>
  <si>
    <t>ORD-2024-289089</t>
  </si>
  <si>
    <t>ACC-5780</t>
  </si>
  <si>
    <t>ORD-2025-639542</t>
  </si>
  <si>
    <t>ACC-1770</t>
  </si>
  <si>
    <t>ORD-2025-762301</t>
  </si>
  <si>
    <t>ACC-2252</t>
  </si>
  <si>
    <t>ORD-2024-906395</t>
  </si>
  <si>
    <t>CMP-8002</t>
  </si>
  <si>
    <t>ORD-2025-779574</t>
  </si>
  <si>
    <t>Tokyo</t>
  </si>
  <si>
    <t>CMP-6971</t>
  </si>
  <si>
    <t>ORD-2025-526650</t>
  </si>
  <si>
    <t>Paris</t>
  </si>
  <si>
    <t>PHN-8350</t>
  </si>
  <si>
    <t>ORD-2024-247979</t>
  </si>
  <si>
    <t>Mumbai</t>
  </si>
  <si>
    <t>MON-5188</t>
  </si>
  <si>
    <t>ORD-2023-480975</t>
  </si>
  <si>
    <t>LAP-3393</t>
  </si>
  <si>
    <t>ORD-2023-239789</t>
  </si>
  <si>
    <t>Rio de Janeiro</t>
  </si>
  <si>
    <t>PHN-4644</t>
  </si>
  <si>
    <t>ORD-2023-548874</t>
  </si>
  <si>
    <t>Manchester</t>
  </si>
  <si>
    <t>ACC-9150</t>
  </si>
  <si>
    <t>ORD-2024-347736</t>
  </si>
  <si>
    <t>Nagoya</t>
  </si>
  <si>
    <t>MON-6870</t>
  </si>
  <si>
    <t>ORD-2023-749324</t>
  </si>
  <si>
    <t>MON-2296</t>
  </si>
  <si>
    <t>ORD-2023-809913</t>
  </si>
  <si>
    <t>CMP-7371</t>
  </si>
  <si>
    <t>ORD-2024-287210</t>
  </si>
  <si>
    <t>ACC-2761</t>
  </si>
  <si>
    <t>ORD-2025-640677</t>
  </si>
  <si>
    <t>LAP-4517</t>
  </si>
  <si>
    <t>ORD-2024-939873</t>
  </si>
  <si>
    <t>LAP-8489</t>
  </si>
  <si>
    <t>ORD-2024-800947</t>
  </si>
  <si>
    <t>NET-1846</t>
  </si>
  <si>
    <t>ORD-2023-382272</t>
  </si>
  <si>
    <t>CMP-5208</t>
  </si>
  <si>
    <t>ORD-2023-722117</t>
  </si>
  <si>
    <t>CMP-1009</t>
  </si>
  <si>
    <t>ORD-2024-446699</t>
  </si>
  <si>
    <t>ACC-4490</t>
  </si>
  <si>
    <t>ORD-2024-451005</t>
  </si>
  <si>
    <t>ACC-9162</t>
  </si>
  <si>
    <t>ORD-2023-290279</t>
  </si>
  <si>
    <t>CMP-5820</t>
  </si>
  <si>
    <t>ORD-2024-192263</t>
  </si>
  <si>
    <t>MON-7943</t>
  </si>
  <si>
    <t>ORD-2023-159379</t>
  </si>
  <si>
    <t>Cape Town</t>
  </si>
  <si>
    <t>NET-5018</t>
  </si>
  <si>
    <t>ORD-2023-343322</t>
  </si>
  <si>
    <t>PRN-9669</t>
  </si>
  <si>
    <t>ORD-2025-114382</t>
  </si>
  <si>
    <t>CMP-2865</t>
  </si>
  <si>
    <t>ORD-2025-488349</t>
  </si>
  <si>
    <t>MON-3371</t>
  </si>
  <si>
    <t>ORD-2025-330203</t>
  </si>
  <si>
    <t>NET-7166</t>
  </si>
  <si>
    <t>ORD-2023-841426</t>
  </si>
  <si>
    <t>CMP-4531</t>
  </si>
  <si>
    <t>ORD-2024-594592</t>
  </si>
  <si>
    <t>CMP-8196</t>
  </si>
  <si>
    <t>ORD-2025-863978</t>
  </si>
  <si>
    <t>CMP-2854</t>
  </si>
  <si>
    <t>ORD-2024-604471</t>
  </si>
  <si>
    <t>MON-8973</t>
  </si>
  <si>
    <t>ORD-2023-258768</t>
  </si>
  <si>
    <t>MON-2990</t>
  </si>
  <si>
    <t>ORD-2025-626047</t>
  </si>
  <si>
    <t>NET-1966</t>
  </si>
  <si>
    <t>ORD-2025-526752</t>
  </si>
  <si>
    <t>Hyderabad</t>
  </si>
  <si>
    <t>PHN-3482</t>
  </si>
  <si>
    <t>ORD-2023-374486</t>
  </si>
  <si>
    <t>PRN-6490</t>
  </si>
  <si>
    <t>ORD-2024-997336</t>
  </si>
  <si>
    <t>ACC-9038</t>
  </si>
  <si>
    <t>ORD-2025-725646</t>
  </si>
  <si>
    <t>PHN-6954</t>
  </si>
  <si>
    <t>ORD-2023-868734</t>
  </si>
  <si>
    <t>PRN-8970</t>
  </si>
  <si>
    <t>ORD-2025-262491</t>
  </si>
  <si>
    <t>MON-1822</t>
  </si>
  <si>
    <t>ORD-2024-638884</t>
  </si>
  <si>
    <t>ACC-5177</t>
  </si>
  <si>
    <t>ORD-2025-541501</t>
  </si>
  <si>
    <t>NET-1804</t>
  </si>
  <si>
    <t>ORD-2023-422918</t>
  </si>
  <si>
    <t>LAP-3679</t>
  </si>
  <si>
    <t>ORD-2025-328504</t>
  </si>
  <si>
    <t>PHN-8368</t>
  </si>
  <si>
    <t>ORD-2024-851883</t>
  </si>
  <si>
    <t>CMP-8141</t>
  </si>
  <si>
    <t>ORD-2025-662997</t>
  </si>
  <si>
    <t>LAP-7136</t>
  </si>
  <si>
    <t>ORD-2024-478165</t>
  </si>
  <si>
    <t>ACC-2386</t>
  </si>
  <si>
    <t>ORD-2024-771210</t>
  </si>
  <si>
    <t>LAP-5150</t>
  </si>
  <si>
    <t>ORD-2024-155337</t>
  </si>
  <si>
    <t>CMP-8101</t>
  </si>
  <si>
    <t>ORD-2023-251563</t>
  </si>
  <si>
    <t>PHN-8970</t>
  </si>
  <si>
    <t>ORD-2024-286833</t>
  </si>
  <si>
    <t>PHN-2341</t>
  </si>
  <si>
    <t>ORD-2024-792558</t>
  </si>
  <si>
    <t>NET-6387</t>
  </si>
  <si>
    <t>ORD-2024-166150</t>
  </si>
  <si>
    <t>ACC-9820</t>
  </si>
  <si>
    <t>ORD-2024-909942</t>
  </si>
  <si>
    <t>CMP-6392</t>
  </si>
  <si>
    <t>ORD-2024-223618</t>
  </si>
  <si>
    <t>LAP-9230</t>
  </si>
  <si>
    <t>ORD-2024-919471</t>
  </si>
  <si>
    <t>NET-4241</t>
  </si>
  <si>
    <t>ORD-2025-649239</t>
  </si>
  <si>
    <t>Austin</t>
  </si>
  <si>
    <t>ACC-4511</t>
  </si>
  <si>
    <t>ORD-2023-975863</t>
  </si>
  <si>
    <t>NET-3033</t>
  </si>
  <si>
    <t>ORD-2023-869884</t>
  </si>
  <si>
    <t>MON-2828</t>
  </si>
  <si>
    <t>ORD-2025-698069</t>
  </si>
  <si>
    <t>PRN-6429</t>
  </si>
  <si>
    <t>ORD-2024-474999</t>
  </si>
  <si>
    <t>Frankfurt</t>
  </si>
  <si>
    <t>LAP-8214</t>
  </si>
  <si>
    <t>ORD-2023-427304</t>
  </si>
  <si>
    <t>Beijing</t>
  </si>
  <si>
    <t>MON-9194</t>
  </si>
  <si>
    <t>ORD-2025-956101</t>
  </si>
  <si>
    <t>LAP-2218</t>
  </si>
  <si>
    <t>ORD-2025-184082</t>
  </si>
  <si>
    <t>NET-6370</t>
  </si>
  <si>
    <t>ORD-2023-576840</t>
  </si>
  <si>
    <t>MON-3745</t>
  </si>
  <si>
    <t>ORD-2023-178249</t>
  </si>
  <si>
    <t>PHN-7924</t>
  </si>
  <si>
    <t>ORD-2024-588972</t>
  </si>
  <si>
    <t>NET-8561</t>
  </si>
  <si>
    <t>ORD-2023-603238</t>
  </si>
  <si>
    <t>CMP-2136</t>
  </si>
  <si>
    <t>ORD-2023-883066</t>
  </si>
  <si>
    <t>CMP-6352</t>
  </si>
  <si>
    <t>ORD-2024-584090</t>
  </si>
  <si>
    <t>CMP-2040</t>
  </si>
  <si>
    <t>ORD-2025-537785</t>
  </si>
  <si>
    <t>CMP-6346</t>
  </si>
  <si>
    <t>ORD-2024-605518</t>
  </si>
  <si>
    <t>PHN-4356</t>
  </si>
  <si>
    <t>ORD-2023-521818</t>
  </si>
  <si>
    <t>NET-4155</t>
  </si>
  <si>
    <t>ORD-2025-650719</t>
  </si>
  <si>
    <t>MON-5179</t>
  </si>
  <si>
    <t>ORD-2025-501927</t>
  </si>
  <si>
    <t>ACC-4056</t>
  </si>
  <si>
    <t>ORD-2023-430904</t>
  </si>
  <si>
    <t>LAP-9782</t>
  </si>
  <si>
    <t>ORD-2025-354346</t>
  </si>
  <si>
    <t>PHN-2875</t>
  </si>
  <si>
    <t>ORD-2024-164288</t>
  </si>
  <si>
    <t>PRN-4788</t>
  </si>
  <si>
    <t>ORD-2023-867285</t>
  </si>
  <si>
    <t>MON-3043</t>
  </si>
  <si>
    <t>ORD-2024-836421</t>
  </si>
  <si>
    <t>CMP-3720</t>
  </si>
  <si>
    <t>ORD-2023-613287</t>
  </si>
  <si>
    <t>PHN-8014</t>
  </si>
  <si>
    <t>ORD-2024-783321</t>
  </si>
  <si>
    <t>PRN-4911</t>
  </si>
  <si>
    <t>ORD-2024-232632</t>
  </si>
  <si>
    <t>ACC-1021</t>
  </si>
  <si>
    <t>ORD-2023-906481</t>
  </si>
  <si>
    <t>MON-2266</t>
  </si>
  <si>
    <t>ORD-2024-902741</t>
  </si>
  <si>
    <t>PHN-8057</t>
  </si>
  <si>
    <t>ORD-2023-912395</t>
  </si>
  <si>
    <t>New York</t>
  </si>
  <si>
    <t>ACC-7078</t>
  </si>
  <si>
    <t>ORD-2024-389102</t>
  </si>
  <si>
    <t>PRN-4453</t>
  </si>
  <si>
    <t>ORD-2023-309373</t>
  </si>
  <si>
    <t>NET-2394</t>
  </si>
  <si>
    <t>ORD-2023-825495</t>
  </si>
  <si>
    <t>LAP-1525</t>
  </si>
  <si>
    <t>ORD-2025-244832</t>
  </si>
  <si>
    <t>LAP-3278</t>
  </si>
  <si>
    <t>ORD-2024-211453</t>
  </si>
  <si>
    <t>ACC-6543</t>
  </si>
  <si>
    <t>ORD-2023-192324</t>
  </si>
  <si>
    <t>PRN-4432</t>
  </si>
  <si>
    <t>ORD-2024-438404</t>
  </si>
  <si>
    <t>PHN-4568</t>
  </si>
  <si>
    <t>ORD-2025-246470</t>
  </si>
  <si>
    <t>PRN-6178</t>
  </si>
  <si>
    <t>ORD-2023-497686</t>
  </si>
  <si>
    <t>LAP-6342</t>
  </si>
  <si>
    <t>ORD-2023-596758</t>
  </si>
  <si>
    <t>PRN-8175</t>
  </si>
  <si>
    <t>ORD-2024-201376</t>
  </si>
  <si>
    <t>PRN-7089</t>
  </si>
  <si>
    <t>ORD-2023-842488</t>
  </si>
  <si>
    <t>ACC-4124</t>
  </si>
  <si>
    <t>ORD-2024-136321</t>
  </si>
  <si>
    <t>NET-7924</t>
  </si>
  <si>
    <t>ORD-2024-764468</t>
  </si>
  <si>
    <t>NET-8761</t>
  </si>
  <si>
    <t>ORD-2024-553449</t>
  </si>
  <si>
    <t>CMP-3875</t>
  </si>
  <si>
    <t>ORD-2025-766923</t>
  </si>
  <si>
    <t>ACC-3989</t>
  </si>
  <si>
    <t>ORD-2025-418232</t>
  </si>
  <si>
    <t>PHN-9234</t>
  </si>
  <si>
    <t>ORD-2023-848013</t>
  </si>
  <si>
    <t>MON-9906</t>
  </si>
  <si>
    <t>ORD-2024-357368</t>
  </si>
  <si>
    <t>CMP-4610</t>
  </si>
  <si>
    <t>ORD-2024-219735</t>
  </si>
  <si>
    <t>PHN-5445</t>
  </si>
  <si>
    <t>ORD-2023-240507</t>
  </si>
  <si>
    <t>MON-9227</t>
  </si>
  <si>
    <t>ORD-2024-134084</t>
  </si>
  <si>
    <t>PRN-4097</t>
  </si>
  <si>
    <t>ORD-2023-884625</t>
  </si>
  <si>
    <t>MON-6699</t>
  </si>
  <si>
    <t>ORD-2023-157993</t>
  </si>
  <si>
    <t>LAP-1482</t>
  </si>
  <si>
    <t>ORD-2024-329104</t>
  </si>
  <si>
    <t>MON-2100</t>
  </si>
  <si>
    <t>ORD-2023-304451</t>
  </si>
  <si>
    <t>MON-7602</t>
  </si>
  <si>
    <t>ORD-2024-942981</t>
  </si>
  <si>
    <t>CMP-1072</t>
  </si>
  <si>
    <t>ORD-2024-605629</t>
  </si>
  <si>
    <t>ACC-2735</t>
  </si>
  <si>
    <t>ORD-2023-450877</t>
  </si>
  <si>
    <t>CMP-5211</t>
  </si>
  <si>
    <t>ORD-2023-286994</t>
  </si>
  <si>
    <t>CMP-1632</t>
  </si>
  <si>
    <t>ORD-2025-700847</t>
  </si>
  <si>
    <t>LAP-7099</t>
  </si>
  <si>
    <t>ORD-2024-970848</t>
  </si>
  <si>
    <t>PRN-3785</t>
  </si>
  <si>
    <t>ORD-2025-845715</t>
  </si>
  <si>
    <t>MON-6962</t>
  </si>
  <si>
    <t>ORD-2023-664749</t>
  </si>
  <si>
    <t>PRN-5107</t>
  </si>
  <si>
    <t>ORD-2024-960952</t>
  </si>
  <si>
    <t>CMP-9264</t>
  </si>
  <si>
    <t>ORD-2023-987700</t>
  </si>
  <si>
    <t>MON-5259</t>
  </si>
  <si>
    <t>ORD-2025-652467</t>
  </si>
  <si>
    <t>PRN-8137</t>
  </si>
  <si>
    <t>ORD-2025-667201</t>
  </si>
  <si>
    <t>ACC-6777</t>
  </si>
  <si>
    <t>ORD-2024-237478</t>
  </si>
  <si>
    <t>PHN-7488</t>
  </si>
  <si>
    <t>ORD-2025-898843</t>
  </si>
  <si>
    <t>ACC-9591</t>
  </si>
  <si>
    <t>ORD-2023-334213</t>
  </si>
  <si>
    <t>MON-5517</t>
  </si>
  <si>
    <t>ORD-2024-640340</t>
  </si>
  <si>
    <t>MON-8758</t>
  </si>
  <si>
    <t>ORD-2023-399631</t>
  </si>
  <si>
    <t>ACC-3385</t>
  </si>
  <si>
    <t>ORD-2025-542939</t>
  </si>
  <si>
    <t>MON-1593</t>
  </si>
  <si>
    <t>ACC-4631</t>
  </si>
  <si>
    <t>ORD-2023-825836</t>
  </si>
  <si>
    <t>MON-7869</t>
  </si>
  <si>
    <t>ORD-2024-503082</t>
  </si>
  <si>
    <t>MON-4271</t>
  </si>
  <si>
    <t>ORD-2024-760799</t>
  </si>
  <si>
    <t>LAP-5531</t>
  </si>
  <si>
    <t>ORD-2023-197661</t>
  </si>
  <si>
    <t>MON-7511</t>
  </si>
  <si>
    <t>ORD-2024-212990</t>
  </si>
  <si>
    <t>LAP-7979</t>
  </si>
  <si>
    <t>ORD-2023-925146</t>
  </si>
  <si>
    <t>PRN-4983</t>
  </si>
  <si>
    <t>ORD-2023-177794</t>
  </si>
  <si>
    <t>NET-5941</t>
  </si>
  <si>
    <t>ORD-2024-444710</t>
  </si>
  <si>
    <t>MON-6341</t>
  </si>
  <si>
    <t>ORD-2024-668926</t>
  </si>
  <si>
    <t>PHN-9789</t>
  </si>
  <si>
    <t>ORD-2024-968374</t>
  </si>
  <si>
    <t>PHN-5082</t>
  </si>
  <si>
    <t>ORD-2023-575584</t>
  </si>
  <si>
    <t>NET-3460</t>
  </si>
  <si>
    <t>ORD-2023-701153</t>
  </si>
  <si>
    <t>PRN-7019</t>
  </si>
  <si>
    <t>ORD-2023-382017</t>
  </si>
  <si>
    <t>PHN-3159</t>
  </si>
  <si>
    <t>ORD-2024-999607</t>
  </si>
  <si>
    <t>PRN-8604</t>
  </si>
  <si>
    <t>ORD-2023-133848</t>
  </si>
  <si>
    <t>PHN-2013</t>
  </si>
  <si>
    <t>ORD-2023-586275</t>
  </si>
  <si>
    <t>NET-6036</t>
  </si>
  <si>
    <t>ORD-2025-964661</t>
  </si>
  <si>
    <t>MON-4959</t>
  </si>
  <si>
    <t>ORD-2023-390998</t>
  </si>
  <si>
    <t>MON-1663</t>
  </si>
  <si>
    <t>ORD-2023-920483</t>
  </si>
  <si>
    <t>CMP-7256</t>
  </si>
  <si>
    <t>ORD-2025-146850</t>
  </si>
  <si>
    <t>ACC-1659</t>
  </si>
  <si>
    <t>ORD-2024-687100</t>
  </si>
  <si>
    <t>PRN-6068</t>
  </si>
  <si>
    <t>ORD-2025-629393</t>
  </si>
  <si>
    <t>ACC-8999</t>
  </si>
  <si>
    <t>ORD-2024-686712</t>
  </si>
  <si>
    <t>CMP-3978</t>
  </si>
  <si>
    <t>ORD-2025-586799</t>
  </si>
  <si>
    <t>MON-7868</t>
  </si>
  <si>
    <t>ORD-2024-988736</t>
  </si>
  <si>
    <t>PRN-3014</t>
  </si>
  <si>
    <t>ORD-2025-564184</t>
  </si>
  <si>
    <t>PHN-1671</t>
  </si>
  <si>
    <t>ORD-2023-653343</t>
  </si>
  <si>
    <t>ACC-5260</t>
  </si>
  <si>
    <t>ORD-2024-197852</t>
  </si>
  <si>
    <t>NET-7588</t>
  </si>
  <si>
    <t>ORD-2023-431328</t>
  </si>
  <si>
    <t>MON-1572</t>
  </si>
  <si>
    <t>ORD-2023-613317</t>
  </si>
  <si>
    <t>MON-2537</t>
  </si>
  <si>
    <t>ORD-2024-720756</t>
  </si>
  <si>
    <t>PRN-5666</t>
  </si>
  <si>
    <t>ORD-2024-777623</t>
  </si>
  <si>
    <t>PRN-2749</t>
  </si>
  <si>
    <t>ORD-2025-762212</t>
  </si>
  <si>
    <t>CMP-4970</t>
  </si>
  <si>
    <t>ORD-2023-271918</t>
  </si>
  <si>
    <t>ACC-3551</t>
  </si>
  <si>
    <t>ORD-2023-713375</t>
  </si>
  <si>
    <t>CMP-7063</t>
  </si>
  <si>
    <t>ORD-2025-678688</t>
  </si>
  <si>
    <t>NET-1612</t>
  </si>
  <si>
    <t>ORD-2023-501220</t>
  </si>
  <si>
    <t>LAP-9766</t>
  </si>
  <si>
    <t>ORD-2023-195665</t>
  </si>
  <si>
    <t>PHN-7274</t>
  </si>
  <si>
    <t>ORD-2023-290237</t>
  </si>
  <si>
    <t>NET-1645</t>
  </si>
  <si>
    <t>ORD-2023-302041</t>
  </si>
  <si>
    <t>ACC-5079</t>
  </si>
  <si>
    <t>ORD-2025-289139</t>
  </si>
  <si>
    <t>PRN-2098</t>
  </si>
  <si>
    <t>ORD-2023-949710</t>
  </si>
  <si>
    <t>PRN-7049</t>
  </si>
  <si>
    <t>ORD-2023-603650</t>
  </si>
  <si>
    <t>CMP-6925</t>
  </si>
  <si>
    <t>ORD-2025-757957</t>
  </si>
  <si>
    <t>PHN-2787</t>
  </si>
  <si>
    <t>ORD-2024-423853</t>
  </si>
  <si>
    <t>PRN-1141</t>
  </si>
  <si>
    <t>ORD-2024-569164</t>
  </si>
  <si>
    <t>MON-5249</t>
  </si>
  <si>
    <t>ORD-2023-946143</t>
  </si>
  <si>
    <t>CMP-8230</t>
  </si>
  <si>
    <t>ORD-2024-281211</t>
  </si>
  <si>
    <t>PRN-7816</t>
  </si>
  <si>
    <t>ORD-2024-805860</t>
  </si>
  <si>
    <t>PHN-8804</t>
  </si>
  <si>
    <t>ORD-2025-132174</t>
  </si>
  <si>
    <t>CMP-8851</t>
  </si>
  <si>
    <t>ORD-2023-964434</t>
  </si>
  <si>
    <t>PHN-2447</t>
  </si>
  <si>
    <t>ORD-2024-897622</t>
  </si>
  <si>
    <t>LAP-2846</t>
  </si>
  <si>
    <t>ORD-2023-517216</t>
  </si>
  <si>
    <t>PRN-5005</t>
  </si>
  <si>
    <t>ORD-2025-509940</t>
  </si>
  <si>
    <t>PHN-3800</t>
  </si>
  <si>
    <t>ORD-2025-646342</t>
  </si>
  <si>
    <t>LAP-4828</t>
  </si>
  <si>
    <t>ORD-2024-866535</t>
  </si>
  <si>
    <t>PRN-5492</t>
  </si>
  <si>
    <t>ORD-2023-747341</t>
  </si>
  <si>
    <t>PHN-7132</t>
  </si>
  <si>
    <t>ORD-2024-853298</t>
  </si>
  <si>
    <t>PHN-4741</t>
  </si>
  <si>
    <t>ORD-2024-544865</t>
  </si>
  <si>
    <t>LAP-2774</t>
  </si>
  <si>
    <t>ORD-2025-946490</t>
  </si>
  <si>
    <t>MON-2842</t>
  </si>
  <si>
    <t>ORD-2024-320972</t>
  </si>
  <si>
    <t>NET-2628</t>
  </si>
  <si>
    <t>ORD-2025-248586</t>
  </si>
  <si>
    <t>MON-2998</t>
  </si>
  <si>
    <t>ORD-2024-664046</t>
  </si>
  <si>
    <t>CMP-7563</t>
  </si>
  <si>
    <t>ORD-2023-276806</t>
  </si>
  <si>
    <t>LAP-6160</t>
  </si>
  <si>
    <t>ORD-2024-220234</t>
  </si>
  <si>
    <t>MON-4361</t>
  </si>
  <si>
    <t>ORD-2024-301260</t>
  </si>
  <si>
    <t>PRN-2829</t>
  </si>
  <si>
    <t>ORD-2024-350100</t>
  </si>
  <si>
    <t>MON-8939</t>
  </si>
  <si>
    <t>ORD-2024-855600</t>
  </si>
  <si>
    <t>LAP-5009</t>
  </si>
  <si>
    <t>ORD-2023-474313</t>
  </si>
  <si>
    <t>CMP-4807</t>
  </si>
  <si>
    <t>ORD-2023-256951</t>
  </si>
  <si>
    <t>NET-2439</t>
  </si>
  <si>
    <t>ORD-2025-184754</t>
  </si>
  <si>
    <t>MON-7626</t>
  </si>
  <si>
    <t>ORD-2023-888140</t>
  </si>
  <si>
    <t>ACC-3567</t>
  </si>
  <si>
    <t>ORD-2023-638181</t>
  </si>
  <si>
    <t>CMP-4630</t>
  </si>
  <si>
    <t>ORD-2023-521280</t>
  </si>
  <si>
    <t>ACC-1882</t>
  </si>
  <si>
    <t>ORD-2023-630430</t>
  </si>
  <si>
    <t>NET-9125</t>
  </si>
  <si>
    <t>ORD-2025-908258</t>
  </si>
  <si>
    <t>PHN-3819</t>
  </si>
  <si>
    <t>ORD-2025-440093</t>
  </si>
  <si>
    <t>LAP-3490</t>
  </si>
  <si>
    <t>ORD-2025-898022</t>
  </si>
  <si>
    <t>PRN-1276</t>
  </si>
  <si>
    <t>ORD-2024-500511</t>
  </si>
  <si>
    <t>MON-9733</t>
  </si>
  <si>
    <t>ORD-2023-632893</t>
  </si>
  <si>
    <t>CMP-9392</t>
  </si>
  <si>
    <t>ORD-2023-967239</t>
  </si>
  <si>
    <t>PHN-3014</t>
  </si>
  <si>
    <t>ORD-2024-885858</t>
  </si>
  <si>
    <t>PRN-6776</t>
  </si>
  <si>
    <t>ORD-2023-253245</t>
  </si>
  <si>
    <t>ACC-3951</t>
  </si>
  <si>
    <t>ORD-2025-484073</t>
  </si>
  <si>
    <t>MON-1436</t>
  </si>
  <si>
    <t>ORD-2024-745822</t>
  </si>
  <si>
    <t>MON-8651</t>
  </si>
  <si>
    <t>ORD-2023-369160</t>
  </si>
  <si>
    <t>MON-3307</t>
  </si>
  <si>
    <t>ORD-2024-834983</t>
  </si>
  <si>
    <t>PRN-8758</t>
  </si>
  <si>
    <t>ORD-2024-499009</t>
  </si>
  <si>
    <t>LAP-7056</t>
  </si>
  <si>
    <t>ORD-2024-948800</t>
  </si>
  <si>
    <t>NET-5523</t>
  </si>
  <si>
    <t>ORD-2025-678328</t>
  </si>
  <si>
    <t>ACC-8094</t>
  </si>
  <si>
    <t>ORD-2024-580808</t>
  </si>
  <si>
    <t>PHN-6832</t>
  </si>
  <si>
    <t>ORD-2023-211715</t>
  </si>
  <si>
    <t>LAP-2378</t>
  </si>
  <si>
    <t>ORD-2023-715175</t>
  </si>
  <si>
    <t>MON-5424</t>
  </si>
  <si>
    <t>ORD-2025-685236</t>
  </si>
  <si>
    <t>NET-8430</t>
  </si>
  <si>
    <t>ORD-2023-274037</t>
  </si>
  <si>
    <t>PHN-1234</t>
  </si>
  <si>
    <t>ORD-2025-983096</t>
  </si>
  <si>
    <t>LAP-9016</t>
  </si>
  <si>
    <t>ORD-2024-366010</t>
  </si>
  <si>
    <t>LAP-9931</t>
  </si>
  <si>
    <t>ORD-2023-610470</t>
  </si>
  <si>
    <t>PHN-6818</t>
  </si>
  <si>
    <t>ORD-2025-541048</t>
  </si>
  <si>
    <t>PHN-3803</t>
  </si>
  <si>
    <t>ORD-2024-862371</t>
  </si>
  <si>
    <t>NET-9835</t>
  </si>
  <si>
    <t>ORD-2024-277241</t>
  </si>
  <si>
    <t>ACC-6223</t>
  </si>
  <si>
    <t>ORD-2023-369150</t>
  </si>
  <si>
    <t>CMP-8659</t>
  </si>
  <si>
    <t>ORD-2025-922513</t>
  </si>
  <si>
    <t>ACC-4483</t>
  </si>
  <si>
    <t>ORD-2025-752845</t>
  </si>
  <si>
    <t>PRN-8763</t>
  </si>
  <si>
    <t>ORD-2023-667815</t>
  </si>
  <si>
    <t>ACC-8557</t>
  </si>
  <si>
    <t>ORD-2023-375011</t>
  </si>
  <si>
    <t>ACC-1492</t>
  </si>
  <si>
    <t>ORD-2025-487025</t>
  </si>
  <si>
    <t>CMP-3743</t>
  </si>
  <si>
    <t>ORD-2025-398335</t>
  </si>
  <si>
    <t>LAP-1619</t>
  </si>
  <si>
    <t>ORD-2024-792137</t>
  </si>
  <si>
    <t>PRN-7976</t>
  </si>
  <si>
    <t>ORD-2023-602648</t>
  </si>
  <si>
    <t>MON-4326</t>
  </si>
  <si>
    <t>ORD-2024-207096</t>
  </si>
  <si>
    <t>MON-5444</t>
  </si>
  <si>
    <t>ORD-2025-939953</t>
  </si>
  <si>
    <t>ACC-5422</t>
  </si>
  <si>
    <t>ORD-2025-191328</t>
  </si>
  <si>
    <t>CMP-9307</t>
  </si>
  <si>
    <t>ORD-2023-166668</t>
  </si>
  <si>
    <t>PRN-6520</t>
  </si>
  <si>
    <t>ORD-2023-594700</t>
  </si>
  <si>
    <t>NET-1699</t>
  </si>
  <si>
    <t>ORD-2025-278048</t>
  </si>
  <si>
    <t>PHN-5316</t>
  </si>
  <si>
    <t>ORD-2024-878493</t>
  </si>
  <si>
    <t>LAP-4607</t>
  </si>
  <si>
    <t>ORD-2025-138578</t>
  </si>
  <si>
    <t>MON-5276</t>
  </si>
  <si>
    <t>ORD-2025-944081</t>
  </si>
  <si>
    <t>ACC-9533</t>
  </si>
  <si>
    <t>ORD-2025-364852</t>
  </si>
  <si>
    <t>NET-3749</t>
  </si>
  <si>
    <t>ORD-2025-415018</t>
  </si>
  <si>
    <t>PRN-2991</t>
  </si>
  <si>
    <t>ORD-2023-884192</t>
  </si>
  <si>
    <t>LAP-4551</t>
  </si>
  <si>
    <t>ORD-2024-165942</t>
  </si>
  <si>
    <t>MON-6310</t>
  </si>
  <si>
    <t>ORD-2024-403664</t>
  </si>
  <si>
    <t>NET-1166</t>
  </si>
  <si>
    <t>ORD-2023-890605</t>
  </si>
  <si>
    <t>ACC-2903</t>
  </si>
  <si>
    <t>ORD-2024-925626</t>
  </si>
  <si>
    <t>PRN-2293</t>
  </si>
  <si>
    <t>ORD-2024-427031</t>
  </si>
  <si>
    <t>MON-1389</t>
  </si>
  <si>
    <t>ORD-2025-231184</t>
  </si>
  <si>
    <t>CMP-4093</t>
  </si>
  <si>
    <t>ORD-2023-363031</t>
  </si>
  <si>
    <t>PHN-6131</t>
  </si>
  <si>
    <t>ORD-2023-619570</t>
  </si>
  <si>
    <t>NET-4104</t>
  </si>
  <si>
    <t>ORD-2025-861401</t>
  </si>
  <si>
    <t>MON-9319</t>
  </si>
  <si>
    <t>ORD-2023-835010</t>
  </si>
  <si>
    <t>ACC-2988</t>
  </si>
  <si>
    <t>ORD-2024-819979</t>
  </si>
  <si>
    <t>PHN-9399</t>
  </si>
  <si>
    <t>ORD-2024-719055</t>
  </si>
  <si>
    <t>NET-4554</t>
  </si>
  <si>
    <t>ORD-2023-888245</t>
  </si>
  <si>
    <t>NET-5195</t>
  </si>
  <si>
    <t>ORD-2024-206121</t>
  </si>
  <si>
    <t>CMP-9801</t>
  </si>
  <si>
    <t>ORD-2024-500890</t>
  </si>
  <si>
    <t>CMP-3093</t>
  </si>
  <si>
    <t>ORD-2023-144816</t>
  </si>
  <si>
    <t>ACC-2364</t>
  </si>
  <si>
    <t>ORD-2024-153053</t>
  </si>
  <si>
    <t>CMP-5138</t>
  </si>
  <si>
    <t>ORD-2023-536542</t>
  </si>
  <si>
    <t>PHN-2337</t>
  </si>
  <si>
    <t>ORD-2025-779530</t>
  </si>
  <si>
    <t>MON-2993</t>
  </si>
  <si>
    <t>ORD-2023-163610</t>
  </si>
  <si>
    <t>LAP-9024</t>
  </si>
  <si>
    <t>ORD-2025-653781</t>
  </si>
  <si>
    <t>PHN-6307</t>
  </si>
  <si>
    <t>ORD-2025-737787</t>
  </si>
  <si>
    <t>NET-9003</t>
  </si>
  <si>
    <t>ORD-2023-944052</t>
  </si>
  <si>
    <t>ACC-3068</t>
  </si>
  <si>
    <t>ORD-2023-181257</t>
  </si>
  <si>
    <t>ACC-1060</t>
  </si>
  <si>
    <t>ORD-2025-323492</t>
  </si>
  <si>
    <t>PHN-3854</t>
  </si>
  <si>
    <t>ORD-2024-332076</t>
  </si>
  <si>
    <t>PRN-1086</t>
  </si>
  <si>
    <t>ORD-2024-571797</t>
  </si>
  <si>
    <t>PHN-7815</t>
  </si>
  <si>
    <t>ORD-2024-129345</t>
  </si>
  <si>
    <t>PRN-5384</t>
  </si>
  <si>
    <t>ORD-2023-660608</t>
  </si>
  <si>
    <t>ACC-8178</t>
  </si>
  <si>
    <t>ORD-2023-825084</t>
  </si>
  <si>
    <t>MON-1018</t>
  </si>
  <si>
    <t>ORD-2023-261081</t>
  </si>
  <si>
    <t>ACC-1238</t>
  </si>
  <si>
    <t>ORD-2023-766015</t>
  </si>
  <si>
    <t>NET-1816</t>
  </si>
  <si>
    <t>ORD-2024-333192</t>
  </si>
  <si>
    <t>PRN-4893</t>
  </si>
  <si>
    <t>ORD-2024-647473</t>
  </si>
  <si>
    <t>PHN-1717</t>
  </si>
  <si>
    <t>ORD-2024-892908</t>
  </si>
  <si>
    <t>NET-9575</t>
  </si>
  <si>
    <t>ORD-2023-573146</t>
  </si>
  <si>
    <t>LAP-3604</t>
  </si>
  <si>
    <t>ORD-2024-901115</t>
  </si>
  <si>
    <t>ACC-6626</t>
  </si>
  <si>
    <t>ORD-2023-898009</t>
  </si>
  <si>
    <t>PHN-1670</t>
  </si>
  <si>
    <t>ORD-2023-208944</t>
  </si>
  <si>
    <t>CMP-4792</t>
  </si>
  <si>
    <t>ORD-2025-480172</t>
  </si>
  <si>
    <t>LAP-1990</t>
  </si>
  <si>
    <t>ORD-2023-735274</t>
  </si>
  <si>
    <t>PRN-7410</t>
  </si>
  <si>
    <t>ORD-2023-212701</t>
  </si>
  <si>
    <t>MON-4278</t>
  </si>
  <si>
    <t>ORD-2023-479747</t>
  </si>
  <si>
    <t>ACC-5334</t>
  </si>
  <si>
    <t>ORD-2024-915495</t>
  </si>
  <si>
    <t>NET-8957</t>
  </si>
  <si>
    <t>ORD-2024-225829</t>
  </si>
  <si>
    <t>PRN-9960</t>
  </si>
  <si>
    <t>ORD-2024-921935</t>
  </si>
  <si>
    <t>ACC-3103</t>
  </si>
  <si>
    <t>ORD-2025-949776</t>
  </si>
  <si>
    <t>PRN-9490</t>
  </si>
  <si>
    <t>ORD-2024-510591</t>
  </si>
  <si>
    <t>NET-3850</t>
  </si>
  <si>
    <t>ORD-2024-961756</t>
  </si>
  <si>
    <t>ACC-7047</t>
  </si>
  <si>
    <t>ORD-2024-892173</t>
  </si>
  <si>
    <t>PRN-6660</t>
  </si>
  <si>
    <t>ORD-2024-704056</t>
  </si>
  <si>
    <t>ACC-7838</t>
  </si>
  <si>
    <t>ORD-2025-591006</t>
  </si>
  <si>
    <t>PHN-5383</t>
  </si>
  <si>
    <t>ORD-2023-159821</t>
  </si>
  <si>
    <t>LAP-3904</t>
  </si>
  <si>
    <t>ORD-2024-343877</t>
  </si>
  <si>
    <t>MON-5749</t>
  </si>
  <si>
    <t>ORD-2023-386663</t>
  </si>
  <si>
    <t>PRN-3690</t>
  </si>
  <si>
    <t>ORD-2025-125517</t>
  </si>
  <si>
    <t>CMP-7055</t>
  </si>
  <si>
    <t>ORD-2024-819778</t>
  </si>
  <si>
    <t>PHN-6866</t>
  </si>
  <si>
    <t>ORD-2025-624006</t>
  </si>
  <si>
    <t>CMP-3259</t>
  </si>
  <si>
    <t>ORD-2023-132101</t>
  </si>
  <si>
    <t>LAP-6750</t>
  </si>
  <si>
    <t>ORD-2025-306903</t>
  </si>
  <si>
    <t>PRN-3775</t>
  </si>
  <si>
    <t>ORD-2023-813340</t>
  </si>
  <si>
    <t>LAP-2942</t>
  </si>
  <si>
    <t>ORD-2023-855675</t>
  </si>
  <si>
    <t>PHN-2036</t>
  </si>
  <si>
    <t>ORD-2023-545150</t>
  </si>
  <si>
    <t>MON-4373</t>
  </si>
  <si>
    <t>ORD-2025-269934</t>
  </si>
  <si>
    <t>PRN-8657</t>
  </si>
  <si>
    <t>ORD-2024-690270</t>
  </si>
  <si>
    <t>PHN-7974</t>
  </si>
  <si>
    <t>ORD-2024-868223</t>
  </si>
  <si>
    <t>PHN-4915</t>
  </si>
  <si>
    <t>ORD-2025-188059</t>
  </si>
  <si>
    <t>NET-3535</t>
  </si>
  <si>
    <t>ORD-2023-281890</t>
  </si>
  <si>
    <t>CMP-2574</t>
  </si>
  <si>
    <t>ORD-2025-636162</t>
  </si>
  <si>
    <t>NET-7901</t>
  </si>
  <si>
    <t>ORD-2025-915869</t>
  </si>
  <si>
    <t>NET-5482</t>
  </si>
  <si>
    <t>ORD-2025-192876</t>
  </si>
  <si>
    <t>ORD-2025-822030</t>
  </si>
  <si>
    <t>NET-1336</t>
  </si>
  <si>
    <t>ORD-2025-789245</t>
  </si>
  <si>
    <t>PRN-5876</t>
  </si>
  <si>
    <t>ORD-2023-594955</t>
  </si>
  <si>
    <t>NET-3828</t>
  </si>
  <si>
    <t>ORD-2024-398783</t>
  </si>
  <si>
    <t>MON-7622</t>
  </si>
  <si>
    <t>ORD-2023-676553</t>
  </si>
  <si>
    <t>LAP-2806</t>
  </si>
  <si>
    <t>ORD-2025-866565</t>
  </si>
  <si>
    <t>PRN-8850</t>
  </si>
  <si>
    <t>ORD-2024-527858</t>
  </si>
  <si>
    <t>LAP-9100</t>
  </si>
  <si>
    <t>ORD-2023-619385</t>
  </si>
  <si>
    <t>LAP-5763</t>
  </si>
  <si>
    <t>ORD-2023-835226</t>
  </si>
  <si>
    <t>LAP-7320</t>
  </si>
  <si>
    <t>ORD-2025-485946</t>
  </si>
  <si>
    <t>MON-5891</t>
  </si>
  <si>
    <t>ORD-2024-307849</t>
  </si>
  <si>
    <t>PRN-1183</t>
  </si>
  <si>
    <t>ORD-2023-368449</t>
  </si>
  <si>
    <t>CMP-2096</t>
  </si>
  <si>
    <t>ORD-2024-251426</t>
  </si>
  <si>
    <t>PHN-3398</t>
  </si>
  <si>
    <t>ORD-2023-927385</t>
  </si>
  <si>
    <t>CMP-8545</t>
  </si>
  <si>
    <t>ORD-2025-486350</t>
  </si>
  <si>
    <t>ACC-1249</t>
  </si>
  <si>
    <t>ORD-2025-677880</t>
  </si>
  <si>
    <t>MON-9662</t>
  </si>
  <si>
    <t>ORD-2024-102866</t>
  </si>
  <si>
    <t>LAP-8347</t>
  </si>
  <si>
    <t>ORD-2025-588029</t>
  </si>
  <si>
    <t>CMP-6898</t>
  </si>
  <si>
    <t>ORD-2024-972999</t>
  </si>
  <si>
    <t>MON-3504</t>
  </si>
  <si>
    <t>ORD-2025-608069</t>
  </si>
  <si>
    <t>NET-3432</t>
  </si>
  <si>
    <t>ORD-2024-626750</t>
  </si>
  <si>
    <t>PRN-5591</t>
  </si>
  <si>
    <t>ORD-2024-170021</t>
  </si>
  <si>
    <t>CMP-2015</t>
  </si>
  <si>
    <t>ORD-2024-678110</t>
  </si>
  <si>
    <t>LAP-9901</t>
  </si>
  <si>
    <t>ORD-2025-909340</t>
  </si>
  <si>
    <t>CMP-8658</t>
  </si>
  <si>
    <t>ORD-2023-854471</t>
  </si>
  <si>
    <t>MON-2073</t>
  </si>
  <si>
    <t>ORD-2024-390951</t>
  </si>
  <si>
    <t>PRN-9378</t>
  </si>
  <si>
    <t>ORD-2025-881624</t>
  </si>
  <si>
    <t>PHN-5887</t>
  </si>
  <si>
    <t>ORD-2025-512310</t>
  </si>
  <si>
    <t>LAP-8119</t>
  </si>
  <si>
    <t>ORD-2023-674887</t>
  </si>
  <si>
    <t>ACC-9644</t>
  </si>
  <si>
    <t>ORD-2024-542244</t>
  </si>
  <si>
    <t>LAP-7009</t>
  </si>
  <si>
    <t>ORD-2024-375848</t>
  </si>
  <si>
    <t>PRN-1725</t>
  </si>
  <si>
    <t>ORD-2023-933238</t>
  </si>
  <si>
    <t>PHN-8483</t>
  </si>
  <si>
    <t>ORD-2023-732585</t>
  </si>
  <si>
    <t>PHN-3971</t>
  </si>
  <si>
    <t>ORD-2024-465898</t>
  </si>
  <si>
    <t>NET-6578</t>
  </si>
  <si>
    <t>ORD-2023-987081</t>
  </si>
  <si>
    <t>PRN-9975</t>
  </si>
  <si>
    <t>ORD-2024-655710</t>
  </si>
  <si>
    <t>ACC-1075</t>
  </si>
  <si>
    <t>ORD-2025-411385</t>
  </si>
  <si>
    <t>ACC-2902</t>
  </si>
  <si>
    <t>ORD-2025-222035</t>
  </si>
  <si>
    <t>PRN-5815</t>
  </si>
  <si>
    <t>ORD-2024-749242</t>
  </si>
  <si>
    <t>MON-4195</t>
  </si>
  <si>
    <t>ORD-2023-623293</t>
  </si>
  <si>
    <t>PHN-8478</t>
  </si>
  <si>
    <t>ORD-2025-276968</t>
  </si>
  <si>
    <t>PHN-1044</t>
  </si>
  <si>
    <t>ORD-2025-650841</t>
  </si>
  <si>
    <t>LAP-8910</t>
  </si>
  <si>
    <t>ORD-2025-831576</t>
  </si>
  <si>
    <t>PHN-2859</t>
  </si>
  <si>
    <t>ORD-2024-468655</t>
  </si>
  <si>
    <t>PRN-6308</t>
  </si>
  <si>
    <t>ORD-2024-515105</t>
  </si>
  <si>
    <t>LAP-8469</t>
  </si>
  <si>
    <t>ORD-2025-803803</t>
  </si>
  <si>
    <t>LAP-7553</t>
  </si>
  <si>
    <t>ORD-2024-993481</t>
  </si>
  <si>
    <t>PHN-3077</t>
  </si>
  <si>
    <t>ORD-2024-811752</t>
  </si>
  <si>
    <t>MON-3350</t>
  </si>
  <si>
    <t>ORD-2025-673091</t>
  </si>
  <si>
    <t>PHN-5683</t>
  </si>
  <si>
    <t>ORD-2024-381197</t>
  </si>
  <si>
    <t>PRN-2409</t>
  </si>
  <si>
    <t>ORD-2024-651852</t>
  </si>
  <si>
    <t>LAP-8825</t>
  </si>
  <si>
    <t>ORD-2023-659070</t>
  </si>
  <si>
    <t>MON-8697</t>
  </si>
  <si>
    <t>ORD-2024-837651</t>
  </si>
  <si>
    <t>MON-4789</t>
  </si>
  <si>
    <t>ORD-2024-581530</t>
  </si>
  <si>
    <t>NET-7998</t>
  </si>
  <si>
    <t>ORD-2023-378104</t>
  </si>
  <si>
    <t>PHN-8891</t>
  </si>
  <si>
    <t>ORD-2024-972318</t>
  </si>
  <si>
    <t>NET-9832</t>
  </si>
  <si>
    <t>ORD-2023-752962</t>
  </si>
  <si>
    <t>CMP-8604</t>
  </si>
  <si>
    <t>ORD-2023-808024</t>
  </si>
  <si>
    <t>ACC-6594</t>
  </si>
  <si>
    <t>ORD-2023-156396</t>
  </si>
  <si>
    <t>NET-2499</t>
  </si>
  <si>
    <t>ORD-2023-184577</t>
  </si>
  <si>
    <t>PRN-1923</t>
  </si>
  <si>
    <t>ORD-2024-446030</t>
  </si>
  <si>
    <t>PHN-4346</t>
  </si>
  <si>
    <t>ORD-2023-842820</t>
  </si>
  <si>
    <t>ACC-1375</t>
  </si>
  <si>
    <t>ORD-2024-745424</t>
  </si>
  <si>
    <t>PRN-4892</t>
  </si>
  <si>
    <t>ORD-2024-510520</t>
  </si>
  <si>
    <t>PRN-9557</t>
  </si>
  <si>
    <t>ORD-2023-769774</t>
  </si>
  <si>
    <t>PRN-8008</t>
  </si>
  <si>
    <t>ORD-2023-580751</t>
  </si>
  <si>
    <t>LAP-1946</t>
  </si>
  <si>
    <t>ORD-2025-473192</t>
  </si>
  <si>
    <t>MON-7106</t>
  </si>
  <si>
    <t>ORD-2024-886939</t>
  </si>
  <si>
    <t>MON-5386</t>
  </si>
  <si>
    <t>ORD-2024-566589</t>
  </si>
  <si>
    <t>PHN-2436</t>
  </si>
  <si>
    <t>ORD-2023-109927</t>
  </si>
  <si>
    <t>PRN-2301</t>
  </si>
  <si>
    <t>ORD-2023-780206</t>
  </si>
  <si>
    <t>ACC-3645</t>
  </si>
  <si>
    <t>ORD-2024-851993</t>
  </si>
  <si>
    <t>CMP-6811</t>
  </si>
  <si>
    <t>ORD-2025-417942</t>
  </si>
  <si>
    <t>PHN-5675</t>
  </si>
  <si>
    <t>ORD-2023-172095</t>
  </si>
  <si>
    <t>MON-6882</t>
  </si>
  <si>
    <t>ORD-2024-257550</t>
  </si>
  <si>
    <t>ACC-8620</t>
  </si>
  <si>
    <t>ORD-2023-581799</t>
  </si>
  <si>
    <t>PHN-6506</t>
  </si>
  <si>
    <t>ORD-2023-880296</t>
  </si>
  <si>
    <t>MON-5086</t>
  </si>
  <si>
    <t>ORD-2023-191563</t>
  </si>
  <si>
    <t>LAP-4899</t>
  </si>
  <si>
    <t>ORD-2024-202166</t>
  </si>
  <si>
    <t>CMP-3313</t>
  </si>
  <si>
    <t>ORD-2023-539967</t>
  </si>
  <si>
    <t>CMP-6649</t>
  </si>
  <si>
    <t>ORD-2023-704111</t>
  </si>
  <si>
    <t>ACC-5206</t>
  </si>
  <si>
    <t>ORD-2024-356812</t>
  </si>
  <si>
    <t>PRN-6911</t>
  </si>
  <si>
    <t>ORD-2025-306251</t>
  </si>
  <si>
    <t>NET-5270</t>
  </si>
  <si>
    <t>ORD-2025-496178</t>
  </si>
  <si>
    <t>CMP-5658</t>
  </si>
  <si>
    <t>ORD-2024-508213</t>
  </si>
  <si>
    <t>CMP-3938</t>
  </si>
  <si>
    <t>ORD-2024-787018</t>
  </si>
  <si>
    <t>ACC-7671</t>
  </si>
  <si>
    <t>ORD-2023-728177</t>
  </si>
  <si>
    <t>NET-6014</t>
  </si>
  <si>
    <t>ORD-2025-795385</t>
  </si>
  <si>
    <t>CMP-4159</t>
  </si>
  <si>
    <t>ORD-2025-947929</t>
  </si>
  <si>
    <t>PRN-3159</t>
  </si>
  <si>
    <t>ORD-2023-931633</t>
  </si>
  <si>
    <t>PRN-9488</t>
  </si>
  <si>
    <t>ORD-2023-243704</t>
  </si>
  <si>
    <t>PRN-7079</t>
  </si>
  <si>
    <t>ORD-2025-779659</t>
  </si>
  <si>
    <t>CMP-1220</t>
  </si>
  <si>
    <t>ORD-2024-647571</t>
  </si>
  <si>
    <t>MON-2462</t>
  </si>
  <si>
    <t>ORD-2025-683043</t>
  </si>
  <si>
    <t>PHN-9465</t>
  </si>
  <si>
    <t>ORD-2023-588455</t>
  </si>
  <si>
    <t>PRN-1271</t>
  </si>
  <si>
    <t>ORD-2024-641220</t>
  </si>
  <si>
    <t>LAP-1066</t>
  </si>
  <si>
    <t>ORD-2023-799597</t>
  </si>
  <si>
    <t>CMP-8675</t>
  </si>
  <si>
    <t>ORD-2023-569862</t>
  </si>
  <si>
    <t>LAP-1178</t>
  </si>
  <si>
    <t>ORD-2023-609394</t>
  </si>
  <si>
    <t>ACC-1731</t>
  </si>
  <si>
    <t>ORD-2024-105586</t>
  </si>
  <si>
    <t>NET-1893</t>
  </si>
  <si>
    <t>ORD-2024-207792</t>
  </si>
  <si>
    <t>PRN-3917</t>
  </si>
  <si>
    <t>ORD-2025-417336</t>
  </si>
  <si>
    <t>LAP-3220</t>
  </si>
  <si>
    <t>ORD-2025-252117</t>
  </si>
  <si>
    <t>PHN-2462</t>
  </si>
  <si>
    <t>ORD-2023-867175</t>
  </si>
  <si>
    <t>NET-2894</t>
  </si>
  <si>
    <t>ORD-2024-382152</t>
  </si>
  <si>
    <t>CMP-2335</t>
  </si>
  <si>
    <t>ORD-2023-597666</t>
  </si>
  <si>
    <t>PHN-5938</t>
  </si>
  <si>
    <t>ORD-2024-371409</t>
  </si>
  <si>
    <t>PRN-1371</t>
  </si>
  <si>
    <t>ORD-2024-973420</t>
  </si>
  <si>
    <t>PRN-5813</t>
  </si>
  <si>
    <t>ORD-2025-254721</t>
  </si>
  <si>
    <t>PHN-6480</t>
  </si>
  <si>
    <t>ORD-2024-247032</t>
  </si>
  <si>
    <t>ACC-2990</t>
  </si>
  <si>
    <t>ORD-2024-792353</t>
  </si>
  <si>
    <t>CMP-5435</t>
  </si>
  <si>
    <t>ORD-2025-703623</t>
  </si>
  <si>
    <t>ACC-1596</t>
  </si>
  <si>
    <t>ORD-2024-516704</t>
  </si>
  <si>
    <t>PHN-7852</t>
  </si>
  <si>
    <t>ORD-2024-578646</t>
  </si>
  <si>
    <t>ACC-7240</t>
  </si>
  <si>
    <t>ORD-2024-433936</t>
  </si>
  <si>
    <t>MON-8867</t>
  </si>
  <si>
    <t>ORD-2023-434071</t>
  </si>
  <si>
    <t>NET-1228</t>
  </si>
  <si>
    <t>ORD-2024-728474</t>
  </si>
  <si>
    <t>NET-1145</t>
  </si>
  <si>
    <t>ORD-2023-406606</t>
  </si>
  <si>
    <t>ACC-2867</t>
  </si>
  <si>
    <t>ORD-2025-823055</t>
  </si>
  <si>
    <t>MON-9274</t>
  </si>
  <si>
    <t>ORD-2023-573656</t>
  </si>
  <si>
    <t>MON-4830</t>
  </si>
  <si>
    <t>ORD-2024-567435</t>
  </si>
  <si>
    <t>PHN-9107</t>
  </si>
  <si>
    <t>ORD-2023-744942</t>
  </si>
  <si>
    <t>PRN-1060</t>
  </si>
  <si>
    <t>ORD-2025-331237</t>
  </si>
  <si>
    <t>NET-8329</t>
  </si>
  <si>
    <t>ORD-2025-680118</t>
  </si>
  <si>
    <t>NET-6269</t>
  </si>
  <si>
    <t>ORD-2024-310809</t>
  </si>
  <si>
    <t>CMP-6529</t>
  </si>
  <si>
    <t>ORD-2025-474368</t>
  </si>
  <si>
    <t>PHN-8776</t>
  </si>
  <si>
    <t>ORD-2024-732543</t>
  </si>
  <si>
    <t>NET-3728</t>
  </si>
  <si>
    <t>ORD-2023-867166</t>
  </si>
  <si>
    <t>LAP-3565</t>
  </si>
  <si>
    <t>ORD-2024-776337</t>
  </si>
  <si>
    <t>LAP-5078</t>
  </si>
  <si>
    <t>ORD-2023-913592</t>
  </si>
  <si>
    <t>MON-2465</t>
  </si>
  <si>
    <t>ORD-2024-961501</t>
  </si>
  <si>
    <t>CMP-3223</t>
  </si>
  <si>
    <t>ORD-2024-964950</t>
  </si>
  <si>
    <t>CMP-8127</t>
  </si>
  <si>
    <t>ORD-2023-349264</t>
  </si>
  <si>
    <t>PHN-1924</t>
  </si>
  <si>
    <t>ORD-2025-137394</t>
  </si>
  <si>
    <t>CMP-1156</t>
  </si>
  <si>
    <t>ORD-2025-635337</t>
  </si>
  <si>
    <t>LAP-3905</t>
  </si>
  <si>
    <t>ORD-2023-568013</t>
  </si>
  <si>
    <t>PRN-1786</t>
  </si>
  <si>
    <t>ORD-2025-828263</t>
  </si>
  <si>
    <t>ACC-3349</t>
  </si>
  <si>
    <t>ORD-2024-402240</t>
  </si>
  <si>
    <t>NET-4228</t>
  </si>
  <si>
    <t>ORD-2023-125739</t>
  </si>
  <si>
    <t>CMP-5633</t>
  </si>
  <si>
    <t>ORD-2024-892879</t>
  </si>
  <si>
    <t>CMP-5825</t>
  </si>
  <si>
    <t>ORD-2023-472050</t>
  </si>
  <si>
    <t>LAP-6499</t>
  </si>
  <si>
    <t>ORD-2024-468615</t>
  </si>
  <si>
    <t>ACC-3721</t>
  </si>
  <si>
    <t>ORD-2024-833375</t>
  </si>
  <si>
    <t>MON-6190</t>
  </si>
  <si>
    <t>ORD-2024-206311</t>
  </si>
  <si>
    <t>CMP-2410</t>
  </si>
  <si>
    <t>ORD-2024-364080</t>
  </si>
  <si>
    <t>PRN-2641</t>
  </si>
  <si>
    <t>ORD-2025-460466</t>
  </si>
  <si>
    <t>PRN-1882</t>
  </si>
  <si>
    <t>ORD-2023-700699</t>
  </si>
  <si>
    <t>PRN-1641</t>
  </si>
  <si>
    <t>ORD-2024-713332</t>
  </si>
  <si>
    <t>LAP-1739</t>
  </si>
  <si>
    <t>ORD-2023-640022</t>
  </si>
  <si>
    <t>PRN-4732</t>
  </si>
  <si>
    <t>ORD-2024-532184</t>
  </si>
  <si>
    <t>NET-9569</t>
  </si>
  <si>
    <t>ORD-2025-926547</t>
  </si>
  <si>
    <t>PHN-3007</t>
  </si>
  <si>
    <t>ORD-2025-778145</t>
  </si>
  <si>
    <t>MON-9216</t>
  </si>
  <si>
    <t>ORD-2023-525643</t>
  </si>
  <si>
    <t>PHN-8072</t>
  </si>
  <si>
    <t>ORD-2025-312803</t>
  </si>
  <si>
    <t>LAP-1308</t>
  </si>
  <si>
    <t>ORD-2025-149156</t>
  </si>
  <si>
    <t>LAP-7353</t>
  </si>
  <si>
    <t>ORD-2023-215819</t>
  </si>
  <si>
    <t>NET-6533</t>
  </si>
  <si>
    <t>ORD-2024-353078</t>
  </si>
  <si>
    <t>ORD-2023-621393</t>
  </si>
  <si>
    <t>ACC-9445</t>
  </si>
  <si>
    <t>ORD-2023-974506</t>
  </si>
  <si>
    <t>PRN-1654</t>
  </si>
  <si>
    <t>ORD-2023-811823</t>
  </si>
  <si>
    <t>NET-8787</t>
  </si>
  <si>
    <t>ORD-2023-286720</t>
  </si>
  <si>
    <t>LAP-1989</t>
  </si>
  <si>
    <t>ORD-2024-626925</t>
  </si>
  <si>
    <t>MON-8688</t>
  </si>
  <si>
    <t>ORD-2023-960380</t>
  </si>
  <si>
    <t>ACC-8242</t>
  </si>
  <si>
    <t>ORD-2023-453699</t>
  </si>
  <si>
    <t>LAP-4666</t>
  </si>
  <si>
    <t>ORD-2025-960931</t>
  </si>
  <si>
    <t>NET-5196</t>
  </si>
  <si>
    <t>ORD-2024-419248</t>
  </si>
  <si>
    <t>MON-8422</t>
  </si>
  <si>
    <t>ORD-2023-488227</t>
  </si>
  <si>
    <t>ACC-3415</t>
  </si>
  <si>
    <t>ORD-2023-472078</t>
  </si>
  <si>
    <t>PRN-9624</t>
  </si>
  <si>
    <t>ORD-2024-202877</t>
  </si>
  <si>
    <t>MON-6287</t>
  </si>
  <si>
    <t>ORD-2024-140633</t>
  </si>
  <si>
    <t>NET-4491</t>
  </si>
  <si>
    <t>ORD-2025-419532</t>
  </si>
  <si>
    <t>MON-4317</t>
  </si>
  <si>
    <t>ORD-2023-139236</t>
  </si>
  <si>
    <t>NET-7349</t>
  </si>
  <si>
    <t>ORD-2025-337268</t>
  </si>
  <si>
    <t>ACC-5150</t>
  </si>
  <si>
    <t>ORD-2025-332931</t>
  </si>
  <si>
    <t>ACC-5144</t>
  </si>
  <si>
    <t>ORD-2024-536442</t>
  </si>
  <si>
    <t>PHN-6111</t>
  </si>
  <si>
    <t>ORD-2023-957692</t>
  </si>
  <si>
    <t>ACC-9283</t>
  </si>
  <si>
    <t>ORD-2025-874124</t>
  </si>
  <si>
    <t>PRN-2407</t>
  </si>
  <si>
    <t>ORD-2024-687073</t>
  </si>
  <si>
    <t>MON-7099</t>
  </si>
  <si>
    <t>ORD-2024-555229</t>
  </si>
  <si>
    <t>ACC-7354</t>
  </si>
  <si>
    <t>ORD-2024-872291</t>
  </si>
  <si>
    <t>PRN-6585</t>
  </si>
  <si>
    <t>ORD-2024-250862</t>
  </si>
  <si>
    <t>CMP-9498</t>
  </si>
  <si>
    <t>ORD-2024-331226</t>
  </si>
  <si>
    <t>PHN-1919</t>
  </si>
  <si>
    <t>ORD-2023-356427</t>
  </si>
  <si>
    <t>MON-6053</t>
  </si>
  <si>
    <t>ORD-2025-659650</t>
  </si>
  <si>
    <t>NET-2502</t>
  </si>
  <si>
    <t>ORD-2024-207669</t>
  </si>
  <si>
    <t>LAP-5689</t>
  </si>
  <si>
    <t>ORD-2024-979401</t>
  </si>
  <si>
    <t>CMP-5911</t>
  </si>
  <si>
    <t>ORD-2025-929414</t>
  </si>
  <si>
    <t>LAP-7523</t>
  </si>
  <si>
    <t>ORD-2024-766980</t>
  </si>
  <si>
    <t>MON-1118</t>
  </si>
  <si>
    <t>ORD-2024-437164</t>
  </si>
  <si>
    <t>NET-9177</t>
  </si>
  <si>
    <t>ORD-2025-169093</t>
  </si>
  <si>
    <t>CMP-6495</t>
  </si>
  <si>
    <t>ORD-2023-868460</t>
  </si>
  <si>
    <t>ACC-4587</t>
  </si>
  <si>
    <t>ORD-2025-177994</t>
  </si>
  <si>
    <t>PHN-4395</t>
  </si>
  <si>
    <t>ORD-2024-355095</t>
  </si>
  <si>
    <t>LAP-3581</t>
  </si>
  <si>
    <t>ORD-2023-126505</t>
  </si>
  <si>
    <t>MON-6065</t>
  </si>
  <si>
    <t>ORD-2023-340056</t>
  </si>
  <si>
    <t>CMP-4945</t>
  </si>
  <si>
    <t>ORD-2025-281413</t>
  </si>
  <si>
    <t>NET-3785</t>
  </si>
  <si>
    <t>ORD-2023-713614</t>
  </si>
  <si>
    <t>NET-3689</t>
  </si>
  <si>
    <t>ORD-2023-173313</t>
  </si>
  <si>
    <t>ACC-3833</t>
  </si>
  <si>
    <t>ORD-2024-496601</t>
  </si>
  <si>
    <t>NET-2932</t>
  </si>
  <si>
    <t>ORD-2025-155182</t>
  </si>
  <si>
    <t>PHN-7636</t>
  </si>
  <si>
    <t>ORD-2023-244375</t>
  </si>
  <si>
    <t>CMP-1223</t>
  </si>
  <si>
    <t>ORD-2023-856322</t>
  </si>
  <si>
    <t>MON-7207</t>
  </si>
  <si>
    <t>ORD-2024-594527</t>
  </si>
  <si>
    <t>LAP-4483</t>
  </si>
  <si>
    <t>ORD-2024-689872</t>
  </si>
  <si>
    <t>LAP-1969</t>
  </si>
  <si>
    <t>ORD-2025-246692</t>
  </si>
  <si>
    <t>PHN-4566</t>
  </si>
  <si>
    <t>ORD-2023-378676</t>
  </si>
  <si>
    <t>PHN-5366</t>
  </si>
  <si>
    <t>ORD-2024-243988</t>
  </si>
  <si>
    <t>CMP-9001</t>
  </si>
  <si>
    <t>ORD-2024-572312</t>
  </si>
  <si>
    <t>PHN-9677</t>
  </si>
  <si>
    <t>ORD-2025-281062</t>
  </si>
  <si>
    <t>ACC-1604</t>
  </si>
  <si>
    <t>ORD-2023-727290</t>
  </si>
  <si>
    <t>ACC-4815</t>
  </si>
  <si>
    <t>ORD-2025-993993</t>
  </si>
  <si>
    <t>CMP-5311</t>
  </si>
  <si>
    <t>ORD-2023-619493</t>
  </si>
  <si>
    <t>NET-1282</t>
  </si>
  <si>
    <t>ORD-2024-947056</t>
  </si>
  <si>
    <t>MON-1564</t>
  </si>
  <si>
    <t>ORD-2025-856556</t>
  </si>
  <si>
    <t>ACC-7906</t>
  </si>
  <si>
    <t>ORD-2024-442776</t>
  </si>
  <si>
    <t>LAP-6577</t>
  </si>
  <si>
    <t>ORD-2025-705398</t>
  </si>
  <si>
    <t>CMP-5065</t>
  </si>
  <si>
    <t>ORD-2023-689428</t>
  </si>
  <si>
    <t>PRN-4787</t>
  </si>
  <si>
    <t>ORD-2025-683247</t>
  </si>
  <si>
    <t>PRN-9867</t>
  </si>
  <si>
    <t>ORD-2024-585443</t>
  </si>
  <si>
    <t>MON-2849</t>
  </si>
  <si>
    <t>ORD-2024-907733</t>
  </si>
  <si>
    <t>LAP-8633</t>
  </si>
  <si>
    <t>ORD-2024-550400</t>
  </si>
  <si>
    <t>PRN-9793</t>
  </si>
  <si>
    <t>ORD-2025-189846</t>
  </si>
  <si>
    <t>NET-6218</t>
  </si>
  <si>
    <t>ORD-2025-752192</t>
  </si>
  <si>
    <t>PRN-6131</t>
  </si>
  <si>
    <t>ORD-2023-294716</t>
  </si>
  <si>
    <t>PRN-5067</t>
  </si>
  <si>
    <t>ORD-2023-552115</t>
  </si>
  <si>
    <t>LAP-4932</t>
  </si>
  <si>
    <t>ORD-2023-107265</t>
  </si>
  <si>
    <t>ACC-7713</t>
  </si>
  <si>
    <t>ORD-2025-262434</t>
  </si>
  <si>
    <t>PHN-7379</t>
  </si>
  <si>
    <t>ORD-2024-266562</t>
  </si>
  <si>
    <t>PRN-5569</t>
  </si>
  <si>
    <t>ORD-2024-838925</t>
  </si>
  <si>
    <t>CMP-1470</t>
  </si>
  <si>
    <t>ORD-2023-664790</t>
  </si>
  <si>
    <t>PRN-9249</t>
  </si>
  <si>
    <t>ORD-2024-331408</t>
  </si>
  <si>
    <t>PRN-4906</t>
  </si>
  <si>
    <t>ORD-2024-741404</t>
  </si>
  <si>
    <t>MON-8129</t>
  </si>
  <si>
    <t>ORD-2024-341535</t>
  </si>
  <si>
    <t>NET-5987</t>
  </si>
  <si>
    <t>ORD-2023-451931</t>
  </si>
  <si>
    <t>NET-5423</t>
  </si>
  <si>
    <t>ORD-2025-532859</t>
  </si>
  <si>
    <t>PRN-5264</t>
  </si>
  <si>
    <t>ORD-2023-502205</t>
  </si>
  <si>
    <t>NET-8856</t>
  </si>
  <si>
    <t>ORD-2024-930679</t>
  </si>
  <si>
    <t>MON-4215</t>
  </si>
  <si>
    <t>ORD-2025-150713</t>
  </si>
  <si>
    <t>PRN-5753</t>
  </si>
  <si>
    <t>ORD-2024-756884</t>
  </si>
  <si>
    <t>CMP-5006</t>
  </si>
  <si>
    <t>ORD-2023-755337</t>
  </si>
  <si>
    <t>ACC-4766</t>
  </si>
  <si>
    <t>ORD-2025-907040</t>
  </si>
  <si>
    <t>NET-8610</t>
  </si>
  <si>
    <t>ORD-2024-817997</t>
  </si>
  <si>
    <t>NET-4675</t>
  </si>
  <si>
    <t>ORD-2025-649633</t>
  </si>
  <si>
    <t>ACC-1028</t>
  </si>
  <si>
    <t>ORD-2023-885216</t>
  </si>
  <si>
    <t>NET-4735</t>
  </si>
  <si>
    <t>ORD-2023-561823</t>
  </si>
  <si>
    <t>NET-2460</t>
  </si>
  <si>
    <t>ORD-2023-249805</t>
  </si>
  <si>
    <t>CMP-1555</t>
  </si>
  <si>
    <t>ORD-2023-548934</t>
  </si>
  <si>
    <t>MON-3773</t>
  </si>
  <si>
    <t>ORD-2023-921939</t>
  </si>
  <si>
    <t>PHN-4677</t>
  </si>
  <si>
    <t>ORD-2023-961864</t>
  </si>
  <si>
    <t>CMP-1940</t>
  </si>
  <si>
    <t>ORD-2023-455933</t>
  </si>
  <si>
    <t>PHN-9184</t>
  </si>
  <si>
    <t>ORD-2025-728935</t>
  </si>
  <si>
    <t>LAP-3017</t>
  </si>
  <si>
    <t>SalespersonCleaned</t>
  </si>
  <si>
    <t>CityCustomCleaned</t>
  </si>
  <si>
    <t>CleanedCustomChannel</t>
  </si>
  <si>
    <t>CorrectedUnitPriceCustom</t>
  </si>
  <si>
    <t>CappedDiscountCustom</t>
  </si>
  <si>
    <t>SuspiciousFlag</t>
  </si>
  <si>
    <t>CorrectedRequiredDate</t>
  </si>
  <si>
    <t>LeadTimeDays</t>
  </si>
  <si>
    <t>OK</t>
  </si>
  <si>
    <t>Suspicious</t>
  </si>
  <si>
    <t>Unassigned</t>
  </si>
  <si>
    <t>Unknown</t>
  </si>
  <si>
    <t>Unknown City</t>
  </si>
  <si>
    <t>GrossRevenue</t>
  </si>
  <si>
    <t>CostOfGoods</t>
  </si>
  <si>
    <t>GrossProfit</t>
  </si>
  <si>
    <t>MarginPct</t>
  </si>
  <si>
    <t>OrderMonth</t>
  </si>
  <si>
    <t>OrderQuarter</t>
  </si>
  <si>
    <t>Row Labels</t>
  </si>
  <si>
    <t>Grand Total</t>
  </si>
  <si>
    <t>(blank)</t>
  </si>
  <si>
    <t>Percentile Q1</t>
  </si>
  <si>
    <t>Percentile Q2</t>
  </si>
  <si>
    <t>Percentile Q3</t>
  </si>
  <si>
    <t>PriceBand</t>
  </si>
  <si>
    <t>Apr-2023</t>
  </si>
  <si>
    <t>Apr-2024</t>
  </si>
  <si>
    <t>Apr-2025</t>
  </si>
  <si>
    <t>Aug-2023</t>
  </si>
  <si>
    <t>Aug-2024</t>
  </si>
  <si>
    <t>Aug-2025</t>
  </si>
  <si>
    <t>Dec-2023</t>
  </si>
  <si>
    <t>Dec-2024</t>
  </si>
  <si>
    <t>Feb-2023</t>
  </si>
  <si>
    <t>Feb-2024</t>
  </si>
  <si>
    <t>Feb-2025</t>
  </si>
  <si>
    <t>Jan-2023</t>
  </si>
  <si>
    <t>Jan-2024</t>
  </si>
  <si>
    <t>Jan-2025</t>
  </si>
  <si>
    <t>Jul-2023</t>
  </si>
  <si>
    <t>Jul-2024</t>
  </si>
  <si>
    <t>Jul-2025</t>
  </si>
  <si>
    <t>Jun-2023</t>
  </si>
  <si>
    <t>Jun-2024</t>
  </si>
  <si>
    <t>Jun-2025</t>
  </si>
  <si>
    <t>Mar-2023</t>
  </si>
  <si>
    <t>Mar-2024</t>
  </si>
  <si>
    <t>Mar-2025</t>
  </si>
  <si>
    <t>May-2023</t>
  </si>
  <si>
    <t>May-2024</t>
  </si>
  <si>
    <t>May-2025</t>
  </si>
  <si>
    <t>Nov-2023</t>
  </si>
  <si>
    <t>Nov-2024</t>
  </si>
  <si>
    <t>Oct-2023</t>
  </si>
  <si>
    <t>Oct-2024</t>
  </si>
  <si>
    <t>Sep-2023</t>
  </si>
  <si>
    <t>Sep-2024</t>
  </si>
  <si>
    <t>Sep-2025</t>
  </si>
  <si>
    <t>Sum of GrossRevenue</t>
  </si>
  <si>
    <t>CumulativeRevenue</t>
  </si>
  <si>
    <t>Count of OrderID</t>
  </si>
  <si>
    <t>Sum of GrossProfit</t>
  </si>
  <si>
    <t>Revenue/Order</t>
  </si>
  <si>
    <t>GrossProfit/Order</t>
  </si>
  <si>
    <t>Column Labels</t>
  </si>
  <si>
    <t>Sum of LeadTimeDays</t>
  </si>
  <si>
    <t>Sum of CappedDiscountCustom</t>
  </si>
  <si>
    <t>Time Buckets</t>
  </si>
  <si>
    <t>Sales Trend</t>
  </si>
  <si>
    <t>Regional Performance</t>
  </si>
  <si>
    <t>Product Category Breakdown</t>
  </si>
  <si>
    <t>SalesPerson LeaderBoard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</si>
</sst>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Red]0.00"/>
    <numFmt numFmtId="166" formatCode="#,##0.00;[Red]#,##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1"/>
    <xf numFmtId="164" fontId="0" fillId="0" borderId="0" xfId="0" applyNumberFormat="1"/>
    <xf numFmtId="165" fontId="0" fillId="0" borderId="0" xfId="0" applyNumberFormat="1"/>
    <xf numFmtId="49" fontId="0" fillId="0" borderId="0" xfId="0" applyNumberFormat="1"/>
    <xf numFmtId="166" fontId="0" fillId="0" borderId="0" xfId="0" applyNumberFormat="1"/>
    <xf numFmtId="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2" fontId="0" fillId="0" borderId="0" xfId="0" applyNumberFormat="1"/>
    <xf numFmtId="0" fontId="1" fillId="0" borderId="0" xfId="0" pivotButton="1" applyFont="1"/>
    <xf numFmtId="0" fontId="1" fillId="0" borderId="0" xfId="0" applyFont="1"/>
    <xf numFmtId="165" fontId="1" fillId="0" borderId="0" xfId="0" applyNumberFormat="1" applyFont="1"/>
    <xf numFmtId="2" fontId="1" fillId="0" borderId="0" xfId="0" applyNumberFormat="1" applyFont="1"/>
    <xf numFmtId="0" fontId="1" fillId="2" borderId="0" xfId="0" applyFont="1" applyFill="1"/>
    <xf numFmtId="0" fontId="1" fillId="2" borderId="0" xfId="0" applyFont="1" applyFill="1" applyAlignment="1">
      <alignment horizontal="left"/>
    </xf>
  </cellXfs>
  <cellStyles count="1">
    <cellStyle name="Normal" xfId="0" builtinId="0"/>
  </cellStyles>
  <dxfs count="45">
    <dxf>
      <numFmt numFmtId="166" formatCode="#,##0.00;[Red]#,##0.00"/>
    </dxf>
    <dxf>
      <numFmt numFmtId="14" formatCode="0.00%"/>
    </dxf>
    <dxf>
      <numFmt numFmtId="4" formatCode="#,##0.00"/>
    </dxf>
    <dxf>
      <numFmt numFmtId="4" formatCode="#,##0.00"/>
    </dxf>
    <dxf>
      <numFmt numFmtId="4" formatCode="#,##0.00"/>
    </dxf>
    <dxf>
      <numFmt numFmtId="166" formatCode="#,##0.00;[Red]#,##0.0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00;[Red]0.00"/>
    </dxf>
    <dxf>
      <numFmt numFmtId="165" formatCode="0.00;[Red]0.00"/>
    </dxf>
    <dxf>
      <numFmt numFmtId="165" formatCode="0.00;[Red]0.00"/>
    </dxf>
    <dxf>
      <numFmt numFmtId="165" formatCode="0.00;[Red]0.00"/>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0" formatCode="General"/>
    </dxf>
    <dxf>
      <numFmt numFmtId="164" formatCode="yyyy\-mm\-dd;@"/>
    </dxf>
    <dxf>
      <numFmt numFmtId="30" formatCode="@"/>
    </dxf>
    <dxf>
      <numFmt numFmtId="164" formatCode="yyyy\-mm\-dd;@"/>
    </dxf>
    <dxf>
      <numFmt numFmtId="164" formatCode="yyyy\-mm\-dd;@"/>
    </dxf>
    <dxf>
      <numFmt numFmtId="30" formatCode="@"/>
    </dxf>
    <dxf>
      <font>
        <b/>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2(AutoRecovered).xlsx]Dashboard!Sale Trends </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Dashboard!$B$3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Dashboard!$A$4:$A$31</c:f>
              <c:strCache>
                <c:ptCount val="27"/>
                <c:pt idx="0">
                  <c:v>Apr-2023</c:v>
                </c:pt>
                <c:pt idx="1">
                  <c:v>Apr-2024</c:v>
                </c:pt>
                <c:pt idx="2">
                  <c:v>Apr-2025</c:v>
                </c:pt>
                <c:pt idx="3">
                  <c:v>Aug-2023</c:v>
                </c:pt>
                <c:pt idx="4">
                  <c:v>Aug-2024</c:v>
                </c:pt>
                <c:pt idx="5">
                  <c:v>Aug-2025</c:v>
                </c:pt>
                <c:pt idx="6">
                  <c:v>Dec-2023</c:v>
                </c:pt>
                <c:pt idx="7">
                  <c:v>Dec-2024</c:v>
                </c:pt>
                <c:pt idx="8">
                  <c:v>Feb-2023</c:v>
                </c:pt>
                <c:pt idx="9">
                  <c:v>Feb-2024</c:v>
                </c:pt>
                <c:pt idx="10">
                  <c:v>Feb-2025</c:v>
                </c:pt>
                <c:pt idx="11">
                  <c:v>Jan-2023</c:v>
                </c:pt>
                <c:pt idx="12">
                  <c:v>Jan-2024</c:v>
                </c:pt>
                <c:pt idx="13">
                  <c:v>Jan-2025</c:v>
                </c:pt>
                <c:pt idx="14">
                  <c:v>Jul-2023</c:v>
                </c:pt>
                <c:pt idx="15">
                  <c:v>Jun-2023</c:v>
                </c:pt>
                <c:pt idx="16">
                  <c:v>Jun-2024</c:v>
                </c:pt>
                <c:pt idx="17">
                  <c:v>Jun-2025</c:v>
                </c:pt>
                <c:pt idx="18">
                  <c:v>Mar-2023</c:v>
                </c:pt>
                <c:pt idx="19">
                  <c:v>Mar-2024</c:v>
                </c:pt>
                <c:pt idx="20">
                  <c:v>Mar-2025</c:v>
                </c:pt>
                <c:pt idx="21">
                  <c:v>May-2024</c:v>
                </c:pt>
                <c:pt idx="22">
                  <c:v>May-2025</c:v>
                </c:pt>
                <c:pt idx="23">
                  <c:v>Nov-2023</c:v>
                </c:pt>
                <c:pt idx="24">
                  <c:v>Nov-2024</c:v>
                </c:pt>
                <c:pt idx="25">
                  <c:v>Oct-2023</c:v>
                </c:pt>
                <c:pt idx="26">
                  <c:v>Sep-2025</c:v>
                </c:pt>
              </c:strCache>
            </c:strRef>
          </c:cat>
          <c:val>
            <c:numRef>
              <c:f>Dashboard!$B$4:$B$31</c:f>
              <c:numCache>
                <c:formatCode>#,##0.00;[Red]#,##0.00</c:formatCode>
                <c:ptCount val="27"/>
                <c:pt idx="0">
                  <c:v>125221.19722999999</c:v>
                </c:pt>
                <c:pt idx="1">
                  <c:v>16219.34496</c:v>
                </c:pt>
                <c:pt idx="2">
                  <c:v>31032.03772</c:v>
                </c:pt>
                <c:pt idx="3">
                  <c:v>23253.813959999999</c:v>
                </c:pt>
                <c:pt idx="4">
                  <c:v>64794.325410000005</c:v>
                </c:pt>
                <c:pt idx="5">
                  <c:v>853.32276999999988</c:v>
                </c:pt>
                <c:pt idx="6">
                  <c:v>44609.264280000003</c:v>
                </c:pt>
                <c:pt idx="7">
                  <c:v>26696.637839999996</c:v>
                </c:pt>
                <c:pt idx="8">
                  <c:v>125184.51486</c:v>
                </c:pt>
                <c:pt idx="9">
                  <c:v>7525.7376100000001</c:v>
                </c:pt>
                <c:pt idx="10">
                  <c:v>35936.441640000005</c:v>
                </c:pt>
                <c:pt idx="11">
                  <c:v>8336.8896000000004</c:v>
                </c:pt>
                <c:pt idx="12">
                  <c:v>25515.430039999999</c:v>
                </c:pt>
                <c:pt idx="13">
                  <c:v>16164.089459999999</c:v>
                </c:pt>
                <c:pt idx="14">
                  <c:v>52945.155879999998</c:v>
                </c:pt>
                <c:pt idx="15">
                  <c:v>23173.104240000001</c:v>
                </c:pt>
                <c:pt idx="16">
                  <c:v>95263.061460000012</c:v>
                </c:pt>
                <c:pt idx="17">
                  <c:v>33776.6849</c:v>
                </c:pt>
                <c:pt idx="18">
                  <c:v>16013.681599999998</c:v>
                </c:pt>
                <c:pt idx="19">
                  <c:v>74710.03499</c:v>
                </c:pt>
                <c:pt idx="20">
                  <c:v>37314.832459999998</c:v>
                </c:pt>
                <c:pt idx="21">
                  <c:v>34794.188580000002</c:v>
                </c:pt>
                <c:pt idx="22">
                  <c:v>49929.932339999999</c:v>
                </c:pt>
                <c:pt idx="23">
                  <c:v>28593.438029999998</c:v>
                </c:pt>
                <c:pt idx="24">
                  <c:v>4877.1379800000004</c:v>
                </c:pt>
                <c:pt idx="25">
                  <c:v>28535.383420000002</c:v>
                </c:pt>
                <c:pt idx="26">
                  <c:v>8764.4065599999994</c:v>
                </c:pt>
              </c:numCache>
            </c:numRef>
          </c:val>
          <c:smooth val="0"/>
          <c:extLst>
            <c:ext xmlns:c16="http://schemas.microsoft.com/office/drawing/2014/chart" uri="{C3380CC4-5D6E-409C-BE32-E72D297353CC}">
              <c16:uniqueId val="{00000000-594E-47A0-9755-510D76D7F44C}"/>
            </c:ext>
          </c:extLst>
        </c:ser>
        <c:dLbls>
          <c:showLegendKey val="0"/>
          <c:showVal val="0"/>
          <c:showCatName val="0"/>
          <c:showSerName val="0"/>
          <c:showPercent val="0"/>
          <c:showBubbleSize val="0"/>
        </c:dLbls>
        <c:marker val="1"/>
        <c:smooth val="0"/>
        <c:axId val="849908031"/>
        <c:axId val="849908511"/>
      </c:lineChart>
      <c:catAx>
        <c:axId val="84990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08511"/>
        <c:crosses val="autoZero"/>
        <c:auto val="1"/>
        <c:lblAlgn val="ctr"/>
        <c:lblOffset val="100"/>
        <c:noMultiLvlLbl val="0"/>
      </c:catAx>
      <c:valAx>
        <c:axId val="849908511"/>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908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2(AutoRecovered).xlsx]Dashboard!PivotTable2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Performance </a:t>
            </a:r>
            <a:endParaRPr lang="en-US"/>
          </a:p>
        </c:rich>
      </c:tx>
      <c:layout>
        <c:manualLayout>
          <c:xMode val="edge"/>
          <c:yMode val="edge"/>
          <c:x val="0.36659870422057983"/>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Dashboard!$F$3</c:f>
              <c:strCache>
                <c:ptCount val="1"/>
                <c:pt idx="0">
                  <c:v>Total</c:v>
                </c:pt>
              </c:strCache>
            </c:strRef>
          </c:tx>
          <c:spPr>
            <a:solidFill>
              <a:schemeClr val="accent1"/>
            </a:solidFill>
            <a:ln>
              <a:noFill/>
            </a:ln>
            <a:effectLst/>
          </c:spPr>
          <c:invertIfNegative val="0"/>
          <c:cat>
            <c:multiLvlStrRef>
              <c:f>Dashboard!$E$4:$E$8</c:f>
              <c:multiLvlStrCache>
                <c:ptCount val="3"/>
                <c:lvl>
                  <c:pt idx="0">
                    <c:v>France</c:v>
                  </c:pt>
                  <c:pt idx="1">
                    <c:v>Germany</c:v>
                  </c:pt>
                  <c:pt idx="2">
                    <c:v>United Kingdom</c:v>
                  </c:pt>
                </c:lvl>
                <c:lvl>
                  <c:pt idx="0">
                    <c:v>Europe</c:v>
                  </c:pt>
                </c:lvl>
              </c:multiLvlStrCache>
            </c:multiLvlStrRef>
          </c:cat>
          <c:val>
            <c:numRef>
              <c:f>Dashboard!$F$4:$F$8</c:f>
              <c:numCache>
                <c:formatCode>#,##0.00;[Red]#,##0.00</c:formatCode>
                <c:ptCount val="3"/>
                <c:pt idx="0">
                  <c:v>280907.51348999998</c:v>
                </c:pt>
                <c:pt idx="1">
                  <c:v>455700.42245999997</c:v>
                </c:pt>
                <c:pt idx="2">
                  <c:v>303426.15387000004</c:v>
                </c:pt>
              </c:numCache>
            </c:numRef>
          </c:val>
          <c:extLst>
            <c:ext xmlns:c16="http://schemas.microsoft.com/office/drawing/2014/chart" uri="{C3380CC4-5D6E-409C-BE32-E72D297353CC}">
              <c16:uniqueId val="{00000000-D27A-45C5-B9B2-57E4DF32462F}"/>
            </c:ext>
          </c:extLst>
        </c:ser>
        <c:dLbls>
          <c:showLegendKey val="0"/>
          <c:showVal val="0"/>
          <c:showCatName val="0"/>
          <c:showSerName val="0"/>
          <c:showPercent val="0"/>
          <c:showBubbleSize val="0"/>
        </c:dLbls>
        <c:gapWidth val="182"/>
        <c:axId val="818001471"/>
        <c:axId val="818000991"/>
      </c:barChart>
      <c:catAx>
        <c:axId val="81800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00991"/>
        <c:crosses val="autoZero"/>
        <c:auto val="1"/>
        <c:lblAlgn val="ctr"/>
        <c:lblOffset val="100"/>
        <c:noMultiLvlLbl val="0"/>
      </c:catAx>
      <c:valAx>
        <c:axId val="818000991"/>
        <c:scaling>
          <c:orientation val="minMax"/>
        </c:scaling>
        <c:delete val="0"/>
        <c:axPos val="b"/>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00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2(AutoRecovered).xlsx]Dashboard!PivotTable3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Category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Dashboard!$J$3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29-4B52-BE51-9D4A8A3CCA2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29-4B52-BE51-9D4A8A3CCA2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729-4B52-BE51-9D4A8A3CCA2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729-4B52-BE51-9D4A8A3CCA2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729-4B52-BE51-9D4A8A3CCA2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729-4B52-BE51-9D4A8A3CCA22}"/>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729-4B52-BE51-9D4A8A3CCA22}"/>
              </c:ext>
            </c:extLst>
          </c:dPt>
          <c:cat>
            <c:strRef>
              <c:f>Dashboard!$I$4:$I$11</c:f>
              <c:strCache>
                <c:ptCount val="7"/>
                <c:pt idx="0">
                  <c:v>Accessories</c:v>
                </c:pt>
                <c:pt idx="1">
                  <c:v>Components</c:v>
                </c:pt>
                <c:pt idx="2">
                  <c:v>Laptops</c:v>
                </c:pt>
                <c:pt idx="3">
                  <c:v>Monitors</c:v>
                </c:pt>
                <c:pt idx="4">
                  <c:v>Networking</c:v>
                </c:pt>
                <c:pt idx="5">
                  <c:v>Phones</c:v>
                </c:pt>
                <c:pt idx="6">
                  <c:v>Printers</c:v>
                </c:pt>
              </c:strCache>
            </c:strRef>
          </c:cat>
          <c:val>
            <c:numRef>
              <c:f>Dashboard!$J$4:$J$11</c:f>
              <c:numCache>
                <c:formatCode>#,##0.00;[Red]#,##0.00</c:formatCode>
                <c:ptCount val="7"/>
                <c:pt idx="0">
                  <c:v>89145.056540000005</c:v>
                </c:pt>
                <c:pt idx="1">
                  <c:v>215245.14081000001</c:v>
                </c:pt>
                <c:pt idx="2">
                  <c:v>81885.518920000002</c:v>
                </c:pt>
                <c:pt idx="3">
                  <c:v>233045.73270000002</c:v>
                </c:pt>
                <c:pt idx="4">
                  <c:v>115377.62392</c:v>
                </c:pt>
                <c:pt idx="5">
                  <c:v>62175.421800000004</c:v>
                </c:pt>
                <c:pt idx="6">
                  <c:v>243159.59512999997</c:v>
                </c:pt>
              </c:numCache>
            </c:numRef>
          </c:val>
          <c:extLst>
            <c:ext xmlns:c16="http://schemas.microsoft.com/office/drawing/2014/chart" uri="{C3380CC4-5D6E-409C-BE32-E72D297353CC}">
              <c16:uniqueId val="{00000000-6E31-4EED-974A-B20A80B2223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2(AutoRecovered).xlsx]Dashboard!PivotTable4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a:t>
            </a:r>
            <a:r>
              <a:rPr lang="en-US" baseline="0"/>
              <a:t> LeaderBoard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Dashboard!$J$15</c:f>
              <c:strCache>
                <c:ptCount val="1"/>
                <c:pt idx="0">
                  <c:v>Total</c:v>
                </c:pt>
              </c:strCache>
            </c:strRef>
          </c:tx>
          <c:spPr>
            <a:solidFill>
              <a:schemeClr val="accent1"/>
            </a:solidFill>
            <a:ln>
              <a:noFill/>
            </a:ln>
            <a:effectLst/>
          </c:spPr>
          <c:invertIfNegative val="0"/>
          <c:cat>
            <c:strRef>
              <c:f>Dashboard!$I$16:$I$30</c:f>
              <c:strCache>
                <c:ptCount val="14"/>
                <c:pt idx="0">
                  <c:v>A. Patel</c:v>
                </c:pt>
                <c:pt idx="1">
                  <c:v>B. Chen</c:v>
                </c:pt>
                <c:pt idx="2">
                  <c:v>C. Otieno</c:v>
                </c:pt>
                <c:pt idx="3">
                  <c:v>D. Smith</c:v>
                </c:pt>
                <c:pt idx="4">
                  <c:v>E. Garcia</c:v>
                </c:pt>
                <c:pt idx="5">
                  <c:v>G. Dubois</c:v>
                </c:pt>
                <c:pt idx="6">
                  <c:v>H. Kim</c:v>
                </c:pt>
                <c:pt idx="7">
                  <c:v>I. Johnson</c:v>
                </c:pt>
                <c:pt idx="8">
                  <c:v>J. Njeri</c:v>
                </c:pt>
                <c:pt idx="9">
                  <c:v>K. Singh</c:v>
                </c:pt>
                <c:pt idx="10">
                  <c:v>L. Okafor</c:v>
                </c:pt>
                <c:pt idx="11">
                  <c:v>M. Rossi</c:v>
                </c:pt>
                <c:pt idx="12">
                  <c:v>N. Brown</c:v>
                </c:pt>
                <c:pt idx="13">
                  <c:v>O. Wang</c:v>
                </c:pt>
              </c:strCache>
            </c:strRef>
          </c:cat>
          <c:val>
            <c:numRef>
              <c:f>Dashboard!$J$16:$J$30</c:f>
              <c:numCache>
                <c:formatCode>#,##0.00;[Red]#,##0.00</c:formatCode>
                <c:ptCount val="14"/>
                <c:pt idx="0">
                  <c:v>41245.628180000007</c:v>
                </c:pt>
                <c:pt idx="1">
                  <c:v>54150.062290000002</c:v>
                </c:pt>
                <c:pt idx="2">
                  <c:v>5159.7893599999998</c:v>
                </c:pt>
                <c:pt idx="3">
                  <c:v>66660.583769999997</c:v>
                </c:pt>
                <c:pt idx="4">
                  <c:v>156738.17905000001</c:v>
                </c:pt>
                <c:pt idx="5">
                  <c:v>43287.417860000001</c:v>
                </c:pt>
                <c:pt idx="6">
                  <c:v>61037.140419999996</c:v>
                </c:pt>
                <c:pt idx="7">
                  <c:v>92721.549899999998</c:v>
                </c:pt>
                <c:pt idx="8">
                  <c:v>79568.008189999993</c:v>
                </c:pt>
                <c:pt idx="9">
                  <c:v>100085.72267999999</c:v>
                </c:pt>
                <c:pt idx="10">
                  <c:v>112034.08076</c:v>
                </c:pt>
                <c:pt idx="11">
                  <c:v>174576.83266000001</c:v>
                </c:pt>
                <c:pt idx="12">
                  <c:v>45386.949699999997</c:v>
                </c:pt>
                <c:pt idx="13">
                  <c:v>7382.1450000000004</c:v>
                </c:pt>
              </c:numCache>
            </c:numRef>
          </c:val>
          <c:extLst>
            <c:ext xmlns:c16="http://schemas.microsoft.com/office/drawing/2014/chart" uri="{C3380CC4-5D6E-409C-BE32-E72D297353CC}">
              <c16:uniqueId val="{00000000-6221-432C-B340-802203B7C096}"/>
            </c:ext>
          </c:extLst>
        </c:ser>
        <c:dLbls>
          <c:showLegendKey val="0"/>
          <c:showVal val="0"/>
          <c:showCatName val="0"/>
          <c:showSerName val="0"/>
          <c:showPercent val="0"/>
          <c:showBubbleSize val="0"/>
        </c:dLbls>
        <c:gapWidth val="219"/>
        <c:overlap val="-27"/>
        <c:axId val="598400015"/>
        <c:axId val="519008367"/>
      </c:barChart>
      <c:catAx>
        <c:axId val="59840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08367"/>
        <c:crosses val="autoZero"/>
        <c:auto val="1"/>
        <c:lblAlgn val="ctr"/>
        <c:lblOffset val="100"/>
        <c:noMultiLvlLbl val="0"/>
      </c:catAx>
      <c:valAx>
        <c:axId val="519008367"/>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00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97941</xdr:colOff>
      <xdr:row>31</xdr:row>
      <xdr:rowOff>11407</xdr:rowOff>
    </xdr:from>
    <xdr:to>
      <xdr:col>4</xdr:col>
      <xdr:colOff>741552</xdr:colOff>
      <xdr:row>46</xdr:row>
      <xdr:rowOff>10115</xdr:rowOff>
    </xdr:to>
    <xdr:graphicFrame macro="">
      <xdr:nvGraphicFramePr>
        <xdr:cNvPr id="8" name="Chart 7">
          <a:extLst>
            <a:ext uri="{FF2B5EF4-FFF2-40B4-BE49-F238E27FC236}">
              <a16:creationId xmlns:a16="http://schemas.microsoft.com/office/drawing/2014/main" id="{717759D3-CAE2-9590-F669-703408C0DE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302431</xdr:colOff>
      <xdr:row>32</xdr:row>
      <xdr:rowOff>140562</xdr:rowOff>
    </xdr:from>
    <xdr:to>
      <xdr:col>18</xdr:col>
      <xdr:colOff>376694</xdr:colOff>
      <xdr:row>47</xdr:row>
      <xdr:rowOff>139270</xdr:rowOff>
    </xdr:to>
    <xdr:graphicFrame macro="">
      <xdr:nvGraphicFramePr>
        <xdr:cNvPr id="9" name="Chart 8">
          <a:extLst>
            <a:ext uri="{FF2B5EF4-FFF2-40B4-BE49-F238E27FC236}">
              <a16:creationId xmlns:a16="http://schemas.microsoft.com/office/drawing/2014/main" id="{C594674D-2AF0-62EC-1EF9-889AC56D2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237855</xdr:colOff>
      <xdr:row>33</xdr:row>
      <xdr:rowOff>32934</xdr:rowOff>
    </xdr:from>
    <xdr:to>
      <xdr:col>26</xdr:col>
      <xdr:colOff>181890</xdr:colOff>
      <xdr:row>48</xdr:row>
      <xdr:rowOff>31642</xdr:rowOff>
    </xdr:to>
    <xdr:graphicFrame macro="">
      <xdr:nvGraphicFramePr>
        <xdr:cNvPr id="10" name="Chart 9">
          <a:extLst>
            <a:ext uri="{FF2B5EF4-FFF2-40B4-BE49-F238E27FC236}">
              <a16:creationId xmlns:a16="http://schemas.microsoft.com/office/drawing/2014/main" id="{664B97A4-33CC-D25D-F388-6C0A2F9CCA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334722</xdr:colOff>
      <xdr:row>32</xdr:row>
      <xdr:rowOff>97511</xdr:rowOff>
    </xdr:from>
    <xdr:to>
      <xdr:col>9</xdr:col>
      <xdr:colOff>1302288</xdr:colOff>
      <xdr:row>47</xdr:row>
      <xdr:rowOff>96219</xdr:rowOff>
    </xdr:to>
    <xdr:graphicFrame macro="">
      <xdr:nvGraphicFramePr>
        <xdr:cNvPr id="11" name="Chart 10">
          <a:extLst>
            <a:ext uri="{FF2B5EF4-FFF2-40B4-BE49-F238E27FC236}">
              <a16:creationId xmlns:a16="http://schemas.microsoft.com/office/drawing/2014/main" id="{CE837524-BAC6-2227-9301-56F3496A3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291561</xdr:colOff>
      <xdr:row>49</xdr:row>
      <xdr:rowOff>107842</xdr:rowOff>
    </xdr:from>
    <xdr:to>
      <xdr:col>8</xdr:col>
      <xdr:colOff>893411</xdr:colOff>
      <xdr:row>63</xdr:row>
      <xdr:rowOff>70442</xdr:rowOff>
    </xdr:to>
    <mc:AlternateContent xmlns:mc="http://schemas.openxmlformats.org/markup-compatibility/2006" xmlns:a14="http://schemas.microsoft.com/office/drawing/2010/main">
      <mc:Choice Requires="a14">
        <xdr:graphicFrame macro="">
          <xdr:nvGraphicFramePr>
            <xdr:cNvPr id="12" name="OrderQuarter">
              <a:extLst>
                <a:ext uri="{FF2B5EF4-FFF2-40B4-BE49-F238E27FC236}">
                  <a16:creationId xmlns:a16="http://schemas.microsoft.com/office/drawing/2014/main" id="{1293B45E-66CE-8906-1DCF-FC93889A5B45}"/>
                </a:ext>
              </a:extLst>
            </xdr:cNvPr>
            <xdr:cNvGraphicFramePr/>
          </xdr:nvGraphicFramePr>
          <xdr:xfrm>
            <a:off x="0" y="0"/>
            <a:ext cx="0" cy="0"/>
          </xdr:xfrm>
          <a:graphic>
            <a:graphicData uri="http://schemas.microsoft.com/office/drawing/2010/slicer">
              <sle:slicer xmlns:sle="http://schemas.microsoft.com/office/drawing/2010/slicer" name="OrderQuarter"/>
            </a:graphicData>
          </a:graphic>
        </xdr:graphicFrame>
      </mc:Choice>
      <mc:Fallback xmlns="">
        <xdr:sp macro="" textlink="">
          <xdr:nvSpPr>
            <xdr:cNvPr id="0" name=""/>
            <xdr:cNvSpPr>
              <a:spLocks noTextEdit="1"/>
            </xdr:cNvSpPr>
          </xdr:nvSpPr>
          <xdr:spPr>
            <a:xfrm>
              <a:off x="6254103" y="907318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875439</xdr:colOff>
      <xdr:row>49</xdr:row>
      <xdr:rowOff>56719</xdr:rowOff>
    </xdr:from>
    <xdr:to>
      <xdr:col>11</xdr:col>
      <xdr:colOff>218053</xdr:colOff>
      <xdr:row>63</xdr:row>
      <xdr:rowOff>19319</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03E91D02-F26B-B9FB-4DC2-C9BA953902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65863" y="902205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253894</xdr:colOff>
      <xdr:row>49</xdr:row>
      <xdr:rowOff>91699</xdr:rowOff>
    </xdr:from>
    <xdr:to>
      <xdr:col>16</xdr:col>
      <xdr:colOff>242270</xdr:colOff>
      <xdr:row>63</xdr:row>
      <xdr:rowOff>54299</xdr:rowOff>
    </xdr:to>
    <mc:AlternateContent xmlns:mc="http://schemas.openxmlformats.org/markup-compatibility/2006" xmlns:a14="http://schemas.microsoft.com/office/drawing/2010/main">
      <mc:Choice Requires="a14">
        <xdr:graphicFrame macro="">
          <xdr:nvGraphicFramePr>
            <xdr:cNvPr id="14" name="CustomerSegment">
              <a:extLst>
                <a:ext uri="{FF2B5EF4-FFF2-40B4-BE49-F238E27FC236}">
                  <a16:creationId xmlns:a16="http://schemas.microsoft.com/office/drawing/2014/main" id="{CF819461-4118-0DDC-59B4-C1B0C55773DF}"/>
                </a:ext>
              </a:extLst>
            </xdr:cNvPr>
            <xdr:cNvGraphicFramePr/>
          </xdr:nvGraphicFramePr>
          <xdr:xfrm>
            <a:off x="0" y="0"/>
            <a:ext cx="0" cy="0"/>
          </xdr:xfrm>
          <a:graphic>
            <a:graphicData uri="http://schemas.microsoft.com/office/drawing/2010/slicer">
              <sle:slicer xmlns:sle="http://schemas.microsoft.com/office/drawing/2010/slicer" name="CustomerSegment"/>
            </a:graphicData>
          </a:graphic>
        </xdr:graphicFrame>
      </mc:Choice>
      <mc:Fallback xmlns="">
        <xdr:sp macro="" textlink="">
          <xdr:nvSpPr>
            <xdr:cNvPr id="0" name=""/>
            <xdr:cNvSpPr>
              <a:spLocks noTextEdit="1"/>
            </xdr:cNvSpPr>
          </xdr:nvSpPr>
          <xdr:spPr>
            <a:xfrm>
              <a:off x="12157453" y="905703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leny" refreshedDate="46047.547625578707" createdVersion="8" refreshedVersion="8" minRefreshableVersion="3" recordCount="228" xr:uid="{3C436333-4B83-47CC-8099-E89248DE173A}">
  <cacheSource type="worksheet">
    <worksheetSource name="Data3"/>
  </cacheSource>
  <cacheFields count="30">
    <cacheField name="OrderID" numFmtId="49">
      <sharedItems count="227">
        <s v="ORD-2024-275203"/>
        <s v="ORD-2024-358795"/>
        <s v="ORD-2023-373538"/>
        <s v="ORD-2025-168148"/>
        <s v="ORD-2023-824839"/>
        <s v="ORD-2023-723587"/>
        <s v="ORD-2024-336584"/>
        <s v="ORD-2023-112666"/>
        <s v="ORD-2024-589570"/>
        <s v="ORD-2025-997421"/>
        <s v="ORD-2024-210687"/>
        <s v="ORD-2025-515515"/>
        <s v="ORD-2025-487261"/>
        <s v="ORD-2023-937291"/>
        <s v="ORD-2024-206081"/>
        <s v="ORD-2025-233883"/>
        <s v="ORD-2025-745263"/>
        <s v="ORD-2023-867836"/>
        <s v="ORD-2025-580047"/>
        <s v="ORD-2024-500109"/>
        <s v="ORD-2023-271836"/>
        <s v="ORD-2024-215294"/>
        <s v="ORD-2024-855073"/>
        <s v="ORD-2025-548982"/>
        <s v="ORD-2024-170313"/>
        <s v="ORD-2023-562894"/>
        <s v="ORD-2025-474710"/>
        <s v="ORD-2023-864121"/>
        <s v="ORD-2024-692673"/>
        <s v="ORD-2025-718992"/>
        <s v="ORD-2024-599522"/>
        <s v="ORD-2023-651638"/>
        <s v="ORD-2024-635626"/>
        <s v="ORD-2024-998320"/>
        <s v="ORD-2025-820255"/>
        <s v="ORD-2024-389336"/>
        <s v="ORD-2023-308124"/>
        <s v="ORD-2024-966651"/>
        <s v="ORD-2023-292714"/>
        <s v="ORD-2024-468501"/>
        <s v="ORD-2024-260775"/>
        <s v="ORD-2023-235230"/>
        <s v="ORD-2025-931538"/>
        <s v="ORD-2025-639542"/>
        <s v="ORD-2025-762301"/>
        <s v="ORD-2024-906395"/>
        <s v="ORD-2025-779574"/>
        <s v="ORD-2025-526650"/>
        <s v="ORD-2024-247979"/>
        <s v="ORD-2023-480975"/>
        <s v="ORD-2023-239789"/>
        <s v="ORD-2023-548874"/>
        <s v="ORD-2024-347736"/>
        <s v="ORD-2023-749324"/>
        <s v="ORD-2023-809913"/>
        <s v="ORD-2024-287210"/>
        <s v="ORD-2025-640677"/>
        <s v="ORD-2024-939873"/>
        <s v="ORD-2024-800947"/>
        <s v="ORD-2023-382272"/>
        <s v="ORD-2023-722117"/>
        <s v="ORD-2024-446699"/>
        <s v="ORD-2023-290279"/>
        <s v="ORD-2024-192263"/>
        <s v="ORD-2023-159379"/>
        <s v="ORD-2023-343322"/>
        <s v="ORD-2025-488349"/>
        <s v="ORD-2025-330203"/>
        <s v="ORD-2023-841426"/>
        <s v="ORD-2024-594592"/>
        <s v="ORD-2025-863978"/>
        <s v="ORD-2024-604471"/>
        <s v="ORD-2023-258768"/>
        <s v="ORD-2023-374486"/>
        <s v="ORD-2024-997336"/>
        <s v="ORD-2025-725646"/>
        <s v="ORD-2023-868734"/>
        <s v="ORD-2025-541501"/>
        <s v="ORD-2024-851883"/>
        <s v="ORD-2024-478165"/>
        <s v="ORD-2024-155337"/>
        <s v="ORD-2023-251563"/>
        <s v="ORD-2024-286833"/>
        <s v="ORD-2024-166150"/>
        <s v="ORD-2024-223618"/>
        <s v="ORD-2024-919471"/>
        <s v="ORD-2023-869884"/>
        <s v="ORD-2025-698069"/>
        <s v="ORD-2023-427304"/>
        <s v="ORD-2025-956101"/>
        <s v="ORD-2023-576840"/>
        <s v="ORD-2023-178249"/>
        <s v="ORD-2024-588972"/>
        <s v="ORD-2024-584090"/>
        <s v="ORD-2025-537785"/>
        <s v="ORD-2023-521818"/>
        <s v="ORD-2025-650719"/>
        <s v="ORD-2023-430904"/>
        <s v="ORD-2024-164288"/>
        <s v="ORD-2024-836421"/>
        <s v="ORD-2023-613287"/>
        <s v="ORD-2024-232632"/>
        <s v="ORD-2023-912395"/>
        <s v="ORD-2024-389102"/>
        <s v="ORD-2023-309373"/>
        <s v="ORD-2023-825495"/>
        <s v="ORD-2024-438404"/>
        <s v="ORD-2023-497686"/>
        <s v="ORD-2024-764468"/>
        <s v="ORD-2024-553449"/>
        <s v="ORD-2025-766923"/>
        <s v="ORD-2025-418232"/>
        <s v="ORD-2024-219735"/>
        <s v="ORD-2024-134084"/>
        <s v="ORD-2023-884625"/>
        <s v="ORD-2023-157993"/>
        <s v="ORD-2024-329104"/>
        <s v="ORD-2025-700847"/>
        <s v="ORD-2024-970848"/>
        <s v="ORD-2023-664749"/>
        <s v="ORD-2024-960952"/>
        <s v="ORD-2023-987700"/>
        <s v="ORD-2025-652467"/>
        <s v="ORD-2025-667201"/>
        <s v="ORD-2025-898843"/>
        <s v="ORD-2024-640340"/>
        <s v="ORD-2025-542939"/>
        <s v="ORD-2024-212990"/>
        <s v="ORD-2024-444710"/>
        <s v="ORD-2024-968374"/>
        <s v="ORD-2023-701153"/>
        <s v="ORD-2024-999607"/>
        <s v="ORD-2025-964661"/>
        <s v="ORD-2023-390998"/>
        <s v="ORD-2025-146850"/>
        <s v="ORD-2024-686712"/>
        <s v="ORD-2024-988736"/>
        <s v="ORD-2024-197852"/>
        <s v="ORD-2023-431328"/>
        <s v="ORD-2024-720756"/>
        <s v="ORD-2024-777623"/>
        <s v="ORD-2023-713375"/>
        <s v="ORD-2023-302041"/>
        <s v="ORD-2024-423853"/>
        <s v="ORD-2025-132174"/>
        <s v="ORD-2023-964434"/>
        <s v="ORD-2023-517216"/>
        <s v="ORD-2025-509940"/>
        <s v="ORD-2024-866535"/>
        <s v="ORD-2024-853298"/>
        <s v="ORD-2024-544865"/>
        <s v="ORD-2024-220234"/>
        <s v="ORD-2024-301260"/>
        <s v="ORD-2023-630430"/>
        <s v="ORD-2025-484073"/>
        <s v="ORD-2023-369160"/>
        <s v="ORD-2024-834983"/>
        <s v="ORD-2024-948800"/>
        <s v="ORD-2023-211715"/>
        <s v="ORD-2025-685236"/>
        <s v="ORD-2025-752845"/>
        <s v="ORD-2023-667815"/>
        <s v="ORD-2023-375011"/>
        <s v="ORD-2025-487025"/>
        <s v="ORD-2025-944081"/>
        <s v="ORD-2025-364852"/>
        <s v="ORD-2023-890605"/>
        <s v="ORD-2025-231184"/>
        <s v="ORD-2023-363031"/>
        <s v="ORD-2025-861401"/>
        <s v="ORD-2024-819979"/>
        <s v="ORD-2023-888245"/>
        <s v="ORD-2023-144816"/>
        <s v="ORD-2024-153053"/>
        <s v="ORD-2025-779530"/>
        <s v="ORD-2025-653781"/>
        <s v="ORD-2025-737787"/>
        <s v="ORD-2023-944052"/>
        <s v="ORD-2023-181257"/>
        <s v="ORD-2025-323492"/>
        <s v="ORD-2024-332076"/>
        <s v="ORD-2024-129345"/>
        <s v="ORD-2023-660608"/>
        <s v="ORD-2023-825084"/>
        <s v="ORD-2023-261081"/>
        <s v="ORD-2023-766015"/>
        <s v="ORD-2024-647473"/>
        <s v="ORD-2023-479747"/>
        <s v="ORD-2024-510591"/>
        <s v="ORD-2024-343877"/>
        <s v="ORD-2023-386663"/>
        <s v="ORD-2023-132101"/>
        <s v="ORD-2023-813340"/>
        <s v="ORD-2024-690270"/>
        <s v="ORD-2025-915869"/>
        <s v="ORD-2025-192876"/>
        <s v="ORD-2023-676553"/>
        <s v="ORD-2023-368449"/>
        <s v="ORD-2025-486350"/>
        <s v="ORD-2025-588029"/>
        <s v="ORD-2023-854471"/>
        <s v="ORD-2024-390951"/>
        <s v="ORD-2025-222035"/>
        <s v="ORD-2024-749242"/>
        <s v="ORD-2025-276968"/>
        <s v="ORD-2024-993481"/>
        <s v="ORD-2024-581530"/>
        <s v="ORD-2023-156396"/>
        <s v="ORD-2023-184577"/>
        <s v="ORD-2025-473192"/>
        <s v="ORD-2023-109927"/>
        <s v="ORD-2023-172095"/>
        <s v="ORD-2025-306251"/>
        <s v="ORD-2025-795385"/>
        <s v="ORD-2025-947929"/>
        <s v="ORD-2023-931633"/>
        <s v="ORD-2023-597666"/>
        <s v="ORD-2025-823055"/>
        <s v="ORD-2023-913592"/>
        <s v="ORD-2025-312803"/>
        <s v="ORD-2023-621393"/>
        <s v="ORD-2023-488227"/>
        <s v="ORD-2025-874124"/>
        <s v="ORD-2025-262434"/>
        <s v="ORD-2023-451931"/>
        <s v="ORD-2025-532859"/>
        <s v="ORD-2023-961864"/>
      </sharedItems>
    </cacheField>
    <cacheField name="OrderDate" numFmtId="164">
      <sharedItems containsSemiMixedTypes="0" containsNonDate="0" containsDate="1" containsString="0" minDate="2023-01-02T00:00:00" maxDate="2025-09-16T00:00:00"/>
    </cacheField>
    <cacheField name="OrderMonth" numFmtId="164">
      <sharedItems count="33">
        <s v="Mar-2024"/>
        <s v="Oct-2024"/>
        <s v="Feb-2023"/>
        <s v="Mar-2025"/>
        <s v="Dec-2023"/>
        <s v="Jan-2023"/>
        <s v="Dec-2024"/>
        <s v="May-2024"/>
        <s v="May-2025"/>
        <s v="Jan-2024"/>
        <s v="Jan-2025"/>
        <s v="Apr-2023"/>
        <s v="Sep-2025"/>
        <s v="May-2023"/>
        <s v="Jun-2025"/>
        <s v="Jun-2024"/>
        <s v="Jul-2024"/>
        <s v="Apr-2025"/>
        <s v="Jul-2025"/>
        <s v="Mar-2023"/>
        <s v="Apr-2024"/>
        <s v="Jun-2023"/>
        <s v="Aug-2024"/>
        <s v="Jul-2023"/>
        <s v="Nov-2024"/>
        <s v="Aug-2023"/>
        <s v="Feb-2025"/>
        <s v="Sep-2023"/>
        <s v="Aug-2025"/>
        <s v="Nov-2023"/>
        <s v="Feb-2024"/>
        <s v="Sep-2024"/>
        <s v="Oct-2023"/>
      </sharedItems>
    </cacheField>
    <cacheField name="OrderQuarter" numFmtId="49">
      <sharedItems count="11">
        <s v="Q1-2024"/>
        <s v="Q4-2024"/>
        <s v="Q1-2023"/>
        <s v="Q1-2025"/>
        <s v="Q4-2023"/>
        <s v="Q2-2024"/>
        <s v="Q2-2025"/>
        <s v="Q2-2023"/>
        <s v="Q3-2025"/>
        <s v="Q3-2024"/>
        <s v="Q3-2023"/>
      </sharedItems>
    </cacheField>
    <cacheField name="RequiredDate" numFmtId="164">
      <sharedItems containsSemiMixedTypes="0" containsNonDate="0" containsDate="1" containsString="0" minDate="2023-01-05T00:00:00" maxDate="2025-10-06T00:00:00"/>
    </cacheField>
    <cacheField name="Region" numFmtId="0">
      <sharedItems count="4">
        <s v="Africa"/>
        <s v="Asia"/>
        <s v="Americas"/>
        <s v="Europe"/>
      </sharedItems>
    </cacheField>
    <cacheField name="Country" numFmtId="0">
      <sharedItems count="12">
        <s v="Kenya"/>
        <s v="Nigeria"/>
        <s v="Japan"/>
        <s v="Canada"/>
        <s v="India"/>
        <s v="Brazil"/>
        <s v="Germany"/>
        <s v="France"/>
        <s v="United Kingdom"/>
        <s v="China"/>
        <s v="USA"/>
        <s v="South Africa"/>
      </sharedItems>
    </cacheField>
    <cacheField name="City" numFmtId="49">
      <sharedItems containsBlank="1" count="40">
        <s v="Kisumu"/>
        <s v="Port Harcourt"/>
        <s v="Nairobi"/>
        <s v="Lagos"/>
        <s v="Osaka"/>
        <s v="Toronto"/>
        <s v="Bengaluru"/>
        <s v="Abuja"/>
        <s v="São Paulo"/>
        <s v="Berlin"/>
        <s v="Brasília"/>
        <s v="Marseille"/>
        <s v="Birmingham"/>
        <s v="Shenzhen"/>
        <s v="Chicago"/>
        <s v="Lyon"/>
        <s v="Delhi"/>
        <s v="Montreal"/>
        <s v="Johannesburg"/>
        <s v="Munich"/>
        <s v="Shanghai"/>
        <s v="San Francisco"/>
        <s v="Mombasa"/>
        <s v="Vancouver"/>
        <s v="Nakuru"/>
        <s v="Tokyo"/>
        <s v="Paris"/>
        <s v="Mumbai"/>
        <s v="Rio de Janeiro"/>
        <s v="Manchester"/>
        <s v="Nagoya"/>
        <s v="Durban"/>
        <s v="Cape Town"/>
        <s v="London"/>
        <s v="Beijing"/>
        <s v="New York"/>
        <s v="Frankfurt"/>
        <s v="Austin"/>
        <s v="Hyderabad"/>
        <m/>
      </sharedItems>
    </cacheField>
    <cacheField name="CustomerSegment" numFmtId="0">
      <sharedItems count="6">
        <s v="Corporate"/>
        <s v="Education"/>
        <s v="Non-Profit"/>
        <s v="Consumer"/>
        <s v="Small Business"/>
        <s v="Enterprise"/>
      </sharedItems>
    </cacheField>
    <cacheField name="Channel" numFmtId="49">
      <sharedItems containsBlank="1" count="6">
        <s v="Retail"/>
        <s v="Online"/>
        <s v="Marketplace"/>
        <s v="Distributor"/>
        <s v="Direct"/>
        <m/>
      </sharedItems>
    </cacheField>
    <cacheField name="Salesperson" numFmtId="49">
      <sharedItems containsBlank="1" count="16">
        <s v="C. Otieno"/>
        <s v="J. Njeri"/>
        <s v="I. Johnson"/>
        <s v="G. Dubois"/>
        <s v="L. Okafor"/>
        <s v="B. Chen"/>
        <s v="E. Garcia"/>
        <s v="O. Wang"/>
        <s v="A. Patel"/>
        <s v="F. Müller"/>
        <s v="K. Singh"/>
        <s v="M. Rossi"/>
        <s v="H. Kim"/>
        <s v="N. Brown"/>
        <s v="D. Smith"/>
        <m/>
      </sharedItems>
    </cacheField>
    <cacheField name="ProductCategory" numFmtId="0">
      <sharedItems count="7">
        <s v="Components"/>
        <s v="Printers"/>
        <s v="Networking"/>
        <s v="Phones"/>
        <s v="Laptops"/>
        <s v="Monitors"/>
        <s v="Accessories"/>
      </sharedItems>
    </cacheField>
    <cacheField name="SKU" numFmtId="49">
      <sharedItems count="454">
        <s v="CMP-8270"/>
        <s v="PRN-9322"/>
        <s v="NET-9666"/>
        <s v="PHN-4556"/>
        <s v="PRN-8041"/>
        <s v="LAP-8555"/>
        <s v="MON-8629"/>
        <s v="PRN-6276"/>
        <s v="MON-6892"/>
        <s v="CMP-3731"/>
        <s v="ACC-7938"/>
        <s v="PHN-7019"/>
        <s v="CMP-3693"/>
        <s v="LAP-1698"/>
        <s v="PRN-6791"/>
        <s v="PHN-1197"/>
        <s v="LAP-3385"/>
        <s v="NET-3255"/>
        <s v="ACC-3961"/>
        <s v="LAP-4987"/>
        <s v="CMP-2693"/>
        <s v="ACC-8683"/>
        <s v="PHN-6854"/>
        <s v="NET-9716"/>
        <s v="CMP-6919"/>
        <s v="PHN-4854"/>
        <s v="NET-7966"/>
        <s v="PRN-4506"/>
        <s v="CMP-7617"/>
        <s v="CMP-8390"/>
        <s v="PRN-7303"/>
        <s v="PRN-6536"/>
        <s v="MON-9967"/>
        <s v="PRN-3143"/>
        <s v="PRN-9787"/>
        <s v="CMP-5946"/>
        <s v="NET-2062"/>
        <s v="NET-5268"/>
        <s v="PRN-1504"/>
        <s v="ACC-6348"/>
        <s v="MON-4330"/>
        <s v="NET-9989"/>
        <s v="LAP-6989"/>
        <s v="ACC-1770"/>
        <s v="ACC-2252"/>
        <s v="CMP-8002"/>
        <s v="CMP-6971"/>
        <s v="PHN-8350"/>
        <s v="MON-5188"/>
        <s v="LAP-3393"/>
        <s v="PHN-4644"/>
        <s v="ACC-9150"/>
        <s v="MON-6870"/>
        <s v="MON-2296"/>
        <s v="CMP-7371"/>
        <s v="ACC-2761"/>
        <s v="LAP-4517"/>
        <s v="LAP-8489"/>
        <s v="NET-1846"/>
        <s v="CMP-5208"/>
        <s v="CMP-1009"/>
        <s v="ACC-4490"/>
        <s v="CMP-5820"/>
        <s v="MON-7943"/>
        <s v="NET-5018"/>
        <s v="PRN-9669"/>
        <s v="MON-3371"/>
        <s v="NET-7166"/>
        <s v="CMP-4531"/>
        <s v="CMP-8196"/>
        <s v="CMP-2854"/>
        <s v="MON-8973"/>
        <s v="MON-2990"/>
        <s v="PRN-6490"/>
        <s v="ACC-9038"/>
        <s v="PHN-6954"/>
        <s v="PRN-8970"/>
        <s v="NET-1804"/>
        <s v="CMP-8141"/>
        <s v="ACC-2386"/>
        <s v="CMP-8101"/>
        <s v="PHN-8970"/>
        <s v="PHN-2341"/>
        <s v="ACC-9820"/>
        <s v="LAP-9230"/>
        <s v="NET-4241"/>
        <s v="MON-2828"/>
        <s v="PRN-6429"/>
        <s v="MON-9194"/>
        <s v="LAP-2218"/>
        <s v="MON-3745"/>
        <s v="PHN-7924"/>
        <s v="NET-8561"/>
        <s v="CMP-2040"/>
        <s v="CMP-6346"/>
        <s v="NET-4155"/>
        <s v="MON-5179"/>
        <s v="LAP-9782"/>
        <s v="PRN-4788"/>
        <s v="CMP-3720"/>
        <s v="PHN-8014"/>
        <s v="ACC-1021"/>
        <s v="ACC-7078"/>
        <s v="PRN-4453"/>
        <s v="NET-2394"/>
        <s v="LAP-1525"/>
        <s v="PHN-4568"/>
        <s v="LAP-6342"/>
        <s v="NET-8761"/>
        <s v="CMP-3875"/>
        <s v="ACC-3989"/>
        <s v="PHN-9234"/>
        <s v="PHN-5445"/>
        <s v="PRN-4097"/>
        <s v="MON-6699"/>
        <s v="LAP-1482"/>
        <s v="MON-2100"/>
        <s v="LAP-7099"/>
        <s v="PRN-3785"/>
        <s v="PRN-5107"/>
        <s v="CMP-9264"/>
        <s v="MON-5259"/>
        <s v="PRN-8137"/>
        <s v="ACC-6777"/>
        <s v="ACC-9591"/>
        <s v="MON-8758"/>
        <s v="MON-1593"/>
        <s v="ACC-4631"/>
        <s v="LAP-7979"/>
        <s v="MON-6341"/>
        <s v="PHN-5082"/>
        <s v="PRN-7019"/>
        <s v="PRN-8604"/>
        <s v="MON-4959"/>
        <s v="MON-1663"/>
        <s v="ACC-1659"/>
        <s v="CMP-3978"/>
        <s v="PRN-3014"/>
        <s v="NET-7588"/>
        <s v="MON-1572"/>
        <s v="PRN-5666"/>
        <s v="PRN-2749"/>
        <s v="CMP-7063"/>
        <s v="ACC-5079"/>
        <s v="PRN-1141"/>
        <s v="CMP-8851"/>
        <s v="PHN-2447"/>
        <s v="PRN-5005"/>
        <s v="PHN-3800"/>
        <s v="PRN-5492"/>
        <s v="PHN-4741"/>
        <s v="LAP-2774"/>
        <s v="MON-4361"/>
        <s v="PRN-2829"/>
        <s v="NET-9125"/>
        <s v="MON-1436"/>
        <s v="MON-3307"/>
        <s v="PRN-8758"/>
        <s v="NET-5523"/>
        <s v="LAP-2378"/>
        <s v="NET-8430"/>
        <s v="PRN-8763"/>
        <s v="ACC-8557"/>
        <s v="ACC-1492"/>
        <s v="CMP-3743"/>
        <s v="ACC-9533"/>
        <s v="NET-3749"/>
        <s v="ACC-2903"/>
        <s v="CMP-4093"/>
        <s v="PHN-6131"/>
        <s v="MON-9319"/>
        <s v="PHN-9399"/>
        <s v="NET-5195"/>
        <s v="ACC-2364"/>
        <s v="CMP-5138"/>
        <s v="MON-2993"/>
        <s v="PHN-6307"/>
        <s v="NET-9003"/>
        <s v="ACC-3068"/>
        <s v="ACC-1060"/>
        <s v="PHN-3854"/>
        <s v="PRN-1086"/>
        <s v="PRN-5384"/>
        <s v="ACC-8178"/>
        <s v="MON-1018"/>
        <s v="ACC-1238"/>
        <s v="NET-1816"/>
        <s v="PHN-1717"/>
        <s v="ACC-5334"/>
        <s v="NET-3850"/>
        <s v="MON-5749"/>
        <s v="PRN-3690"/>
        <s v="LAP-6750"/>
        <s v="LAP-2942"/>
        <s v="PHN-7974"/>
        <s v="NET-5482"/>
        <s v="LAP-2806"/>
        <s v="CMP-2096"/>
        <s v="ACC-1249"/>
        <s v="CMP-6898"/>
        <s v="MON-2073"/>
        <s v="PRN-9378"/>
        <s v="PRN-5815"/>
        <s v="MON-4195"/>
        <s v="PHN-1044"/>
        <s v="PHN-3077"/>
        <s v="NET-7998"/>
        <s v="NET-2499"/>
        <s v="PRN-1923"/>
        <s v="MON-7106"/>
        <s v="PRN-2301"/>
        <s v="MON-6882"/>
        <s v="NET-5270"/>
        <s v="CMP-4159"/>
        <s v="PRN-3159"/>
        <s v="PRN-9488"/>
        <s v="PHN-5938"/>
        <s v="MON-9274"/>
        <s v="MON-2465"/>
        <s v="LAP-1308"/>
        <s v="ACC-9445"/>
        <s v="ACC-3415"/>
        <s v="PRN-2407"/>
        <s v="PHN-7379"/>
        <s v="NET-5423"/>
        <s v="PRN-5264"/>
        <s v="CMP-1940"/>
        <s v="Formula1" f="1"/>
        <s v="Formula2" f="1"/>
        <s v="Formula3" f="1"/>
        <s v="Formula4" f="1"/>
        <s v="Formula5" f="1"/>
        <s v="Formula6" f="1"/>
        <s v="Formula7" f="1"/>
        <s v="Formula8" f="1"/>
        <s v="Formula9" f="1"/>
        <s v="Formula10" f="1"/>
        <s v="Formula11" f="1"/>
        <s v="Formula12" f="1"/>
        <s v="Formula13" f="1"/>
        <s v="Formula14" f="1"/>
        <s v="Formula15" f="1"/>
        <s v="Formula16" f="1"/>
        <s v="Formula17" f="1"/>
        <s v="Formula18" f="1"/>
        <s v="Formula19" f="1"/>
        <s v="Formula20" f="1"/>
        <s v="Formula21" f="1"/>
        <s v="Formula22" f="1"/>
        <s v="Formula23" f="1"/>
        <s v="Formula24" f="1"/>
        <s v="Formula25" f="1"/>
        <s v="Formula26" f="1"/>
        <s v="Formula27" f="1"/>
        <s v="Formula28" f="1"/>
        <s v="Formula29" f="1"/>
        <s v="Formula30" f="1"/>
        <s v="Formula31" f="1"/>
        <s v="Formula32" f="1"/>
        <s v="Formula33" f="1"/>
        <s v="Formula34" f="1"/>
        <s v="Formula35" f="1"/>
        <s v="Formula36" f="1"/>
        <s v="Formula37" f="1"/>
        <s v="Formula38" f="1"/>
        <s v="Formula39" f="1"/>
        <s v="Formula40" f="1"/>
        <s v="Formula41" f="1"/>
        <s v="Formula42" f="1"/>
        <s v="Formula43" f="1"/>
        <s v="Formula44" f="1"/>
        <s v="Formula45" f="1"/>
        <s v="Formula46" f="1"/>
        <s v="Formula47" f="1"/>
        <s v="Formula48" f="1"/>
        <s v="Formula49" f="1"/>
        <s v="Formula50" f="1"/>
        <s v="Formula51" f="1"/>
        <s v="Formula52" f="1"/>
        <s v="Formula53" f="1"/>
        <s v="Formula54" f="1"/>
        <s v="Formula55" f="1"/>
        <s v="Formula56" f="1"/>
        <s v="Formula57" f="1"/>
        <s v="Formula58" f="1"/>
        <s v="Formula59" f="1"/>
        <s v="Formula60" f="1"/>
        <s v="Formula61" f="1"/>
        <s v="Formula62" f="1"/>
        <s v="Formula63" f="1"/>
        <s v="Formula64" f="1"/>
        <s v="Formula65" f="1"/>
        <s v="Formula66" f="1"/>
        <s v="Formula67" f="1"/>
        <s v="Formula68" f="1"/>
        <s v="Formula69" f="1"/>
        <s v="Formula70" f="1"/>
        <s v="Formula71" f="1"/>
        <s v="Formula72" f="1"/>
        <s v="Formula73" f="1"/>
        <s v="Formula74" f="1"/>
        <s v="Formula75" f="1"/>
        <s v="Formula76" f="1"/>
        <s v="Formula77" f="1"/>
        <s v="Formula78" f="1"/>
        <s v="Formula79" f="1"/>
        <s v="Formula80" f="1"/>
        <s v="Formula81" f="1"/>
        <s v="Formula82" f="1"/>
        <s v="Formula83" f="1"/>
        <s v="Formula84" f="1"/>
        <s v="Formula85" f="1"/>
        <s v="Formula86" f="1"/>
        <s v="Formula87" f="1"/>
        <s v="Formula88" f="1"/>
        <s v="Formula89" f="1"/>
        <s v="Formula90" f="1"/>
        <s v="Formula91" f="1"/>
        <s v="Formula92" f="1"/>
        <s v="Formula93" f="1"/>
        <s v="Formula94" f="1"/>
        <s v="Formula95" f="1"/>
        <s v="Formula96" f="1"/>
        <s v="Formula97" f="1"/>
        <s v="Formula98" f="1"/>
        <s v="Formula99" f="1"/>
        <s v="Formula100" f="1"/>
        <s v="Formula101" f="1"/>
        <s v="Formula102" f="1"/>
        <s v="Formula103" f="1"/>
        <s v="Formula104" f="1"/>
        <s v="Formula105" f="1"/>
        <s v="Formula106" f="1"/>
        <s v="Formula107" f="1"/>
        <s v="Formula108" f="1"/>
        <s v="Formula109" f="1"/>
        <s v="Formula110" f="1"/>
        <s v="Formula111" f="1"/>
        <s v="Formula112" f="1"/>
        <s v="Formula113" f="1"/>
        <s v="Formula114" f="1"/>
        <s v="Formula115" f="1"/>
        <s v="Formula116" f="1"/>
        <s v="Formula117" f="1"/>
        <s v="Formula118" f="1"/>
        <s v="Formula119" f="1"/>
        <s v="Formula120" f="1"/>
        <s v="Formula121" f="1"/>
        <s v="Formula122" f="1"/>
        <s v="Formula123" f="1"/>
        <s v="Formula124" f="1"/>
        <s v="Formula125" f="1"/>
        <s v="Formula126" f="1"/>
        <s v="Formula127" f="1"/>
        <s v="Formula128" f="1"/>
        <s v="Formula129" f="1"/>
        <s v="Formula130" f="1"/>
        <s v="Formula131" f="1"/>
        <s v="Formula132" f="1"/>
        <s v="Formula133" f="1"/>
        <s v="Formula134" f="1"/>
        <s v="Formula135" f="1"/>
        <s v="Formula136" f="1"/>
        <s v="Formula137" f="1"/>
        <s v="Formula138" f="1"/>
        <s v="Formula139" f="1"/>
        <s v="Formula140" f="1"/>
        <s v="Formula141" f="1"/>
        <s v="Formula142" f="1"/>
        <s v="Formula143" f="1"/>
        <s v="Formula144" f="1"/>
        <s v="Formula145" f="1"/>
        <s v="Formula146" f="1"/>
        <s v="Formula147" f="1"/>
        <s v="Formula148" f="1"/>
        <s v="Formula149" f="1"/>
        <s v="Formula150" f="1"/>
        <s v="Formula151" f="1"/>
        <s v="Formula152" f="1"/>
        <s v="Formula153" f="1"/>
        <s v="Formula154" f="1"/>
        <s v="Formula155" f="1"/>
        <s v="Formula156" f="1"/>
        <s v="Formula157" f="1"/>
        <s v="Formula158" f="1"/>
        <s v="Formula159" f="1"/>
        <s v="Formula160" f="1"/>
        <s v="Formula161" f="1"/>
        <s v="Formula162" f="1"/>
        <s v="Formula163" f="1"/>
        <s v="Formula164" f="1"/>
        <s v="Formula165" f="1"/>
        <s v="Formula166" f="1"/>
        <s v="Formula167" f="1"/>
        <s v="Formula168" f="1"/>
        <s v="Formula169" f="1"/>
        <s v="Formula170" f="1"/>
        <s v="Formula171" f="1"/>
        <s v="Formula172" f="1"/>
        <s v="Formula173" f="1"/>
        <s v="Formula174" f="1"/>
        <s v="Formula175" f="1"/>
        <s v="Formula176" f="1"/>
        <s v="Formula177" f="1"/>
        <s v="Formula178" f="1"/>
        <s v="Formula179" f="1"/>
        <s v="Formula180" f="1"/>
        <s v="Formula181" f="1"/>
        <s v="Formula182" f="1"/>
        <s v="Formula183" f="1"/>
        <s v="Formula184" f="1"/>
        <s v="Formula185" f="1"/>
        <s v="Formula186" f="1"/>
        <s v="Formula187" f="1"/>
        <s v="Formula188" f="1"/>
        <s v="Formula189" f="1"/>
        <s v="Formula190" f="1"/>
        <s v="Formula191" f="1"/>
        <s v="Formula192" f="1"/>
        <s v="Formula193" f="1"/>
        <s v="Formula194" f="1"/>
        <s v="Formula195" f="1"/>
        <s v="Formula196" f="1"/>
        <s v="Formula197" f="1"/>
        <s v="Formula198" f="1"/>
        <s v="Formula199" f="1"/>
        <s v="Formula200" f="1"/>
        <s v="Formula201" f="1"/>
        <s v="Formula202" f="1"/>
        <s v="Formula203" f="1"/>
        <s v="Formula204" f="1"/>
        <s v="Formula205" f="1"/>
        <s v="Formula206" f="1"/>
        <s v="Formula207" f="1"/>
        <s v="Formula208" f="1"/>
        <s v="Formula209" f="1"/>
        <s v="Formula210" f="1"/>
        <s v="Formula211" f="1"/>
        <s v="Formula212" f="1"/>
        <s v="Formula213" f="1"/>
        <s v="Formula214" f="1"/>
        <s v="Formula215" f="1"/>
        <s v="Formula216" f="1"/>
        <s v="Formula217" f="1"/>
        <s v="Formula218" f="1"/>
        <s v="Formula219" f="1"/>
        <s v="Formula220" f="1"/>
        <s v="Formula221" f="1"/>
        <s v="Formula222" f="1"/>
        <s v="Formula223" f="1"/>
        <s v="Formula224" f="1"/>
        <s v="Formula225" f="1"/>
        <s v="Formula226" f="1"/>
        <s v="Formula227" f="1"/>
      </sharedItems>
    </cacheField>
    <cacheField name="UnitCost" numFmtId="165">
      <sharedItems containsSemiMixedTypes="0" containsString="0" containsNumber="1" minValue="5.36" maxValue="1491.85"/>
    </cacheField>
    <cacheField name="UnitPrice" numFmtId="165">
      <sharedItems containsSemiMixedTypes="0" containsString="0" containsNumber="1" minValue="-30.66" maxValue="3589.89"/>
    </cacheField>
    <cacheField name="DiscountPct" numFmtId="165">
      <sharedItems containsSemiMixedTypes="0" containsString="0" containsNumber="1" minValue="0" maxValue="0.56499999999999995"/>
    </cacheField>
    <cacheField name="Quantity" numFmtId="165">
      <sharedItems containsSemiMixedTypes="0" containsString="0" containsNumber="1" containsInteger="1" minValue="2" maxValue="61"/>
    </cacheField>
    <cacheField name="SalespersonCleaned" numFmtId="0">
      <sharedItems/>
    </cacheField>
    <cacheField name="CityCustomCleaned" numFmtId="0">
      <sharedItems/>
    </cacheField>
    <cacheField name="CleanedCustomChannel" numFmtId="0">
      <sharedItems/>
    </cacheField>
    <cacheField name="CorrectedUnitPriceCustom" numFmtId="0">
      <sharedItems containsSemiMixedTypes="0" containsString="0" containsNumber="1" minValue="4.37" maxValue="3589.89"/>
    </cacheField>
    <cacheField name="CappedDiscountCustom" numFmtId="0">
      <sharedItems containsSemiMixedTypes="0" containsString="0" containsNumber="1" minValue="0" maxValue="0.3" count="222">
        <n v="0.112"/>
        <n v="0.23699999999999999"/>
        <n v="0.13100000000000001"/>
        <n v="7.1999999999999995E-2"/>
        <n v="0.10199999999999999"/>
        <n v="0"/>
        <n v="0.14699999999999999"/>
        <n v="0.19400000000000001"/>
        <n v="3.1E-2"/>
        <n v="0.14899999999999999"/>
        <n v="6.0000000000000001E-3"/>
        <n v="0.25"/>
        <n v="9.4E-2"/>
        <n v="7.3999999999999996E-2"/>
        <n v="0.109"/>
        <n v="0.183"/>
        <n v="3.7999999999999999E-2"/>
        <n v="0.14299999999999999"/>
        <n v="0.12"/>
        <n v="0.01"/>
        <n v="7.0000000000000001E-3"/>
        <n v="0.16800000000000001"/>
        <n v="0.125"/>
        <n v="0.13900000000000001"/>
        <n v="8.6999999999999994E-2"/>
        <n v="8.8999999999999996E-2"/>
        <n v="8.4000000000000005E-2"/>
        <n v="0.10100000000000001"/>
        <n v="0.24299999999999999"/>
        <n v="0.13600000000000001"/>
        <n v="0.17499999999999999"/>
        <n v="0.129"/>
        <n v="3.6999999999999998E-2"/>
        <n v="0.3"/>
        <n v="0.14599999999999999"/>
        <n v="0.182"/>
        <n v="0.16900000000000001"/>
        <n v="0.187"/>
        <n v="0.126"/>
        <n v="0.29199999999999998"/>
        <n v="0.29499999999999998"/>
        <n v="0.14399999999999999"/>
        <n v="3.5000000000000003E-2"/>
        <n v="7.4999999999999997E-2"/>
        <n v="0.20499999999999999"/>
        <n v="0.11899999999999999"/>
        <n v="0.11"/>
        <n v="0.2"/>
        <n v="0.255"/>
        <n v="0.13"/>
        <n v="0.184"/>
        <n v="0.189"/>
        <n v="0.105"/>
        <n v="0.20399999999999999"/>
        <n v="0.05"/>
        <n v="6.8000000000000005E-2"/>
        <n v="0.14199999999999999"/>
        <n v="0.185"/>
        <n v="4.7E-2"/>
        <n v="0.114"/>
        <n v="0.13400000000000001"/>
        <n v="0.25700000000000001"/>
        <n v="0.186"/>
        <n v="0.161"/>
        <n v="0.24099999999999999"/>
        <n v="0.215"/>
        <n v="0.104"/>
        <n v="7.0000000000000007E-2"/>
        <n v="0.154"/>
        <n v="0.188"/>
        <n v="0.03"/>
        <n v="6.6000000000000003E-2"/>
        <n v="9.6000000000000002E-2"/>
        <n v="9.9000000000000005E-2"/>
        <n v="0.16"/>
        <n v="3.4000000000000002E-2"/>
        <n v="9.1999999999999998E-2"/>
        <n v="0.14000000000000001"/>
        <n v="0.18"/>
        <n v="0.27800000000000002"/>
        <n v="0.13700000000000001"/>
        <n v="0.123"/>
        <n v="0.22900000000000001"/>
        <n v="1.2E-2"/>
        <n v="0.11799999999999999"/>
        <n v="0.108"/>
        <n v="0.157"/>
        <n v="7.0999999999999994E-2"/>
        <n v="4.2999999999999997E-2"/>
        <n v="6.9000000000000006E-2"/>
        <n v="0.20300000000000001"/>
        <n v="5.7000000000000002E-2"/>
        <n v="7.2999999999999995E-2"/>
        <n v="0.17899999999999999"/>
        <n v="0.111"/>
        <n v="6.3E-2"/>
        <n v="0.22"/>
        <n v="0.192"/>
        <n v="8.9999999999999993E-3"/>
        <n v="0.26500000000000001"/>
        <n v="0.25900000000000001"/>
        <n v="0.151"/>
        <n v="0.245"/>
        <n v="8.2000000000000003E-2"/>
        <n v="0.107"/>
        <n v="2.1000000000000001E-2"/>
        <n v="4.4999999999999998E-2"/>
        <n v="1.7999999999999999E-2"/>
        <n v="2.5000000000000001E-2"/>
        <n v="0.127"/>
        <n v="0.18099999999999999"/>
        <n v="0.13300000000000001"/>
        <n v="0.02"/>
        <n v="5.2999999999999999E-2"/>
        <n v="0.19700000000000001"/>
        <n v="0.254"/>
        <n v="7.8E-2"/>
        <n v="2.1999999999999999E-2"/>
        <n v="9.0999999999999998E-2"/>
        <n v="0.17699999999999999"/>
        <n v="5.6000000000000001E-2"/>
        <n v="0.17299999999999999"/>
        <n v="0.21199999999999999"/>
        <n v="0.19600000000000001"/>
        <n v="0.153"/>
        <n v="0.21099999999999999"/>
        <n v="0.23300000000000001"/>
        <n v="0.23599999999999999"/>
        <n v="0.159"/>
        <n v="5.0999999999999997E-2"/>
        <n v="0.155"/>
        <n v="0.25800000000000001"/>
        <n v="5.5E-2"/>
        <n v="2.9000000000000001E-2"/>
        <n v="0.14799999999999999"/>
        <n v="0.152"/>
        <n v="0.128"/>
        <n v="0.20100000000000001"/>
        <n v="0.113"/>
        <n v="4.0000000000000001E-3"/>
        <n v="0.26600000000000001"/>
        <n v="9.2999999999999999E-2"/>
        <n v="6.7000000000000004E-2"/>
        <n v="0.11600000000000001"/>
        <n v="0.17199999999999999"/>
        <n v="0.23499999999999999"/>
        <n v="8.5999999999999993E-2"/>
        <n v="9.5000000000000001E-2"/>
        <n v="0.23799999999999999"/>
        <n v="0.16700000000000001"/>
        <n v="0.26300000000000001"/>
        <n v="0.22500000000000001"/>
        <n v="0.122"/>
        <n v="0.216"/>
        <n v="0.17399999999999999"/>
        <n v="0.16400000000000001"/>
        <n v="0.13500000000000001"/>
        <n v="0.115"/>
        <n v="0.13800000000000001"/>
        <n v="0.156"/>
        <n v="0.20699999999999999"/>
        <n v="5.8999999999999997E-2"/>
        <n v="0.08"/>
        <n v="0.1"/>
        <n v="0.17599999999999999"/>
        <n v="8.7999999999999995E-2"/>
        <n v="0.09"/>
        <n v="0.14099999999999999"/>
        <n v="1.4E-2"/>
        <n v="7.5999999999999998E-2"/>
        <n v="0.10299999999999999"/>
        <n v="0.121"/>
        <n v="4.2000000000000003E-2"/>
        <n v="6.5000000000000002E-2"/>
        <n v="0.23899999999999999"/>
        <n v="0.27"/>
        <n v="2.8000000000000001E-2"/>
        <n v="0.14499999999999999"/>
        <n v="0.158"/>
        <n v="0.21"/>
        <n v="0.24"/>
        <n v="0.29899999999999999"/>
        <n v="0.28199999999999997"/>
        <n v="0.26100000000000001"/>
        <n v="3.9E-2"/>
        <n v="0.17"/>
        <n v="0.27200000000000002"/>
        <n v="0.13200000000000001"/>
        <n v="0.106"/>
        <n v="5.8000000000000003E-2"/>
        <n v="0.25600000000000001"/>
        <n v="3.2000000000000001E-2"/>
        <n v="0.16300000000000001"/>
        <n v="0.19"/>
        <n v="9.8000000000000004E-2"/>
        <n v="8.3000000000000004E-2"/>
        <n v="6.4000000000000001E-2"/>
        <n v="7.6999999999999999E-2"/>
        <n v="0.217"/>
        <n v="0.22600000000000001"/>
        <n v="1.9E-2"/>
        <n v="0.214"/>
        <n v="4.1000000000000002E-2"/>
        <n v="0.15"/>
        <n v="0.29299999999999998"/>
        <n v="0.16500000000000001"/>
        <n v="1.7000000000000001E-2"/>
        <n v="0.124"/>
        <n v="0.23"/>
        <n v="4.5999999999999999E-2"/>
        <n v="4.9000000000000002E-2"/>
        <n v="0.222"/>
        <n v="0.218"/>
        <n v="0.20899999999999999"/>
        <n v="0.248"/>
        <n v="4.3999999999999997E-2"/>
        <n v="0.20799999999999999"/>
        <n v="5.3999999999999999E-2"/>
        <n v="9.7000000000000003E-2"/>
        <n v="0.17100000000000001"/>
        <n v="8.1000000000000003E-2"/>
        <n v="6.2E-2"/>
      </sharedItems>
    </cacheField>
    <cacheField name="SuspiciousFlag" numFmtId="0">
      <sharedItems/>
    </cacheField>
    <cacheField name="CorrectedRequiredDate" numFmtId="14">
      <sharedItems containsSemiMixedTypes="0" containsNonDate="0" containsDate="1" containsString="0" minDate="2023-01-05T00:00:00" maxDate="2025-10-06T00:00:00"/>
    </cacheField>
    <cacheField name="LeadTimeDays" numFmtId="0">
      <sharedItems containsSemiMixedTypes="0" containsString="0" containsNumber="1" containsInteger="1" minValue="0" maxValue="30" count="31">
        <n v="26"/>
        <n v="7"/>
        <n v="25"/>
        <n v="4"/>
        <n v="3"/>
        <n v="18"/>
        <n v="19"/>
        <n v="12"/>
        <n v="20"/>
        <n v="29"/>
        <n v="8"/>
        <n v="17"/>
        <n v="15"/>
        <n v="5"/>
        <n v="14"/>
        <n v="0"/>
        <n v="30"/>
        <n v="13"/>
        <n v="16"/>
        <n v="23"/>
        <n v="22"/>
        <n v="11"/>
        <n v="2"/>
        <n v="9"/>
        <n v="28"/>
        <n v="21"/>
        <n v="27"/>
        <n v="24"/>
        <n v="1"/>
        <n v="6"/>
        <n v="10"/>
      </sharedItems>
    </cacheField>
    <cacheField name="GrossRevenue" numFmtId="166">
      <sharedItems containsSemiMixedTypes="0" containsString="0" containsNumber="1" minValue="-319.72248000000002" maxValue="139277.83032000001"/>
    </cacheField>
    <cacheField name="CostOfGoods" numFmtId="4">
      <sharedItems containsSemiMixedTypes="0" containsString="0" containsNumber="1" minValue="-367.92" maxValue="168209.94"/>
    </cacheField>
    <cacheField name="GrossProfit" numFmtId="4">
      <sharedItems containsSemiMixedTypes="0" containsString="0" containsNumber="1" minValue="441.86501119999997" maxValue="23427915481.457382"/>
    </cacheField>
    <cacheField name="MarginPct" numFmtId="10">
      <sharedItems containsSemiMixedTypes="0" containsString="0" containsNumber="1" minValue="-367.92" maxValue="168209.94"/>
    </cacheField>
    <cacheField name="OrderMonth2" numFmtId="0">
      <sharedItems containsNonDate="0" containsString="0" containsBlank="1"/>
    </cacheField>
  </cacheFields>
  <calculatedItems count="227">
    <calculatedItem>
      <pivotArea cacheIndex="1" outline="0" fieldPosition="0">
        <references count="1">
          <reference field="12" count="1">
            <x v="227"/>
          </reference>
        </references>
      </pivotArea>
    </calculatedItem>
    <calculatedItem>
      <pivotArea cacheIndex="1" outline="0" fieldPosition="0">
        <references count="1">
          <reference field="12" count="1">
            <x v="228"/>
          </reference>
        </references>
      </pivotArea>
    </calculatedItem>
    <calculatedItem>
      <pivotArea cacheIndex="1" outline="0" fieldPosition="0">
        <references count="1">
          <reference field="12" count="1">
            <x v="229"/>
          </reference>
        </references>
      </pivotArea>
    </calculatedItem>
    <calculatedItem>
      <pivotArea cacheIndex="1" outline="0" fieldPosition="0">
        <references count="1">
          <reference field="12" count="1">
            <x v="230"/>
          </reference>
        </references>
      </pivotArea>
    </calculatedItem>
    <calculatedItem>
      <pivotArea cacheIndex="1" outline="0" fieldPosition="0">
        <references count="1">
          <reference field="12" count="1">
            <x v="231"/>
          </reference>
        </references>
      </pivotArea>
    </calculatedItem>
    <calculatedItem>
      <pivotArea cacheIndex="1" outline="0" fieldPosition="0">
        <references count="1">
          <reference field="12" count="1">
            <x v="232"/>
          </reference>
        </references>
      </pivotArea>
    </calculatedItem>
    <calculatedItem>
      <pivotArea cacheIndex="1" outline="0" fieldPosition="0">
        <references count="1">
          <reference field="12" count="1">
            <x v="233"/>
          </reference>
        </references>
      </pivotArea>
    </calculatedItem>
    <calculatedItem>
      <pivotArea cacheIndex="1" outline="0" fieldPosition="0">
        <references count="1">
          <reference field="12" count="1">
            <x v="234"/>
          </reference>
        </references>
      </pivotArea>
    </calculatedItem>
    <calculatedItem>
      <pivotArea cacheIndex="1" outline="0" fieldPosition="0">
        <references count="1">
          <reference field="12" count="1">
            <x v="235"/>
          </reference>
        </references>
      </pivotArea>
    </calculatedItem>
    <calculatedItem>
      <pivotArea cacheIndex="1" outline="0" fieldPosition="0">
        <references count="1">
          <reference field="12" count="1">
            <x v="236"/>
          </reference>
        </references>
      </pivotArea>
    </calculatedItem>
    <calculatedItem>
      <pivotArea cacheIndex="1" outline="0" fieldPosition="0">
        <references count="1">
          <reference field="12" count="1">
            <x v="237"/>
          </reference>
        </references>
      </pivotArea>
    </calculatedItem>
    <calculatedItem>
      <pivotArea cacheIndex="1" outline="0" fieldPosition="0">
        <references count="1">
          <reference field="12" count="1">
            <x v="238"/>
          </reference>
        </references>
      </pivotArea>
    </calculatedItem>
    <calculatedItem>
      <pivotArea cacheIndex="1" outline="0" fieldPosition="0">
        <references count="1">
          <reference field="12" count="1">
            <x v="239"/>
          </reference>
        </references>
      </pivotArea>
    </calculatedItem>
    <calculatedItem>
      <pivotArea cacheIndex="1" outline="0" fieldPosition="0">
        <references count="1">
          <reference field="12" count="1">
            <x v="240"/>
          </reference>
        </references>
      </pivotArea>
    </calculatedItem>
    <calculatedItem>
      <pivotArea cacheIndex="1" outline="0" fieldPosition="0">
        <references count="1">
          <reference field="12" count="1">
            <x v="241"/>
          </reference>
        </references>
      </pivotArea>
    </calculatedItem>
    <calculatedItem>
      <pivotArea cacheIndex="1" outline="0" fieldPosition="0">
        <references count="1">
          <reference field="12" count="1">
            <x v="242"/>
          </reference>
        </references>
      </pivotArea>
    </calculatedItem>
    <calculatedItem>
      <pivotArea cacheIndex="1" outline="0" fieldPosition="0">
        <references count="1">
          <reference field="12" count="1">
            <x v="243"/>
          </reference>
        </references>
      </pivotArea>
    </calculatedItem>
    <calculatedItem>
      <pivotArea cacheIndex="1" outline="0" fieldPosition="0">
        <references count="1">
          <reference field="12" count="1">
            <x v="244"/>
          </reference>
        </references>
      </pivotArea>
    </calculatedItem>
    <calculatedItem>
      <pivotArea cacheIndex="1" outline="0" fieldPosition="0">
        <references count="1">
          <reference field="12" count="1">
            <x v="245"/>
          </reference>
        </references>
      </pivotArea>
    </calculatedItem>
    <calculatedItem>
      <pivotArea cacheIndex="1" outline="0" fieldPosition="0">
        <references count="1">
          <reference field="12" count="1">
            <x v="246"/>
          </reference>
        </references>
      </pivotArea>
    </calculatedItem>
    <calculatedItem>
      <pivotArea cacheIndex="1" outline="0" fieldPosition="0">
        <references count="1">
          <reference field="12" count="1">
            <x v="247"/>
          </reference>
        </references>
      </pivotArea>
    </calculatedItem>
    <calculatedItem>
      <pivotArea cacheIndex="1" outline="0" fieldPosition="0">
        <references count="1">
          <reference field="12" count="1">
            <x v="248"/>
          </reference>
        </references>
      </pivotArea>
    </calculatedItem>
    <calculatedItem>
      <pivotArea cacheIndex="1" outline="0" fieldPosition="0">
        <references count="1">
          <reference field="12" count="1">
            <x v="249"/>
          </reference>
        </references>
      </pivotArea>
    </calculatedItem>
    <calculatedItem>
      <pivotArea cacheIndex="1" outline="0" fieldPosition="0">
        <references count="1">
          <reference field="12" count="1">
            <x v="250"/>
          </reference>
        </references>
      </pivotArea>
    </calculatedItem>
    <calculatedItem>
      <pivotArea cacheIndex="1" outline="0" fieldPosition="0">
        <references count="1">
          <reference field="12" count="1">
            <x v="251"/>
          </reference>
        </references>
      </pivotArea>
    </calculatedItem>
    <calculatedItem>
      <pivotArea cacheIndex="1" outline="0" fieldPosition="0">
        <references count="1">
          <reference field="12" count="1">
            <x v="252"/>
          </reference>
        </references>
      </pivotArea>
    </calculatedItem>
    <calculatedItem>
      <pivotArea cacheIndex="1" outline="0" fieldPosition="0">
        <references count="1">
          <reference field="12" count="1">
            <x v="253"/>
          </reference>
        </references>
      </pivotArea>
    </calculatedItem>
    <calculatedItem>
      <pivotArea cacheIndex="1" outline="0" fieldPosition="0">
        <references count="1">
          <reference field="12" count="1">
            <x v="254"/>
          </reference>
        </references>
      </pivotArea>
    </calculatedItem>
    <calculatedItem>
      <pivotArea cacheIndex="1" outline="0" fieldPosition="0">
        <references count="1">
          <reference field="12" count="1">
            <x v="255"/>
          </reference>
        </references>
      </pivotArea>
    </calculatedItem>
    <calculatedItem>
      <pivotArea cacheIndex="1" outline="0" fieldPosition="0">
        <references count="1">
          <reference field="12" count="1">
            <x v="256"/>
          </reference>
        </references>
      </pivotArea>
    </calculatedItem>
    <calculatedItem>
      <pivotArea cacheIndex="1" outline="0" fieldPosition="0">
        <references count="1">
          <reference field="12" count="1">
            <x v="257"/>
          </reference>
        </references>
      </pivotArea>
    </calculatedItem>
    <calculatedItem>
      <pivotArea cacheIndex="1" outline="0" fieldPosition="0">
        <references count="1">
          <reference field="12" count="1">
            <x v="258"/>
          </reference>
        </references>
      </pivotArea>
    </calculatedItem>
    <calculatedItem>
      <pivotArea cacheIndex="1" outline="0" fieldPosition="0">
        <references count="1">
          <reference field="12" count="1">
            <x v="259"/>
          </reference>
        </references>
      </pivotArea>
    </calculatedItem>
    <calculatedItem>
      <pivotArea cacheIndex="1" outline="0" fieldPosition="0">
        <references count="1">
          <reference field="12" count="1">
            <x v="260"/>
          </reference>
        </references>
      </pivotArea>
    </calculatedItem>
    <calculatedItem>
      <pivotArea cacheIndex="1" outline="0" fieldPosition="0">
        <references count="1">
          <reference field="12" count="1">
            <x v="261"/>
          </reference>
        </references>
      </pivotArea>
    </calculatedItem>
    <calculatedItem>
      <pivotArea cacheIndex="1" outline="0" fieldPosition="0">
        <references count="1">
          <reference field="12" count="1">
            <x v="262"/>
          </reference>
        </references>
      </pivotArea>
    </calculatedItem>
    <calculatedItem>
      <pivotArea cacheIndex="1" outline="0" fieldPosition="0">
        <references count="1">
          <reference field="12" count="1">
            <x v="263"/>
          </reference>
        </references>
      </pivotArea>
    </calculatedItem>
    <calculatedItem>
      <pivotArea cacheIndex="1" outline="0" fieldPosition="0">
        <references count="1">
          <reference field="12" count="1">
            <x v="264"/>
          </reference>
        </references>
      </pivotArea>
    </calculatedItem>
    <calculatedItem>
      <pivotArea cacheIndex="1" outline="0" fieldPosition="0">
        <references count="1">
          <reference field="12" count="1">
            <x v="265"/>
          </reference>
        </references>
      </pivotArea>
    </calculatedItem>
    <calculatedItem>
      <pivotArea cacheIndex="1" outline="0" fieldPosition="0">
        <references count="1">
          <reference field="12" count="1">
            <x v="266"/>
          </reference>
        </references>
      </pivotArea>
    </calculatedItem>
    <calculatedItem>
      <pivotArea cacheIndex="1" outline="0" fieldPosition="0">
        <references count="1">
          <reference field="12" count="1">
            <x v="267"/>
          </reference>
        </references>
      </pivotArea>
    </calculatedItem>
    <calculatedItem>
      <pivotArea cacheIndex="1" outline="0" fieldPosition="0">
        <references count="1">
          <reference field="12" count="1">
            <x v="268"/>
          </reference>
        </references>
      </pivotArea>
    </calculatedItem>
    <calculatedItem>
      <pivotArea cacheIndex="1" outline="0" fieldPosition="0">
        <references count="1">
          <reference field="12" count="1">
            <x v="269"/>
          </reference>
        </references>
      </pivotArea>
    </calculatedItem>
    <calculatedItem>
      <pivotArea cacheIndex="1" outline="0" fieldPosition="0">
        <references count="1">
          <reference field="12" count="1">
            <x v="270"/>
          </reference>
        </references>
      </pivotArea>
    </calculatedItem>
    <calculatedItem>
      <pivotArea cacheIndex="1" outline="0" fieldPosition="0">
        <references count="1">
          <reference field="12" count="1">
            <x v="271"/>
          </reference>
        </references>
      </pivotArea>
    </calculatedItem>
    <calculatedItem>
      <pivotArea cacheIndex="1" outline="0" fieldPosition="0">
        <references count="1">
          <reference field="12" count="1">
            <x v="272"/>
          </reference>
        </references>
      </pivotArea>
    </calculatedItem>
    <calculatedItem>
      <pivotArea cacheIndex="1" outline="0" fieldPosition="0">
        <references count="1">
          <reference field="12" count="1">
            <x v="273"/>
          </reference>
        </references>
      </pivotArea>
    </calculatedItem>
    <calculatedItem>
      <pivotArea cacheIndex="1" outline="0" fieldPosition="0">
        <references count="1">
          <reference field="12" count="1">
            <x v="274"/>
          </reference>
        </references>
      </pivotArea>
    </calculatedItem>
    <calculatedItem>
      <pivotArea cacheIndex="1" outline="0" fieldPosition="0">
        <references count="1">
          <reference field="12" count="1">
            <x v="275"/>
          </reference>
        </references>
      </pivotArea>
    </calculatedItem>
    <calculatedItem>
      <pivotArea cacheIndex="1" outline="0" fieldPosition="0">
        <references count="1">
          <reference field="12" count="1">
            <x v="276"/>
          </reference>
        </references>
      </pivotArea>
    </calculatedItem>
    <calculatedItem>
      <pivotArea cacheIndex="1" outline="0" fieldPosition="0">
        <references count="1">
          <reference field="12" count="1">
            <x v="277"/>
          </reference>
        </references>
      </pivotArea>
    </calculatedItem>
    <calculatedItem>
      <pivotArea cacheIndex="1" outline="0" fieldPosition="0">
        <references count="1">
          <reference field="12" count="1">
            <x v="278"/>
          </reference>
        </references>
      </pivotArea>
    </calculatedItem>
    <calculatedItem>
      <pivotArea cacheIndex="1" outline="0" fieldPosition="0">
        <references count="1">
          <reference field="12" count="1">
            <x v="279"/>
          </reference>
        </references>
      </pivotArea>
    </calculatedItem>
    <calculatedItem>
      <pivotArea cacheIndex="1" outline="0" fieldPosition="0">
        <references count="1">
          <reference field="12" count="1">
            <x v="280"/>
          </reference>
        </references>
      </pivotArea>
    </calculatedItem>
    <calculatedItem>
      <pivotArea cacheIndex="1" outline="0" fieldPosition="0">
        <references count="1">
          <reference field="12" count="1">
            <x v="281"/>
          </reference>
        </references>
      </pivotArea>
    </calculatedItem>
    <calculatedItem>
      <pivotArea cacheIndex="1" outline="0" fieldPosition="0">
        <references count="1">
          <reference field="12" count="1">
            <x v="282"/>
          </reference>
        </references>
      </pivotArea>
    </calculatedItem>
    <calculatedItem>
      <pivotArea cacheIndex="1" outline="0" fieldPosition="0">
        <references count="1">
          <reference field="12" count="1">
            <x v="283"/>
          </reference>
        </references>
      </pivotArea>
    </calculatedItem>
    <calculatedItem>
      <pivotArea cacheIndex="1" outline="0" fieldPosition="0">
        <references count="1">
          <reference field="12" count="1">
            <x v="284"/>
          </reference>
        </references>
      </pivotArea>
    </calculatedItem>
    <calculatedItem>
      <pivotArea cacheIndex="1" outline="0" fieldPosition="0">
        <references count="1">
          <reference field="12" count="1">
            <x v="285"/>
          </reference>
        </references>
      </pivotArea>
    </calculatedItem>
    <calculatedItem>
      <pivotArea cacheIndex="1" outline="0" fieldPosition="0">
        <references count="1">
          <reference field="12" count="1">
            <x v="286"/>
          </reference>
        </references>
      </pivotArea>
    </calculatedItem>
    <calculatedItem>
      <pivotArea cacheIndex="1" outline="0" fieldPosition="0">
        <references count="1">
          <reference field="12" count="1">
            <x v="287"/>
          </reference>
        </references>
      </pivotArea>
    </calculatedItem>
    <calculatedItem>
      <pivotArea cacheIndex="1" outline="0" fieldPosition="0">
        <references count="1">
          <reference field="12" count="1">
            <x v="288"/>
          </reference>
        </references>
      </pivotArea>
    </calculatedItem>
    <calculatedItem>
      <pivotArea cacheIndex="1" outline="0" fieldPosition="0">
        <references count="1">
          <reference field="12" count="1">
            <x v="289"/>
          </reference>
        </references>
      </pivotArea>
    </calculatedItem>
    <calculatedItem>
      <pivotArea cacheIndex="1" outline="0" fieldPosition="0">
        <references count="1">
          <reference field="12" count="1">
            <x v="290"/>
          </reference>
        </references>
      </pivotArea>
    </calculatedItem>
    <calculatedItem>
      <pivotArea cacheIndex="1" outline="0" fieldPosition="0">
        <references count="1">
          <reference field="12" count="1">
            <x v="291"/>
          </reference>
        </references>
      </pivotArea>
    </calculatedItem>
    <calculatedItem>
      <pivotArea cacheIndex="1" outline="0" fieldPosition="0">
        <references count="1">
          <reference field="12" count="1">
            <x v="292"/>
          </reference>
        </references>
      </pivotArea>
    </calculatedItem>
    <calculatedItem>
      <pivotArea cacheIndex="1" outline="0" fieldPosition="0">
        <references count="1">
          <reference field="12" count="1">
            <x v="293"/>
          </reference>
        </references>
      </pivotArea>
    </calculatedItem>
    <calculatedItem>
      <pivotArea cacheIndex="1" outline="0" fieldPosition="0">
        <references count="1">
          <reference field="12" count="1">
            <x v="294"/>
          </reference>
        </references>
      </pivotArea>
    </calculatedItem>
    <calculatedItem>
      <pivotArea cacheIndex="1" outline="0" fieldPosition="0">
        <references count="1">
          <reference field="12" count="1">
            <x v="295"/>
          </reference>
        </references>
      </pivotArea>
    </calculatedItem>
    <calculatedItem>
      <pivotArea cacheIndex="1" outline="0" fieldPosition="0">
        <references count="1">
          <reference field="12" count="1">
            <x v="296"/>
          </reference>
        </references>
      </pivotArea>
    </calculatedItem>
    <calculatedItem>
      <pivotArea cacheIndex="1" outline="0" fieldPosition="0">
        <references count="1">
          <reference field="12" count="1">
            <x v="297"/>
          </reference>
        </references>
      </pivotArea>
    </calculatedItem>
    <calculatedItem>
      <pivotArea cacheIndex="1" outline="0" fieldPosition="0">
        <references count="1">
          <reference field="12" count="1">
            <x v="298"/>
          </reference>
        </references>
      </pivotArea>
    </calculatedItem>
    <calculatedItem>
      <pivotArea cacheIndex="1" outline="0" fieldPosition="0">
        <references count="1">
          <reference field="12" count="1">
            <x v="299"/>
          </reference>
        </references>
      </pivotArea>
    </calculatedItem>
    <calculatedItem>
      <pivotArea cacheIndex="1" outline="0" fieldPosition="0">
        <references count="1">
          <reference field="12" count="1">
            <x v="300"/>
          </reference>
        </references>
      </pivotArea>
    </calculatedItem>
    <calculatedItem>
      <pivotArea cacheIndex="1" outline="0" fieldPosition="0">
        <references count="1">
          <reference field="12" count="1">
            <x v="301"/>
          </reference>
        </references>
      </pivotArea>
    </calculatedItem>
    <calculatedItem>
      <pivotArea cacheIndex="1" outline="0" fieldPosition="0">
        <references count="1">
          <reference field="12" count="1">
            <x v="302"/>
          </reference>
        </references>
      </pivotArea>
    </calculatedItem>
    <calculatedItem>
      <pivotArea cacheIndex="1" outline="0" fieldPosition="0">
        <references count="1">
          <reference field="12" count="1">
            <x v="303"/>
          </reference>
        </references>
      </pivotArea>
    </calculatedItem>
    <calculatedItem>
      <pivotArea cacheIndex="1" outline="0" fieldPosition="0">
        <references count="1">
          <reference field="12" count="1">
            <x v="304"/>
          </reference>
        </references>
      </pivotArea>
    </calculatedItem>
    <calculatedItem>
      <pivotArea cacheIndex="1" outline="0" fieldPosition="0">
        <references count="1">
          <reference field="12" count="1">
            <x v="305"/>
          </reference>
        </references>
      </pivotArea>
    </calculatedItem>
    <calculatedItem>
      <pivotArea cacheIndex="1" outline="0" fieldPosition="0">
        <references count="1">
          <reference field="12" count="1">
            <x v="306"/>
          </reference>
        </references>
      </pivotArea>
    </calculatedItem>
    <calculatedItem>
      <pivotArea cacheIndex="1" outline="0" fieldPosition="0">
        <references count="1">
          <reference field="12" count="1">
            <x v="307"/>
          </reference>
        </references>
      </pivotArea>
    </calculatedItem>
    <calculatedItem>
      <pivotArea cacheIndex="1" outline="0" fieldPosition="0">
        <references count="1">
          <reference field="12" count="1">
            <x v="308"/>
          </reference>
        </references>
      </pivotArea>
    </calculatedItem>
    <calculatedItem>
      <pivotArea cacheIndex="1" outline="0" fieldPosition="0">
        <references count="1">
          <reference field="12" count="1">
            <x v="309"/>
          </reference>
        </references>
      </pivotArea>
    </calculatedItem>
    <calculatedItem>
      <pivotArea cacheIndex="1" outline="0" fieldPosition="0">
        <references count="1">
          <reference field="12" count="1">
            <x v="310"/>
          </reference>
        </references>
      </pivotArea>
    </calculatedItem>
    <calculatedItem>
      <pivotArea cacheIndex="1" outline="0" fieldPosition="0">
        <references count="1">
          <reference field="12" count="1">
            <x v="311"/>
          </reference>
        </references>
      </pivotArea>
    </calculatedItem>
    <calculatedItem>
      <pivotArea cacheIndex="1" outline="0" fieldPosition="0">
        <references count="1">
          <reference field="12" count="1">
            <x v="312"/>
          </reference>
        </references>
      </pivotArea>
    </calculatedItem>
    <calculatedItem>
      <pivotArea cacheIndex="1" outline="0" fieldPosition="0">
        <references count="1">
          <reference field="12" count="1">
            <x v="313"/>
          </reference>
        </references>
      </pivotArea>
    </calculatedItem>
    <calculatedItem>
      <pivotArea cacheIndex="1" outline="0" fieldPosition="0">
        <references count="1">
          <reference field="12" count="1">
            <x v="314"/>
          </reference>
        </references>
      </pivotArea>
    </calculatedItem>
    <calculatedItem>
      <pivotArea cacheIndex="1" outline="0" fieldPosition="0">
        <references count="1">
          <reference field="12" count="1">
            <x v="315"/>
          </reference>
        </references>
      </pivotArea>
    </calculatedItem>
    <calculatedItem>
      <pivotArea cacheIndex="1" outline="0" fieldPosition="0">
        <references count="1">
          <reference field="12" count="1">
            <x v="316"/>
          </reference>
        </references>
      </pivotArea>
    </calculatedItem>
    <calculatedItem>
      <pivotArea cacheIndex="1" outline="0" fieldPosition="0">
        <references count="1">
          <reference field="12" count="1">
            <x v="317"/>
          </reference>
        </references>
      </pivotArea>
    </calculatedItem>
    <calculatedItem>
      <pivotArea cacheIndex="1" outline="0" fieldPosition="0">
        <references count="1">
          <reference field="12" count="1">
            <x v="318"/>
          </reference>
        </references>
      </pivotArea>
    </calculatedItem>
    <calculatedItem>
      <pivotArea cacheIndex="1" outline="0" fieldPosition="0">
        <references count="1">
          <reference field="12" count="1">
            <x v="319"/>
          </reference>
        </references>
      </pivotArea>
    </calculatedItem>
    <calculatedItem>
      <pivotArea cacheIndex="1" outline="0" fieldPosition="0">
        <references count="1">
          <reference field="12" count="1">
            <x v="320"/>
          </reference>
        </references>
      </pivotArea>
    </calculatedItem>
    <calculatedItem>
      <pivotArea cacheIndex="1" outline="0" fieldPosition="0">
        <references count="1">
          <reference field="12" count="1">
            <x v="321"/>
          </reference>
        </references>
      </pivotArea>
    </calculatedItem>
    <calculatedItem>
      <pivotArea cacheIndex="1" outline="0" fieldPosition="0">
        <references count="1">
          <reference field="12" count="1">
            <x v="322"/>
          </reference>
        </references>
      </pivotArea>
    </calculatedItem>
    <calculatedItem>
      <pivotArea cacheIndex="1" outline="0" fieldPosition="0">
        <references count="1">
          <reference field="12" count="1">
            <x v="323"/>
          </reference>
        </references>
      </pivotArea>
    </calculatedItem>
    <calculatedItem>
      <pivotArea cacheIndex="1" outline="0" fieldPosition="0">
        <references count="1">
          <reference field="12" count="1">
            <x v="324"/>
          </reference>
        </references>
      </pivotArea>
    </calculatedItem>
    <calculatedItem>
      <pivotArea cacheIndex="1" outline="0" fieldPosition="0">
        <references count="1">
          <reference field="12" count="1">
            <x v="325"/>
          </reference>
        </references>
      </pivotArea>
    </calculatedItem>
    <calculatedItem>
      <pivotArea cacheIndex="1" outline="0" fieldPosition="0">
        <references count="1">
          <reference field="12" count="1">
            <x v="326"/>
          </reference>
        </references>
      </pivotArea>
    </calculatedItem>
    <calculatedItem>
      <pivotArea cacheIndex="1" outline="0" fieldPosition="0">
        <references count="1">
          <reference field="12" count="1">
            <x v="327"/>
          </reference>
        </references>
      </pivotArea>
    </calculatedItem>
    <calculatedItem>
      <pivotArea cacheIndex="1" outline="0" fieldPosition="0">
        <references count="1">
          <reference field="12" count="1">
            <x v="328"/>
          </reference>
        </references>
      </pivotArea>
    </calculatedItem>
    <calculatedItem>
      <pivotArea cacheIndex="1" outline="0" fieldPosition="0">
        <references count="1">
          <reference field="12" count="1">
            <x v="329"/>
          </reference>
        </references>
      </pivotArea>
    </calculatedItem>
    <calculatedItem>
      <pivotArea cacheIndex="1" outline="0" fieldPosition="0">
        <references count="1">
          <reference field="12" count="1">
            <x v="330"/>
          </reference>
        </references>
      </pivotArea>
    </calculatedItem>
    <calculatedItem>
      <pivotArea cacheIndex="1" outline="0" fieldPosition="0">
        <references count="1">
          <reference field="12" count="1">
            <x v="331"/>
          </reference>
        </references>
      </pivotArea>
    </calculatedItem>
    <calculatedItem>
      <pivotArea cacheIndex="1" outline="0" fieldPosition="0">
        <references count="1">
          <reference field="12" count="1">
            <x v="332"/>
          </reference>
        </references>
      </pivotArea>
    </calculatedItem>
    <calculatedItem>
      <pivotArea cacheIndex="1" outline="0" fieldPosition="0">
        <references count="1">
          <reference field="12" count="1">
            <x v="333"/>
          </reference>
        </references>
      </pivotArea>
    </calculatedItem>
    <calculatedItem>
      <pivotArea cacheIndex="1" outline="0" fieldPosition="0">
        <references count="1">
          <reference field="12" count="1">
            <x v="334"/>
          </reference>
        </references>
      </pivotArea>
    </calculatedItem>
    <calculatedItem>
      <pivotArea cacheIndex="1" outline="0" fieldPosition="0">
        <references count="1">
          <reference field="12" count="1">
            <x v="335"/>
          </reference>
        </references>
      </pivotArea>
    </calculatedItem>
    <calculatedItem>
      <pivotArea cacheIndex="1" outline="0" fieldPosition="0">
        <references count="1">
          <reference field="12" count="1">
            <x v="336"/>
          </reference>
        </references>
      </pivotArea>
    </calculatedItem>
    <calculatedItem>
      <pivotArea cacheIndex="1" outline="0" fieldPosition="0">
        <references count="1">
          <reference field="12" count="1">
            <x v="337"/>
          </reference>
        </references>
      </pivotArea>
    </calculatedItem>
    <calculatedItem>
      <pivotArea cacheIndex="1" outline="0" fieldPosition="0">
        <references count="1">
          <reference field="12" count="1">
            <x v="338"/>
          </reference>
        </references>
      </pivotArea>
    </calculatedItem>
    <calculatedItem>
      <pivotArea cacheIndex="1" outline="0" fieldPosition="0">
        <references count="1">
          <reference field="12" count="1">
            <x v="339"/>
          </reference>
        </references>
      </pivotArea>
    </calculatedItem>
    <calculatedItem>
      <pivotArea cacheIndex="1" outline="0" fieldPosition="0">
        <references count="1">
          <reference field="12" count="1">
            <x v="340"/>
          </reference>
        </references>
      </pivotArea>
    </calculatedItem>
    <calculatedItem>
      <pivotArea cacheIndex="1" outline="0" fieldPosition="0">
        <references count="1">
          <reference field="12" count="1">
            <x v="341"/>
          </reference>
        </references>
      </pivotArea>
    </calculatedItem>
    <calculatedItem>
      <pivotArea cacheIndex="1" outline="0" fieldPosition="0">
        <references count="1">
          <reference field="12" count="1">
            <x v="342"/>
          </reference>
        </references>
      </pivotArea>
    </calculatedItem>
    <calculatedItem>
      <pivotArea cacheIndex="1" outline="0" fieldPosition="0">
        <references count="1">
          <reference field="12" count="1">
            <x v="343"/>
          </reference>
        </references>
      </pivotArea>
    </calculatedItem>
    <calculatedItem>
      <pivotArea cacheIndex="1" outline="0" fieldPosition="0">
        <references count="1">
          <reference field="12" count="1">
            <x v="344"/>
          </reference>
        </references>
      </pivotArea>
    </calculatedItem>
    <calculatedItem>
      <pivotArea cacheIndex="1" outline="0" fieldPosition="0">
        <references count="1">
          <reference field="12" count="1">
            <x v="345"/>
          </reference>
        </references>
      </pivotArea>
    </calculatedItem>
    <calculatedItem>
      <pivotArea cacheIndex="1" outline="0" fieldPosition="0">
        <references count="1">
          <reference field="12" count="1">
            <x v="346"/>
          </reference>
        </references>
      </pivotArea>
    </calculatedItem>
    <calculatedItem>
      <pivotArea cacheIndex="1" outline="0" fieldPosition="0">
        <references count="1">
          <reference field="12" count="1">
            <x v="347"/>
          </reference>
        </references>
      </pivotArea>
    </calculatedItem>
    <calculatedItem>
      <pivotArea cacheIndex="1" outline="0" fieldPosition="0">
        <references count="1">
          <reference field="12" count="1">
            <x v="348"/>
          </reference>
        </references>
      </pivotArea>
    </calculatedItem>
    <calculatedItem>
      <pivotArea cacheIndex="1" outline="0" fieldPosition="0">
        <references count="1">
          <reference field="12" count="1">
            <x v="349"/>
          </reference>
        </references>
      </pivotArea>
    </calculatedItem>
    <calculatedItem>
      <pivotArea cacheIndex="1" outline="0" fieldPosition="0">
        <references count="1">
          <reference field="12" count="1">
            <x v="350"/>
          </reference>
        </references>
      </pivotArea>
    </calculatedItem>
    <calculatedItem>
      <pivotArea cacheIndex="1" outline="0" fieldPosition="0">
        <references count="1">
          <reference field="12" count="1">
            <x v="351"/>
          </reference>
        </references>
      </pivotArea>
    </calculatedItem>
    <calculatedItem>
      <pivotArea cacheIndex="1" outline="0" fieldPosition="0">
        <references count="1">
          <reference field="12" count="1">
            <x v="352"/>
          </reference>
        </references>
      </pivotArea>
    </calculatedItem>
    <calculatedItem>
      <pivotArea cacheIndex="1" outline="0" fieldPosition="0">
        <references count="1">
          <reference field="12" count="1">
            <x v="353"/>
          </reference>
        </references>
      </pivotArea>
    </calculatedItem>
    <calculatedItem>
      <pivotArea cacheIndex="1" outline="0" fieldPosition="0">
        <references count="1">
          <reference field="12" count="1">
            <x v="354"/>
          </reference>
        </references>
      </pivotArea>
    </calculatedItem>
    <calculatedItem>
      <pivotArea cacheIndex="1" outline="0" fieldPosition="0">
        <references count="1">
          <reference field="12" count="1">
            <x v="355"/>
          </reference>
        </references>
      </pivotArea>
    </calculatedItem>
    <calculatedItem>
      <pivotArea cacheIndex="1" outline="0" fieldPosition="0">
        <references count="1">
          <reference field="12" count="1">
            <x v="356"/>
          </reference>
        </references>
      </pivotArea>
    </calculatedItem>
    <calculatedItem>
      <pivotArea cacheIndex="1" outline="0" fieldPosition="0">
        <references count="1">
          <reference field="12" count="1">
            <x v="357"/>
          </reference>
        </references>
      </pivotArea>
    </calculatedItem>
    <calculatedItem>
      <pivotArea cacheIndex="1" outline="0" fieldPosition="0">
        <references count="1">
          <reference field="12" count="1">
            <x v="358"/>
          </reference>
        </references>
      </pivotArea>
    </calculatedItem>
    <calculatedItem>
      <pivotArea cacheIndex="1" outline="0" fieldPosition="0">
        <references count="1">
          <reference field="12" count="1">
            <x v="359"/>
          </reference>
        </references>
      </pivotArea>
    </calculatedItem>
    <calculatedItem>
      <pivotArea cacheIndex="1" outline="0" fieldPosition="0">
        <references count="1">
          <reference field="12" count="1">
            <x v="360"/>
          </reference>
        </references>
      </pivotArea>
    </calculatedItem>
    <calculatedItem>
      <pivotArea cacheIndex="1" outline="0" fieldPosition="0">
        <references count="1">
          <reference field="12" count="1">
            <x v="361"/>
          </reference>
        </references>
      </pivotArea>
    </calculatedItem>
    <calculatedItem>
      <pivotArea cacheIndex="1" outline="0" fieldPosition="0">
        <references count="1">
          <reference field="12" count="1">
            <x v="362"/>
          </reference>
        </references>
      </pivotArea>
    </calculatedItem>
    <calculatedItem>
      <pivotArea cacheIndex="1" outline="0" fieldPosition="0">
        <references count="1">
          <reference field="12" count="1">
            <x v="363"/>
          </reference>
        </references>
      </pivotArea>
    </calculatedItem>
    <calculatedItem>
      <pivotArea cacheIndex="1" outline="0" fieldPosition="0">
        <references count="1">
          <reference field="12" count="1">
            <x v="364"/>
          </reference>
        </references>
      </pivotArea>
    </calculatedItem>
    <calculatedItem>
      <pivotArea cacheIndex="1" outline="0" fieldPosition="0">
        <references count="1">
          <reference field="12" count="1">
            <x v="365"/>
          </reference>
        </references>
      </pivotArea>
    </calculatedItem>
    <calculatedItem>
      <pivotArea cacheIndex="1" outline="0" fieldPosition="0">
        <references count="1">
          <reference field="12" count="1">
            <x v="366"/>
          </reference>
        </references>
      </pivotArea>
    </calculatedItem>
    <calculatedItem>
      <pivotArea cacheIndex="1" outline="0" fieldPosition="0">
        <references count="1">
          <reference field="12" count="1">
            <x v="367"/>
          </reference>
        </references>
      </pivotArea>
    </calculatedItem>
    <calculatedItem>
      <pivotArea cacheIndex="1" outline="0" fieldPosition="0">
        <references count="1">
          <reference field="12" count="1">
            <x v="368"/>
          </reference>
        </references>
      </pivotArea>
    </calculatedItem>
    <calculatedItem>
      <pivotArea cacheIndex="1" outline="0" fieldPosition="0">
        <references count="1">
          <reference field="12" count="1">
            <x v="369"/>
          </reference>
        </references>
      </pivotArea>
    </calculatedItem>
    <calculatedItem>
      <pivotArea cacheIndex="1" outline="0" fieldPosition="0">
        <references count="1">
          <reference field="12" count="1">
            <x v="370"/>
          </reference>
        </references>
      </pivotArea>
    </calculatedItem>
    <calculatedItem>
      <pivotArea cacheIndex="1" outline="0" fieldPosition="0">
        <references count="1">
          <reference field="12" count="1">
            <x v="371"/>
          </reference>
        </references>
      </pivotArea>
    </calculatedItem>
    <calculatedItem>
      <pivotArea cacheIndex="1" outline="0" fieldPosition="0">
        <references count="1">
          <reference field="12" count="1">
            <x v="372"/>
          </reference>
        </references>
      </pivotArea>
    </calculatedItem>
    <calculatedItem>
      <pivotArea cacheIndex="1" outline="0" fieldPosition="0">
        <references count="1">
          <reference field="12" count="1">
            <x v="373"/>
          </reference>
        </references>
      </pivotArea>
    </calculatedItem>
    <calculatedItem>
      <pivotArea cacheIndex="1" outline="0" fieldPosition="0">
        <references count="1">
          <reference field="12" count="1">
            <x v="374"/>
          </reference>
        </references>
      </pivotArea>
    </calculatedItem>
    <calculatedItem>
      <pivotArea cacheIndex="1" outline="0" fieldPosition="0">
        <references count="1">
          <reference field="12" count="1">
            <x v="375"/>
          </reference>
        </references>
      </pivotArea>
    </calculatedItem>
    <calculatedItem>
      <pivotArea cacheIndex="1" outline="0" fieldPosition="0">
        <references count="1">
          <reference field="12" count="1">
            <x v="376"/>
          </reference>
        </references>
      </pivotArea>
    </calculatedItem>
    <calculatedItem>
      <pivotArea cacheIndex="1" outline="0" fieldPosition="0">
        <references count="1">
          <reference field="12" count="1">
            <x v="377"/>
          </reference>
        </references>
      </pivotArea>
    </calculatedItem>
    <calculatedItem>
      <pivotArea cacheIndex="1" outline="0" fieldPosition="0">
        <references count="1">
          <reference field="12" count="1">
            <x v="378"/>
          </reference>
        </references>
      </pivotArea>
    </calculatedItem>
    <calculatedItem>
      <pivotArea cacheIndex="1" outline="0" fieldPosition="0">
        <references count="1">
          <reference field="12" count="1">
            <x v="379"/>
          </reference>
        </references>
      </pivotArea>
    </calculatedItem>
    <calculatedItem>
      <pivotArea cacheIndex="1" outline="0" fieldPosition="0">
        <references count="1">
          <reference field="12" count="1">
            <x v="380"/>
          </reference>
        </references>
      </pivotArea>
    </calculatedItem>
    <calculatedItem>
      <pivotArea cacheIndex="1" outline="0" fieldPosition="0">
        <references count="1">
          <reference field="12" count="1">
            <x v="381"/>
          </reference>
        </references>
      </pivotArea>
    </calculatedItem>
    <calculatedItem>
      <pivotArea cacheIndex="1" outline="0" fieldPosition="0">
        <references count="1">
          <reference field="12" count="1">
            <x v="382"/>
          </reference>
        </references>
      </pivotArea>
    </calculatedItem>
    <calculatedItem>
      <pivotArea cacheIndex="1" outline="0" fieldPosition="0">
        <references count="1">
          <reference field="12" count="1">
            <x v="383"/>
          </reference>
        </references>
      </pivotArea>
    </calculatedItem>
    <calculatedItem>
      <pivotArea cacheIndex="1" outline="0" fieldPosition="0">
        <references count="1">
          <reference field="12" count="1">
            <x v="384"/>
          </reference>
        </references>
      </pivotArea>
    </calculatedItem>
    <calculatedItem>
      <pivotArea cacheIndex="1" outline="0" fieldPosition="0">
        <references count="1">
          <reference field="12" count="1">
            <x v="385"/>
          </reference>
        </references>
      </pivotArea>
    </calculatedItem>
    <calculatedItem>
      <pivotArea cacheIndex="1" outline="0" fieldPosition="0">
        <references count="1">
          <reference field="12" count="1">
            <x v="386"/>
          </reference>
        </references>
      </pivotArea>
    </calculatedItem>
    <calculatedItem>
      <pivotArea cacheIndex="1" outline="0" fieldPosition="0">
        <references count="1">
          <reference field="12" count="1">
            <x v="387"/>
          </reference>
        </references>
      </pivotArea>
    </calculatedItem>
    <calculatedItem>
      <pivotArea cacheIndex="1" outline="0" fieldPosition="0">
        <references count="1">
          <reference field="12" count="1">
            <x v="388"/>
          </reference>
        </references>
      </pivotArea>
    </calculatedItem>
    <calculatedItem>
      <pivotArea cacheIndex="1" outline="0" fieldPosition="0">
        <references count="1">
          <reference field="12" count="1">
            <x v="389"/>
          </reference>
        </references>
      </pivotArea>
    </calculatedItem>
    <calculatedItem>
      <pivotArea cacheIndex="1" outline="0" fieldPosition="0">
        <references count="1">
          <reference field="12" count="1">
            <x v="390"/>
          </reference>
        </references>
      </pivotArea>
    </calculatedItem>
    <calculatedItem>
      <pivotArea cacheIndex="1" outline="0" fieldPosition="0">
        <references count="1">
          <reference field="12" count="1">
            <x v="391"/>
          </reference>
        </references>
      </pivotArea>
    </calculatedItem>
    <calculatedItem>
      <pivotArea cacheIndex="1" outline="0" fieldPosition="0">
        <references count="1">
          <reference field="12" count="1">
            <x v="392"/>
          </reference>
        </references>
      </pivotArea>
    </calculatedItem>
    <calculatedItem>
      <pivotArea cacheIndex="1" outline="0" fieldPosition="0">
        <references count="1">
          <reference field="12" count="1">
            <x v="393"/>
          </reference>
        </references>
      </pivotArea>
    </calculatedItem>
    <calculatedItem>
      <pivotArea cacheIndex="1" outline="0" fieldPosition="0">
        <references count="1">
          <reference field="12" count="1">
            <x v="394"/>
          </reference>
        </references>
      </pivotArea>
    </calculatedItem>
    <calculatedItem>
      <pivotArea cacheIndex="1" outline="0" fieldPosition="0">
        <references count="1">
          <reference field="12" count="1">
            <x v="395"/>
          </reference>
        </references>
      </pivotArea>
    </calculatedItem>
    <calculatedItem>
      <pivotArea cacheIndex="1" outline="0" fieldPosition="0">
        <references count="1">
          <reference field="12" count="1">
            <x v="396"/>
          </reference>
        </references>
      </pivotArea>
    </calculatedItem>
    <calculatedItem>
      <pivotArea cacheIndex="1" outline="0" fieldPosition="0">
        <references count="1">
          <reference field="12" count="1">
            <x v="397"/>
          </reference>
        </references>
      </pivotArea>
    </calculatedItem>
    <calculatedItem>
      <pivotArea cacheIndex="1" outline="0" fieldPosition="0">
        <references count="1">
          <reference field="12" count="1">
            <x v="398"/>
          </reference>
        </references>
      </pivotArea>
    </calculatedItem>
    <calculatedItem>
      <pivotArea cacheIndex="1" outline="0" fieldPosition="0">
        <references count="1">
          <reference field="12" count="1">
            <x v="399"/>
          </reference>
        </references>
      </pivotArea>
    </calculatedItem>
    <calculatedItem>
      <pivotArea cacheIndex="1" outline="0" fieldPosition="0">
        <references count="1">
          <reference field="12" count="1">
            <x v="400"/>
          </reference>
        </references>
      </pivotArea>
    </calculatedItem>
    <calculatedItem>
      <pivotArea cacheIndex="1" outline="0" fieldPosition="0">
        <references count="1">
          <reference field="12" count="1">
            <x v="401"/>
          </reference>
        </references>
      </pivotArea>
    </calculatedItem>
    <calculatedItem>
      <pivotArea cacheIndex="1" outline="0" fieldPosition="0">
        <references count="1">
          <reference field="12" count="1">
            <x v="402"/>
          </reference>
        </references>
      </pivotArea>
    </calculatedItem>
    <calculatedItem>
      <pivotArea cacheIndex="1" outline="0" fieldPosition="0">
        <references count="1">
          <reference field="12" count="1">
            <x v="403"/>
          </reference>
        </references>
      </pivotArea>
    </calculatedItem>
    <calculatedItem>
      <pivotArea cacheIndex="1" outline="0" fieldPosition="0">
        <references count="1">
          <reference field="12" count="1">
            <x v="404"/>
          </reference>
        </references>
      </pivotArea>
    </calculatedItem>
    <calculatedItem>
      <pivotArea cacheIndex="1" outline="0" fieldPosition="0">
        <references count="1">
          <reference field="12" count="1">
            <x v="405"/>
          </reference>
        </references>
      </pivotArea>
    </calculatedItem>
    <calculatedItem>
      <pivotArea cacheIndex="1" outline="0" fieldPosition="0">
        <references count="1">
          <reference field="12" count="1">
            <x v="406"/>
          </reference>
        </references>
      </pivotArea>
    </calculatedItem>
    <calculatedItem>
      <pivotArea cacheIndex="1" outline="0" fieldPosition="0">
        <references count="1">
          <reference field="12" count="1">
            <x v="407"/>
          </reference>
        </references>
      </pivotArea>
    </calculatedItem>
    <calculatedItem>
      <pivotArea cacheIndex="1" outline="0" fieldPosition="0">
        <references count="1">
          <reference field="12" count="1">
            <x v="408"/>
          </reference>
        </references>
      </pivotArea>
    </calculatedItem>
    <calculatedItem>
      <pivotArea cacheIndex="1" outline="0" fieldPosition="0">
        <references count="1">
          <reference field="12" count="1">
            <x v="409"/>
          </reference>
        </references>
      </pivotArea>
    </calculatedItem>
    <calculatedItem>
      <pivotArea cacheIndex="1" outline="0" fieldPosition="0">
        <references count="1">
          <reference field="12" count="1">
            <x v="410"/>
          </reference>
        </references>
      </pivotArea>
    </calculatedItem>
    <calculatedItem>
      <pivotArea cacheIndex="1" outline="0" fieldPosition="0">
        <references count="1">
          <reference field="12" count="1">
            <x v="411"/>
          </reference>
        </references>
      </pivotArea>
    </calculatedItem>
    <calculatedItem>
      <pivotArea cacheIndex="1" outline="0" fieldPosition="0">
        <references count="1">
          <reference field="12" count="1">
            <x v="412"/>
          </reference>
        </references>
      </pivotArea>
    </calculatedItem>
    <calculatedItem>
      <pivotArea cacheIndex="1" outline="0" fieldPosition="0">
        <references count="1">
          <reference field="12" count="1">
            <x v="413"/>
          </reference>
        </references>
      </pivotArea>
    </calculatedItem>
    <calculatedItem>
      <pivotArea cacheIndex="1" outline="0" fieldPosition="0">
        <references count="1">
          <reference field="12" count="1">
            <x v="414"/>
          </reference>
        </references>
      </pivotArea>
    </calculatedItem>
    <calculatedItem>
      <pivotArea cacheIndex="1" outline="0" fieldPosition="0">
        <references count="1">
          <reference field="12" count="1">
            <x v="415"/>
          </reference>
        </references>
      </pivotArea>
    </calculatedItem>
    <calculatedItem>
      <pivotArea cacheIndex="1" outline="0" fieldPosition="0">
        <references count="1">
          <reference field="12" count="1">
            <x v="416"/>
          </reference>
        </references>
      </pivotArea>
    </calculatedItem>
    <calculatedItem>
      <pivotArea cacheIndex="1" outline="0" fieldPosition="0">
        <references count="1">
          <reference field="12" count="1">
            <x v="417"/>
          </reference>
        </references>
      </pivotArea>
    </calculatedItem>
    <calculatedItem>
      <pivotArea cacheIndex="1" outline="0" fieldPosition="0">
        <references count="1">
          <reference field="12" count="1">
            <x v="418"/>
          </reference>
        </references>
      </pivotArea>
    </calculatedItem>
    <calculatedItem>
      <pivotArea cacheIndex="1" outline="0" fieldPosition="0">
        <references count="1">
          <reference field="12" count="1">
            <x v="419"/>
          </reference>
        </references>
      </pivotArea>
    </calculatedItem>
    <calculatedItem>
      <pivotArea cacheIndex="1" outline="0" fieldPosition="0">
        <references count="1">
          <reference field="12" count="1">
            <x v="420"/>
          </reference>
        </references>
      </pivotArea>
    </calculatedItem>
    <calculatedItem>
      <pivotArea cacheIndex="1" outline="0" fieldPosition="0">
        <references count="1">
          <reference field="12" count="1">
            <x v="421"/>
          </reference>
        </references>
      </pivotArea>
    </calculatedItem>
    <calculatedItem>
      <pivotArea cacheIndex="1" outline="0" fieldPosition="0">
        <references count="1">
          <reference field="12" count="1">
            <x v="422"/>
          </reference>
        </references>
      </pivotArea>
    </calculatedItem>
    <calculatedItem>
      <pivotArea cacheIndex="1" outline="0" fieldPosition="0">
        <references count="1">
          <reference field="12" count="1">
            <x v="423"/>
          </reference>
        </references>
      </pivotArea>
    </calculatedItem>
    <calculatedItem>
      <pivotArea cacheIndex="1" outline="0" fieldPosition="0">
        <references count="1">
          <reference field="12" count="1">
            <x v="424"/>
          </reference>
        </references>
      </pivotArea>
    </calculatedItem>
    <calculatedItem>
      <pivotArea cacheIndex="1" outline="0" fieldPosition="0">
        <references count="1">
          <reference field="12" count="1">
            <x v="425"/>
          </reference>
        </references>
      </pivotArea>
    </calculatedItem>
    <calculatedItem>
      <pivotArea cacheIndex="1" outline="0" fieldPosition="0">
        <references count="1">
          <reference field="12" count="1">
            <x v="426"/>
          </reference>
        </references>
      </pivotArea>
    </calculatedItem>
    <calculatedItem>
      <pivotArea cacheIndex="1" outline="0" fieldPosition="0">
        <references count="1">
          <reference field="12" count="1">
            <x v="427"/>
          </reference>
        </references>
      </pivotArea>
    </calculatedItem>
    <calculatedItem>
      <pivotArea cacheIndex="1" outline="0" fieldPosition="0">
        <references count="1">
          <reference field="12" count="1">
            <x v="428"/>
          </reference>
        </references>
      </pivotArea>
    </calculatedItem>
    <calculatedItem>
      <pivotArea cacheIndex="1" outline="0" fieldPosition="0">
        <references count="1">
          <reference field="12" count="1">
            <x v="429"/>
          </reference>
        </references>
      </pivotArea>
    </calculatedItem>
    <calculatedItem>
      <pivotArea cacheIndex="1" outline="0" fieldPosition="0">
        <references count="1">
          <reference field="12" count="1">
            <x v="430"/>
          </reference>
        </references>
      </pivotArea>
    </calculatedItem>
    <calculatedItem>
      <pivotArea cacheIndex="1" outline="0" fieldPosition="0">
        <references count="1">
          <reference field="12" count="1">
            <x v="431"/>
          </reference>
        </references>
      </pivotArea>
    </calculatedItem>
    <calculatedItem>
      <pivotArea cacheIndex="1" outline="0" fieldPosition="0">
        <references count="1">
          <reference field="12" count="1">
            <x v="432"/>
          </reference>
        </references>
      </pivotArea>
    </calculatedItem>
    <calculatedItem>
      <pivotArea cacheIndex="1" outline="0" fieldPosition="0">
        <references count="1">
          <reference field="12" count="1">
            <x v="433"/>
          </reference>
        </references>
      </pivotArea>
    </calculatedItem>
    <calculatedItem>
      <pivotArea cacheIndex="1" outline="0" fieldPosition="0">
        <references count="1">
          <reference field="12" count="1">
            <x v="434"/>
          </reference>
        </references>
      </pivotArea>
    </calculatedItem>
    <calculatedItem>
      <pivotArea cacheIndex="1" outline="0" fieldPosition="0">
        <references count="1">
          <reference field="12" count="1">
            <x v="435"/>
          </reference>
        </references>
      </pivotArea>
    </calculatedItem>
    <calculatedItem>
      <pivotArea cacheIndex="1" outline="0" fieldPosition="0">
        <references count="1">
          <reference field="12" count="1">
            <x v="436"/>
          </reference>
        </references>
      </pivotArea>
    </calculatedItem>
    <calculatedItem>
      <pivotArea cacheIndex="1" outline="0" fieldPosition="0">
        <references count="1">
          <reference field="12" count="1">
            <x v="437"/>
          </reference>
        </references>
      </pivotArea>
    </calculatedItem>
    <calculatedItem>
      <pivotArea cacheIndex="1" outline="0" fieldPosition="0">
        <references count="1">
          <reference field="12" count="1">
            <x v="438"/>
          </reference>
        </references>
      </pivotArea>
    </calculatedItem>
    <calculatedItem>
      <pivotArea cacheIndex="1" outline="0" fieldPosition="0">
        <references count="1">
          <reference field="12" count="1">
            <x v="439"/>
          </reference>
        </references>
      </pivotArea>
    </calculatedItem>
    <calculatedItem>
      <pivotArea cacheIndex="1" outline="0" fieldPosition="0">
        <references count="1">
          <reference field="12" count="1">
            <x v="440"/>
          </reference>
        </references>
      </pivotArea>
    </calculatedItem>
    <calculatedItem>
      <pivotArea cacheIndex="1" outline="0" fieldPosition="0">
        <references count="1">
          <reference field="12" count="1">
            <x v="441"/>
          </reference>
        </references>
      </pivotArea>
    </calculatedItem>
    <calculatedItem>
      <pivotArea cacheIndex="1" outline="0" fieldPosition="0">
        <references count="1">
          <reference field="12" count="1">
            <x v="442"/>
          </reference>
        </references>
      </pivotArea>
    </calculatedItem>
    <calculatedItem>
      <pivotArea cacheIndex="1" outline="0" fieldPosition="0">
        <references count="1">
          <reference field="12" count="1">
            <x v="443"/>
          </reference>
        </references>
      </pivotArea>
    </calculatedItem>
    <calculatedItem>
      <pivotArea cacheIndex="1" outline="0" fieldPosition="0">
        <references count="1">
          <reference field="12" count="1">
            <x v="444"/>
          </reference>
        </references>
      </pivotArea>
    </calculatedItem>
    <calculatedItem>
      <pivotArea cacheIndex="1" outline="0" fieldPosition="0">
        <references count="1">
          <reference field="12" count="1">
            <x v="445"/>
          </reference>
        </references>
      </pivotArea>
    </calculatedItem>
    <calculatedItem>
      <pivotArea cacheIndex="1" outline="0" fieldPosition="0">
        <references count="1">
          <reference field="12" count="1">
            <x v="446"/>
          </reference>
        </references>
      </pivotArea>
    </calculatedItem>
    <calculatedItem>
      <pivotArea cacheIndex="1" outline="0" fieldPosition="0">
        <references count="1">
          <reference field="12" count="1">
            <x v="447"/>
          </reference>
        </references>
      </pivotArea>
    </calculatedItem>
    <calculatedItem>
      <pivotArea cacheIndex="1" outline="0" fieldPosition="0">
        <references count="1">
          <reference field="12" count="1">
            <x v="448"/>
          </reference>
        </references>
      </pivotArea>
    </calculatedItem>
    <calculatedItem>
      <pivotArea cacheIndex="1" outline="0" fieldPosition="0">
        <references count="1">
          <reference field="12" count="1">
            <x v="449"/>
          </reference>
        </references>
      </pivotArea>
    </calculatedItem>
    <calculatedItem>
      <pivotArea cacheIndex="1" outline="0" fieldPosition="0">
        <references count="1">
          <reference field="12" count="1">
            <x v="450"/>
          </reference>
        </references>
      </pivotArea>
    </calculatedItem>
    <calculatedItem>
      <pivotArea cacheIndex="1" outline="0" fieldPosition="0">
        <references count="1">
          <reference field="12" count="1">
            <x v="451"/>
          </reference>
        </references>
      </pivotArea>
    </calculatedItem>
    <calculatedItem>
      <pivotArea cacheIndex="1" outline="0" fieldPosition="0">
        <references count="1">
          <reference field="12" count="1">
            <x v="452"/>
          </reference>
        </references>
      </pivotArea>
    </calculatedItem>
    <calculatedItem>
      <pivotArea cacheIndex="1" outline="0" fieldPosition="0">
        <references count="1">
          <reference field="12" count="1">
            <x v="453"/>
          </reference>
        </references>
      </pivotArea>
    </calculatedItem>
  </calculatedItems>
  <extLst>
    <ext xmlns:x14="http://schemas.microsoft.com/office/spreadsheetml/2009/9/main" uri="{725AE2AE-9491-48be-B2B4-4EB974FC3084}">
      <x14:pivotCacheDefinition pivotCacheId="751505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
  <r>
    <x v="0"/>
    <d v="2024-03-11T00:00:00"/>
    <x v="0"/>
    <x v="0"/>
    <d v="2024-04-06T00:00:00"/>
    <x v="0"/>
    <x v="0"/>
    <x v="0"/>
    <x v="0"/>
    <x v="0"/>
    <x v="0"/>
    <x v="0"/>
    <x v="0"/>
    <n v="279.24"/>
    <n v="608.9"/>
    <n v="0.112"/>
    <n v="9"/>
    <s v="C. Otieno"/>
    <s v="Kisumu"/>
    <s v="Retail"/>
    <n v="608.9"/>
    <x v="0"/>
    <s v="OK"/>
    <d v="2024-04-06T00:00:00"/>
    <x v="0"/>
    <n v="4866.3287999999993"/>
    <n v="5480.0999999999995"/>
    <n v="26667968.456879992"/>
    <n v="5480.0999999999995"/>
    <m/>
  </r>
  <r>
    <x v="1"/>
    <d v="2024-10-23T00:00:00"/>
    <x v="1"/>
    <x v="1"/>
    <d v="2024-10-22T00:00:00"/>
    <x v="0"/>
    <x v="1"/>
    <x v="1"/>
    <x v="1"/>
    <x v="1"/>
    <x v="1"/>
    <x v="1"/>
    <x v="1"/>
    <n v="1084.3900000000001"/>
    <n v="759.33"/>
    <n v="0.23699999999999999"/>
    <n v="31"/>
    <s v="J. Njeri"/>
    <s v="Port Harcourt"/>
    <s v="Online"/>
    <n v="759.33"/>
    <x v="1"/>
    <s v="OK"/>
    <d v="2024-10-30T00:00:00"/>
    <x v="1"/>
    <n v="17960.432489999999"/>
    <n v="23539.23"/>
    <n v="422774751.28158265"/>
    <n v="23539.23"/>
    <m/>
  </r>
  <r>
    <x v="2"/>
    <d v="2023-02-28T00:00:00"/>
    <x v="2"/>
    <x v="2"/>
    <d v="2023-03-25T00:00:00"/>
    <x v="0"/>
    <x v="0"/>
    <x v="2"/>
    <x v="0"/>
    <x v="0"/>
    <x v="2"/>
    <x v="2"/>
    <x v="2"/>
    <n v="1460.76"/>
    <n v="-30.66"/>
    <n v="0.13100000000000001"/>
    <n v="12"/>
    <s v="I. Johnson"/>
    <s v="Nairobi"/>
    <s v="Retail"/>
    <n v="1752.912"/>
    <x v="2"/>
    <s v="Suspicious"/>
    <d v="2023-03-25T00:00:00"/>
    <x v="2"/>
    <n v="-319.72248000000002"/>
    <n v="-367.92"/>
    <n v="117632.29484160001"/>
    <n v="-367.92"/>
    <m/>
  </r>
  <r>
    <x v="3"/>
    <d v="2025-03-29T00:00:00"/>
    <x v="3"/>
    <x v="3"/>
    <d v="2025-04-02T00:00:00"/>
    <x v="0"/>
    <x v="1"/>
    <x v="3"/>
    <x v="2"/>
    <x v="2"/>
    <x v="3"/>
    <x v="3"/>
    <x v="3"/>
    <n v="259.93"/>
    <n v="255.94"/>
    <n v="7.1999999999999995E-2"/>
    <n v="22"/>
    <s v="G. Dubois"/>
    <s v="Lagos"/>
    <s v="Marketplace"/>
    <n v="255.94"/>
    <x v="3"/>
    <s v="OK"/>
    <d v="2025-04-02T00:00:00"/>
    <x v="3"/>
    <n v="5225.2710400000005"/>
    <n v="5630.68"/>
    <n v="29421829.139507204"/>
    <n v="5630.68"/>
    <m/>
  </r>
  <r>
    <x v="4"/>
    <d v="2023-12-06T00:00:00"/>
    <x v="4"/>
    <x v="4"/>
    <d v="2023-12-31T00:00:00"/>
    <x v="1"/>
    <x v="2"/>
    <x v="4"/>
    <x v="3"/>
    <x v="0"/>
    <x v="4"/>
    <x v="1"/>
    <x v="4"/>
    <n v="663.03"/>
    <n v="813.51"/>
    <n v="0.10199999999999999"/>
    <n v="15"/>
    <s v="L. Okafor"/>
    <s v="Osaka"/>
    <s v="Retail"/>
    <n v="813.51"/>
    <x v="4"/>
    <s v="OK"/>
    <d v="2023-12-31T00:00:00"/>
    <x v="2"/>
    <n v="10957.9797"/>
    <n v="12202.65"/>
    <n v="133716390.986205"/>
    <n v="12202.65"/>
    <m/>
  </r>
  <r>
    <x v="5"/>
    <d v="2023-01-02T00:00:00"/>
    <x v="5"/>
    <x v="2"/>
    <d v="2023-01-05T00:00:00"/>
    <x v="2"/>
    <x v="3"/>
    <x v="5"/>
    <x v="0"/>
    <x v="3"/>
    <x v="5"/>
    <x v="4"/>
    <x v="5"/>
    <n v="315.87"/>
    <n v="591.67999999999995"/>
    <n v="0"/>
    <n v="7"/>
    <s v="B. Chen"/>
    <s v="Toronto"/>
    <s v="Distributor"/>
    <n v="591.67999999999995"/>
    <x v="5"/>
    <s v="OK"/>
    <d v="2023-01-05T00:00:00"/>
    <x v="4"/>
    <n v="4141.7599999999993"/>
    <n v="4141.7599999999993"/>
    <n v="17154175.897599995"/>
    <n v="4141.7599999999993"/>
    <m/>
  </r>
  <r>
    <x v="6"/>
    <d v="2024-12-27T00:00:00"/>
    <x v="6"/>
    <x v="1"/>
    <d v="2025-01-14T00:00:00"/>
    <x v="1"/>
    <x v="4"/>
    <x v="6"/>
    <x v="4"/>
    <x v="2"/>
    <x v="6"/>
    <x v="5"/>
    <x v="6"/>
    <n v="586.07000000000005"/>
    <n v="845.97"/>
    <n v="0.14699999999999999"/>
    <n v="4"/>
    <s v="E. Garcia"/>
    <s v="Bengaluru"/>
    <s v="Marketplace"/>
    <n v="845.97"/>
    <x v="6"/>
    <s v="OK"/>
    <d v="2025-01-14T00:00:00"/>
    <x v="5"/>
    <n v="2886.4496399999998"/>
    <n v="3383.88"/>
    <n v="9767399.2078031991"/>
    <n v="3383.88"/>
    <m/>
  </r>
  <r>
    <x v="7"/>
    <d v="2023-01-15T00:00:00"/>
    <x v="5"/>
    <x v="2"/>
    <d v="2023-01-13T00:00:00"/>
    <x v="0"/>
    <x v="1"/>
    <x v="7"/>
    <x v="1"/>
    <x v="1"/>
    <x v="7"/>
    <x v="1"/>
    <x v="7"/>
    <n v="28.38"/>
    <n v="47.22"/>
    <n v="0.19400000000000001"/>
    <n v="18"/>
    <s v="O. Wang"/>
    <s v="Abuja"/>
    <s v="Online"/>
    <n v="47.22"/>
    <x v="7"/>
    <s v="OK"/>
    <d v="2023-01-22T00:00:00"/>
    <x v="1"/>
    <n v="685.06776000000002"/>
    <n v="849.96"/>
    <n v="582280.19328960008"/>
    <n v="849.96"/>
    <m/>
  </r>
  <r>
    <x v="8"/>
    <d v="2024-05-04T00:00:00"/>
    <x v="7"/>
    <x v="5"/>
    <d v="2024-05-29T00:00:00"/>
    <x v="0"/>
    <x v="1"/>
    <x v="7"/>
    <x v="2"/>
    <x v="2"/>
    <x v="7"/>
    <x v="5"/>
    <x v="8"/>
    <n v="1295.3399999999999"/>
    <n v="2530.81"/>
    <n v="3.1E-2"/>
    <n v="6"/>
    <s v="O. Wang"/>
    <s v="Abuja"/>
    <s v="Marketplace"/>
    <n v="2530.81"/>
    <x v="8"/>
    <s v="OK"/>
    <d v="2024-05-29T00:00:00"/>
    <x v="2"/>
    <n v="14714.12934"/>
    <n v="15184.86"/>
    <n v="223431994.04979241"/>
    <n v="15184.86"/>
    <m/>
  </r>
  <r>
    <x v="9"/>
    <d v="2025-05-21T00:00:00"/>
    <x v="8"/>
    <x v="6"/>
    <d v="2025-06-09T00:00:00"/>
    <x v="2"/>
    <x v="5"/>
    <x v="8"/>
    <x v="2"/>
    <x v="1"/>
    <x v="8"/>
    <x v="0"/>
    <x v="9"/>
    <n v="1331.38"/>
    <n v="2309.56"/>
    <n v="0.14899999999999999"/>
    <n v="31"/>
    <s v="A. Patel"/>
    <s v="São Paulo"/>
    <s v="Online"/>
    <n v="2309.56"/>
    <x v="9"/>
    <s v="OK"/>
    <d v="2025-06-09T00:00:00"/>
    <x v="6"/>
    <n v="60928.502359999999"/>
    <n v="71596.36"/>
    <n v="4362258989.2274094"/>
    <n v="71596.36"/>
    <m/>
  </r>
  <r>
    <x v="10"/>
    <d v="2024-01-28T00:00:00"/>
    <x v="9"/>
    <x v="0"/>
    <d v="2024-02-09T00:00:00"/>
    <x v="3"/>
    <x v="6"/>
    <x v="9"/>
    <x v="0"/>
    <x v="1"/>
    <x v="3"/>
    <x v="6"/>
    <x v="10"/>
    <n v="644.16999999999996"/>
    <n v="700.12"/>
    <n v="6.0000000000000001E-3"/>
    <n v="23"/>
    <s v="G. Dubois"/>
    <s v="Berlin"/>
    <s v="Online"/>
    <n v="700.12"/>
    <x v="10"/>
    <s v="OK"/>
    <d v="2024-02-09T00:00:00"/>
    <x v="7"/>
    <n v="16006.14344"/>
    <n v="16102.76"/>
    <n v="257743086.33989441"/>
    <n v="16102.76"/>
    <m/>
  </r>
  <r>
    <x v="11"/>
    <d v="2025-01-03T00:00:00"/>
    <x v="10"/>
    <x v="3"/>
    <d v="2025-01-23T00:00:00"/>
    <x v="1"/>
    <x v="2"/>
    <x v="4"/>
    <x v="0"/>
    <x v="3"/>
    <x v="9"/>
    <x v="3"/>
    <x v="11"/>
    <n v="908.6"/>
    <n v="691.37"/>
    <n v="0.25"/>
    <n v="20"/>
    <s v="F. Müller"/>
    <s v="Osaka"/>
    <s v="Distributor"/>
    <n v="691.37"/>
    <x v="11"/>
    <s v="OK"/>
    <d v="2025-01-23T00:00:00"/>
    <x v="8"/>
    <n v="10370.549999999999"/>
    <n v="13827.4"/>
    <n v="143397743.06999999"/>
    <n v="13827.4"/>
    <m/>
  </r>
  <r>
    <x v="12"/>
    <d v="2025-03-06T00:00:00"/>
    <x v="3"/>
    <x v="3"/>
    <d v="2025-03-31T00:00:00"/>
    <x v="2"/>
    <x v="5"/>
    <x v="10"/>
    <x v="2"/>
    <x v="1"/>
    <x v="1"/>
    <x v="0"/>
    <x v="12"/>
    <n v="331.57"/>
    <n v="548.4"/>
    <n v="9.4E-2"/>
    <n v="10"/>
    <s v="J. Njeri"/>
    <s v="Brasília"/>
    <s v="Online"/>
    <n v="548.4"/>
    <x v="12"/>
    <s v="OK"/>
    <d v="2025-03-31T00:00:00"/>
    <x v="2"/>
    <n v="4968.5039999999999"/>
    <n v="5484"/>
    <n v="27247275.936000001"/>
    <n v="5484"/>
    <m/>
  </r>
  <r>
    <x v="13"/>
    <d v="2023-04-23T00:00:00"/>
    <x v="11"/>
    <x v="7"/>
    <d v="2023-04-22T00:00:00"/>
    <x v="0"/>
    <x v="0"/>
    <x v="2"/>
    <x v="4"/>
    <x v="4"/>
    <x v="6"/>
    <x v="4"/>
    <x v="13"/>
    <n v="756.51"/>
    <n v="850.8"/>
    <n v="7.3999999999999996E-2"/>
    <n v="9"/>
    <s v="E. Garcia"/>
    <s v="Nairobi"/>
    <s v="Direct"/>
    <n v="850.8"/>
    <x v="13"/>
    <s v="OK"/>
    <d v="2023-04-30T00:00:00"/>
    <x v="1"/>
    <n v="7090.5672000000004"/>
    <n v="7657.2"/>
    <n v="54293891.163840003"/>
    <n v="7657.2"/>
    <m/>
  </r>
  <r>
    <x v="14"/>
    <d v="2024-12-10T00:00:00"/>
    <x v="6"/>
    <x v="1"/>
    <d v="2025-01-08T00:00:00"/>
    <x v="3"/>
    <x v="7"/>
    <x v="11"/>
    <x v="4"/>
    <x v="0"/>
    <x v="10"/>
    <x v="1"/>
    <x v="14"/>
    <n v="891.08"/>
    <n v="1040.0999999999999"/>
    <n v="0.109"/>
    <n v="28"/>
    <s v="K. Singh"/>
    <s v="Marseille"/>
    <s v="Retail"/>
    <n v="1040.0999999999999"/>
    <x v="14"/>
    <s v="OK"/>
    <d v="2025-01-08T00:00:00"/>
    <x v="9"/>
    <n v="25948.414799999995"/>
    <n v="29122.799999999996"/>
    <n v="755690494.5374397"/>
    <n v="29122.799999999996"/>
    <m/>
  </r>
  <r>
    <x v="15"/>
    <d v="2025-09-08T00:00:00"/>
    <x v="12"/>
    <x v="8"/>
    <d v="2025-09-16T00:00:00"/>
    <x v="1"/>
    <x v="2"/>
    <x v="4"/>
    <x v="0"/>
    <x v="3"/>
    <x v="0"/>
    <x v="3"/>
    <x v="15"/>
    <n v="1225.57"/>
    <n v="2705.57"/>
    <n v="0.183"/>
    <n v="16"/>
    <s v="C. Otieno"/>
    <s v="Osaka"/>
    <s v="Distributor"/>
    <n v="2705.57"/>
    <x v="15"/>
    <s v="OK"/>
    <d v="2025-09-16T00:00:00"/>
    <x v="10"/>
    <n v="35367.211040000002"/>
    <n v="43289.120000000003"/>
    <n v="1531015442.7758849"/>
    <n v="43289.120000000003"/>
    <m/>
  </r>
  <r>
    <x v="16"/>
    <d v="2025-05-21T00:00:00"/>
    <x v="8"/>
    <x v="6"/>
    <d v="2025-05-19T00:00:00"/>
    <x v="3"/>
    <x v="8"/>
    <x v="12"/>
    <x v="5"/>
    <x v="1"/>
    <x v="11"/>
    <x v="4"/>
    <x v="16"/>
    <n v="1015.16"/>
    <n v="2148.14"/>
    <n v="3.7999999999999999E-2"/>
    <n v="19"/>
    <s v="M. Rossi"/>
    <s v="Birmingham"/>
    <s v="Online"/>
    <n v="2148.14"/>
    <x v="16"/>
    <s v="OK"/>
    <d v="2025-05-28T00:00:00"/>
    <x v="1"/>
    <n v="39263.702919999996"/>
    <n v="40814.659999999996"/>
    <n v="1602534685.0208068"/>
    <n v="40814.659999999996"/>
    <m/>
  </r>
  <r>
    <x v="17"/>
    <d v="2023-05-11T00:00:00"/>
    <x v="13"/>
    <x v="7"/>
    <d v="2023-05-28T00:00:00"/>
    <x v="1"/>
    <x v="9"/>
    <x v="13"/>
    <x v="5"/>
    <x v="2"/>
    <x v="6"/>
    <x v="2"/>
    <x v="17"/>
    <n v="1331.19"/>
    <n v="2903.09"/>
    <n v="0.14299999999999999"/>
    <n v="8"/>
    <s v="E. Garcia"/>
    <s v="Shenzhen"/>
    <s v="Marketplace"/>
    <n v="2903.09"/>
    <x v="17"/>
    <s v="OK"/>
    <d v="2023-05-28T00:00:00"/>
    <x v="11"/>
    <n v="19903.585040000002"/>
    <n v="23224.720000000001"/>
    <n v="462255189.55018884"/>
    <n v="23224.720000000001"/>
    <m/>
  </r>
  <r>
    <x v="18"/>
    <d v="2025-06-14T00:00:00"/>
    <x v="14"/>
    <x v="6"/>
    <d v="2025-06-29T00:00:00"/>
    <x v="0"/>
    <x v="1"/>
    <x v="1"/>
    <x v="3"/>
    <x v="2"/>
    <x v="11"/>
    <x v="6"/>
    <x v="18"/>
    <n v="730.99"/>
    <n v="1242.8399999999999"/>
    <n v="0.12"/>
    <n v="10"/>
    <s v="M. Rossi"/>
    <s v="Port Harcourt"/>
    <s v="Marketplace"/>
    <n v="1242.8399999999999"/>
    <x v="18"/>
    <s v="OK"/>
    <d v="2025-06-29T00:00:00"/>
    <x v="12"/>
    <n v="10936.992"/>
    <n v="12428.4"/>
    <n v="135929311.37279999"/>
    <n v="12428.4"/>
    <m/>
  </r>
  <r>
    <x v="19"/>
    <d v="2024-05-18T00:00:00"/>
    <x v="7"/>
    <x v="5"/>
    <d v="2024-05-23T00:00:00"/>
    <x v="2"/>
    <x v="10"/>
    <x v="14"/>
    <x v="5"/>
    <x v="0"/>
    <x v="12"/>
    <x v="4"/>
    <x v="19"/>
    <n v="1274.5899999999999"/>
    <n v="2553.69"/>
    <n v="0.01"/>
    <n v="8"/>
    <s v="H. Kim"/>
    <s v="Chicago"/>
    <s v="Retail"/>
    <n v="2553.69"/>
    <x v="19"/>
    <s v="OK"/>
    <d v="2024-05-23T00:00:00"/>
    <x v="13"/>
    <n v="20225.2248"/>
    <n v="20429.52"/>
    <n v="413191634.55609602"/>
    <n v="20429.52"/>
    <m/>
  </r>
  <r>
    <x v="20"/>
    <d v="2023-02-07T00:00:00"/>
    <x v="2"/>
    <x v="2"/>
    <d v="2023-02-12T00:00:00"/>
    <x v="2"/>
    <x v="5"/>
    <x v="8"/>
    <x v="1"/>
    <x v="1"/>
    <x v="13"/>
    <x v="0"/>
    <x v="20"/>
    <n v="948.55"/>
    <n v="2089.16"/>
    <n v="7.0000000000000001E-3"/>
    <n v="12"/>
    <s v="N. Brown"/>
    <s v="São Paulo"/>
    <s v="Online"/>
    <n v="2089.16"/>
    <x v="20"/>
    <s v="OK"/>
    <d v="2023-02-12T00:00:00"/>
    <x v="13"/>
    <n v="24894.430559999997"/>
    <n v="25069.919999999998"/>
    <n v="624101382.58475506"/>
    <n v="25069.919999999998"/>
    <m/>
  </r>
  <r>
    <x v="21"/>
    <d v="2024-06-30T00:00:00"/>
    <x v="15"/>
    <x v="5"/>
    <d v="2024-07-14T00:00:00"/>
    <x v="2"/>
    <x v="5"/>
    <x v="10"/>
    <x v="1"/>
    <x v="0"/>
    <x v="0"/>
    <x v="6"/>
    <x v="21"/>
    <n v="1491.85"/>
    <n v="2583.02"/>
    <n v="0.16800000000000001"/>
    <n v="4"/>
    <s v="C. Otieno"/>
    <s v="Brasília"/>
    <s v="Retail"/>
    <n v="2583.02"/>
    <x v="21"/>
    <s v="OK"/>
    <d v="2024-07-14T00:00:00"/>
    <x v="14"/>
    <n v="8596.2905599999995"/>
    <n v="10332.08"/>
    <n v="88817561.769164801"/>
    <n v="10332.08"/>
    <m/>
  </r>
  <r>
    <x v="22"/>
    <d v="2024-07-19T00:00:00"/>
    <x v="16"/>
    <x v="9"/>
    <d v="2024-07-19T00:00:00"/>
    <x v="0"/>
    <x v="0"/>
    <x v="0"/>
    <x v="4"/>
    <x v="0"/>
    <x v="8"/>
    <x v="3"/>
    <x v="22"/>
    <n v="857.24"/>
    <n v="758.23"/>
    <n v="0.125"/>
    <n v="6"/>
    <s v="A. Patel"/>
    <s v="Kisumu"/>
    <s v="Retail"/>
    <n v="758.23"/>
    <x v="22"/>
    <s v="OK"/>
    <d v="2024-07-19T00:00:00"/>
    <x v="15"/>
    <n v="3980.7075"/>
    <n v="4549.38"/>
    <n v="18109751.086350001"/>
    <n v="4549.38"/>
    <m/>
  </r>
  <r>
    <x v="23"/>
    <d v="2025-04-07T00:00:00"/>
    <x v="17"/>
    <x v="6"/>
    <d v="2025-04-11T00:00:00"/>
    <x v="3"/>
    <x v="7"/>
    <x v="15"/>
    <x v="1"/>
    <x v="0"/>
    <x v="6"/>
    <x v="2"/>
    <x v="23"/>
    <n v="754.77"/>
    <n v="1666.18"/>
    <n v="0.13900000000000001"/>
    <n v="14"/>
    <s v="E. Garcia"/>
    <s v="Lyon"/>
    <s v="Retail"/>
    <n v="1666.18"/>
    <x v="23"/>
    <s v="OK"/>
    <d v="2025-04-11T00:00:00"/>
    <x v="3"/>
    <n v="20084.133720000002"/>
    <n v="23326.52"/>
    <n v="468492946.90225446"/>
    <n v="23326.52"/>
    <m/>
  </r>
  <r>
    <x v="24"/>
    <d v="2024-12-27T00:00:00"/>
    <x v="6"/>
    <x v="1"/>
    <d v="2025-01-15T00:00:00"/>
    <x v="1"/>
    <x v="4"/>
    <x v="16"/>
    <x v="2"/>
    <x v="3"/>
    <x v="3"/>
    <x v="0"/>
    <x v="24"/>
    <n v="495.59"/>
    <n v="631.78"/>
    <n v="8.6999999999999994E-2"/>
    <n v="17"/>
    <s v="G. Dubois"/>
    <s v="Delhi"/>
    <s v="Distributor"/>
    <n v="631.78"/>
    <x v="24"/>
    <s v="OK"/>
    <d v="2025-01-15T00:00:00"/>
    <x v="6"/>
    <n v="9805.8573800000013"/>
    <n v="10740.26"/>
    <n v="105317457.78411882"/>
    <n v="10740.26"/>
    <m/>
  </r>
  <r>
    <x v="25"/>
    <d v="2023-02-23T00:00:00"/>
    <x v="2"/>
    <x v="2"/>
    <d v="2023-03-25T00:00:00"/>
    <x v="2"/>
    <x v="3"/>
    <x v="17"/>
    <x v="5"/>
    <x v="1"/>
    <x v="14"/>
    <x v="3"/>
    <x v="25"/>
    <n v="1242.6600000000001"/>
    <n v="1794.07"/>
    <n v="8.8999999999999996E-2"/>
    <n v="16"/>
    <s v="D. Smith"/>
    <s v="Montreal"/>
    <s v="Online"/>
    <n v="1794.07"/>
    <x v="25"/>
    <s v="OK"/>
    <d v="2023-03-25T00:00:00"/>
    <x v="16"/>
    <n v="26150.364320000001"/>
    <n v="28705.119999999999"/>
    <n v="750649345.84931839"/>
    <n v="28705.119999999999"/>
    <m/>
  </r>
  <r>
    <x v="26"/>
    <d v="2025-07-24T00:00:00"/>
    <x v="18"/>
    <x v="8"/>
    <d v="2025-08-06T00:00:00"/>
    <x v="0"/>
    <x v="11"/>
    <x v="18"/>
    <x v="1"/>
    <x v="2"/>
    <x v="14"/>
    <x v="2"/>
    <x v="26"/>
    <n v="1463.9"/>
    <n v="2633.02"/>
    <n v="8.4000000000000005E-2"/>
    <n v="4"/>
    <s v="D. Smith"/>
    <s v="Johannesburg"/>
    <s v="Marketplace"/>
    <n v="2633.02"/>
    <x v="26"/>
    <s v="OK"/>
    <d v="2025-08-06T00:00:00"/>
    <x v="17"/>
    <n v="9647.3852800000004"/>
    <n v="10532.08"/>
    <n v="101607033.5597824"/>
    <n v="10532.08"/>
    <m/>
  </r>
  <r>
    <x v="27"/>
    <d v="2023-03-27T00:00:00"/>
    <x v="19"/>
    <x v="2"/>
    <d v="2023-04-22T00:00:00"/>
    <x v="1"/>
    <x v="4"/>
    <x v="16"/>
    <x v="2"/>
    <x v="2"/>
    <x v="1"/>
    <x v="1"/>
    <x v="27"/>
    <n v="178.53"/>
    <n v="199.37"/>
    <n v="0.10100000000000001"/>
    <n v="37"/>
    <s v="J. Njeri"/>
    <s v="Delhi"/>
    <s v="Marketplace"/>
    <n v="199.37"/>
    <x v="27"/>
    <s v="OK"/>
    <d v="2023-04-22T00:00:00"/>
    <x v="0"/>
    <n v="6631.6443100000006"/>
    <n v="7376.6900000000005"/>
    <n v="48919584.26513391"/>
    <n v="7376.6900000000005"/>
    <m/>
  </r>
  <r>
    <x v="28"/>
    <d v="2024-03-07T00:00:00"/>
    <x v="0"/>
    <x v="0"/>
    <d v="2024-03-25T00:00:00"/>
    <x v="3"/>
    <x v="6"/>
    <x v="19"/>
    <x v="0"/>
    <x v="1"/>
    <x v="5"/>
    <x v="0"/>
    <x v="28"/>
    <n v="712.84"/>
    <n v="927.51"/>
    <n v="0.24299999999999999"/>
    <n v="27"/>
    <s v="B. Chen"/>
    <s v="Munich"/>
    <s v="Online"/>
    <n v="927.51"/>
    <x v="28"/>
    <s v="OK"/>
    <d v="2024-03-25T00:00:00"/>
    <x v="5"/>
    <n v="18957.37689"/>
    <n v="25042.77"/>
    <n v="474745229.25958532"/>
    <n v="25042.77"/>
    <m/>
  </r>
  <r>
    <x v="29"/>
    <d v="2025-06-24T00:00:00"/>
    <x v="14"/>
    <x v="6"/>
    <d v="2025-07-10T00:00:00"/>
    <x v="1"/>
    <x v="9"/>
    <x v="20"/>
    <x v="5"/>
    <x v="4"/>
    <x v="13"/>
    <x v="0"/>
    <x v="29"/>
    <n v="757.19"/>
    <n v="1735.41"/>
    <n v="0.13600000000000001"/>
    <n v="8"/>
    <s v="N. Brown"/>
    <s v="Shanghai"/>
    <s v="Direct"/>
    <n v="1735.41"/>
    <x v="29"/>
    <s v="OK"/>
    <d v="2025-07-10T00:00:00"/>
    <x v="18"/>
    <n v="11995.153920000001"/>
    <n v="13883.28"/>
    <n v="166532080.51445761"/>
    <n v="13883.28"/>
    <m/>
  </r>
  <r>
    <x v="30"/>
    <d v="2024-04-19T00:00:00"/>
    <x v="20"/>
    <x v="5"/>
    <d v="2024-05-06T00:00:00"/>
    <x v="0"/>
    <x v="1"/>
    <x v="1"/>
    <x v="2"/>
    <x v="1"/>
    <x v="8"/>
    <x v="1"/>
    <x v="30"/>
    <n v="865.33"/>
    <n v="1395.64"/>
    <n v="0.17499999999999999"/>
    <n v="13"/>
    <s v="A. Patel"/>
    <s v="Port Harcourt"/>
    <s v="Online"/>
    <n v="1395.64"/>
    <x v="30"/>
    <s v="OK"/>
    <d v="2024-05-06T00:00:00"/>
    <x v="11"/>
    <n v="14968.239"/>
    <n v="18143.32"/>
    <n v="271573550.01348001"/>
    <n v="18143.32"/>
    <m/>
  </r>
  <r>
    <x v="31"/>
    <d v="2023-06-17T00:00:00"/>
    <x v="21"/>
    <x v="7"/>
    <d v="2023-06-24T00:00:00"/>
    <x v="2"/>
    <x v="10"/>
    <x v="21"/>
    <x v="0"/>
    <x v="0"/>
    <x v="2"/>
    <x v="1"/>
    <x v="31"/>
    <n v="313.99"/>
    <n v="454.42"/>
    <n v="0.129"/>
    <n v="9"/>
    <s v="I. Johnson"/>
    <s v="San Francisco"/>
    <s v="Retail"/>
    <n v="454.42"/>
    <x v="31"/>
    <s v="OK"/>
    <d v="2023-06-24T00:00:00"/>
    <x v="1"/>
    <n v="3562.1983800000003"/>
    <n v="4089.78"/>
    <n v="14568607.690556401"/>
    <n v="4089.78"/>
    <m/>
  </r>
  <r>
    <x v="32"/>
    <d v="2024-08-27T00:00:00"/>
    <x v="22"/>
    <x v="9"/>
    <d v="2024-09-19T00:00:00"/>
    <x v="3"/>
    <x v="6"/>
    <x v="9"/>
    <x v="4"/>
    <x v="4"/>
    <x v="14"/>
    <x v="5"/>
    <x v="32"/>
    <n v="1024.01"/>
    <n v="1580.97"/>
    <n v="3.6999999999999998E-2"/>
    <n v="27"/>
    <s v="D. Smith"/>
    <s v="Berlin"/>
    <s v="Direct"/>
    <n v="1580.97"/>
    <x v="32"/>
    <s v="OK"/>
    <d v="2024-09-19T00:00:00"/>
    <x v="19"/>
    <n v="41106.800970000004"/>
    <n v="42686.19"/>
    <n v="1754692716.4976046"/>
    <n v="42686.19"/>
    <m/>
  </r>
  <r>
    <x v="33"/>
    <d v="2024-10-25T00:00:00"/>
    <x v="1"/>
    <x v="1"/>
    <d v="2024-11-14T00:00:00"/>
    <x v="0"/>
    <x v="0"/>
    <x v="22"/>
    <x v="0"/>
    <x v="4"/>
    <x v="12"/>
    <x v="1"/>
    <x v="33"/>
    <n v="1396.48"/>
    <n v="3204.5"/>
    <n v="0.318"/>
    <n v="14"/>
    <s v="H. Kim"/>
    <s v="Mombasa"/>
    <s v="Direct"/>
    <n v="3204.5"/>
    <x v="33"/>
    <s v="Suspicious"/>
    <d v="2024-11-14T00:00:00"/>
    <x v="8"/>
    <n v="30596.565999999999"/>
    <n v="44863"/>
    <n v="1372653740.4579999"/>
    <n v="44863"/>
    <m/>
  </r>
  <r>
    <x v="34"/>
    <d v="2025-05-29T00:00:00"/>
    <x v="8"/>
    <x v="6"/>
    <d v="2025-06-20T00:00:00"/>
    <x v="3"/>
    <x v="6"/>
    <x v="9"/>
    <x v="0"/>
    <x v="4"/>
    <x v="8"/>
    <x v="1"/>
    <x v="34"/>
    <n v="483.47"/>
    <n v="1135.43"/>
    <n v="0.14599999999999999"/>
    <n v="11"/>
    <s v="A. Patel"/>
    <s v="Berlin"/>
    <s v="Direct"/>
    <n v="1135.43"/>
    <x v="34"/>
    <s v="OK"/>
    <d v="2025-06-20T00:00:00"/>
    <x v="20"/>
    <n v="10666.229420000001"/>
    <n v="12489.730000000001"/>
    <n v="133218325.57385664"/>
    <n v="12489.730000000001"/>
    <m/>
  </r>
  <r>
    <x v="35"/>
    <d v="2024-05-20T00:00:00"/>
    <x v="7"/>
    <x v="5"/>
    <d v="2024-06-02T00:00:00"/>
    <x v="2"/>
    <x v="3"/>
    <x v="23"/>
    <x v="5"/>
    <x v="2"/>
    <x v="10"/>
    <x v="0"/>
    <x v="35"/>
    <n v="675.43"/>
    <n v="996.36"/>
    <n v="0.182"/>
    <n v="22"/>
    <s v="K. Singh"/>
    <s v="Vancouver"/>
    <s v="Marketplace"/>
    <n v="996.36"/>
    <x v="35"/>
    <s v="OK"/>
    <d v="2024-06-02T00:00:00"/>
    <x v="17"/>
    <n v="17930.494560000003"/>
    <n v="21919.920000000002"/>
    <n v="393035006.31563532"/>
    <n v="21919.920000000002"/>
    <m/>
  </r>
  <r>
    <x v="36"/>
    <d v="2023-04-19T00:00:00"/>
    <x v="11"/>
    <x v="7"/>
    <d v="2023-04-30T00:00:00"/>
    <x v="1"/>
    <x v="4"/>
    <x v="16"/>
    <x v="4"/>
    <x v="0"/>
    <x v="8"/>
    <x v="2"/>
    <x v="36"/>
    <n v="826.55"/>
    <n v="1397.05"/>
    <n v="0.16900000000000001"/>
    <n v="28"/>
    <s v="A. Patel"/>
    <s v="Delhi"/>
    <s v="Retail"/>
    <n v="1397.05"/>
    <x v="36"/>
    <s v="OK"/>
    <d v="2023-04-30T00:00:00"/>
    <x v="21"/>
    <n v="32506.559399999998"/>
    <n v="39117.4"/>
    <n v="1271572086.6735599"/>
    <n v="39117.4"/>
    <m/>
  </r>
  <r>
    <x v="37"/>
    <d v="2024-10-14T00:00:00"/>
    <x v="1"/>
    <x v="1"/>
    <d v="2024-11-08T00:00:00"/>
    <x v="0"/>
    <x v="1"/>
    <x v="3"/>
    <x v="5"/>
    <x v="1"/>
    <x v="7"/>
    <x v="2"/>
    <x v="37"/>
    <n v="859.35"/>
    <n v="1825.61"/>
    <n v="0.187"/>
    <n v="24"/>
    <s v="O. Wang"/>
    <s v="Lagos"/>
    <s v="Online"/>
    <n v="1825.61"/>
    <x v="37"/>
    <s v="OK"/>
    <d v="2024-11-08T00:00:00"/>
    <x v="2"/>
    <n v="35621.302319999995"/>
    <n v="43814.64"/>
    <n v="1560734537.4819646"/>
    <n v="43814.64"/>
    <m/>
  </r>
  <r>
    <x v="38"/>
    <d v="2023-07-10T00:00:00"/>
    <x v="23"/>
    <x v="10"/>
    <d v="2023-08-01T00:00:00"/>
    <x v="3"/>
    <x v="7"/>
    <x v="11"/>
    <x v="3"/>
    <x v="2"/>
    <x v="5"/>
    <x v="1"/>
    <x v="38"/>
    <n v="1303.56"/>
    <n v="1791.37"/>
    <n v="0.126"/>
    <n v="22"/>
    <s v="B. Chen"/>
    <s v="Marseille"/>
    <s v="Marketplace"/>
    <n v="1791.37"/>
    <x v="38"/>
    <s v="OK"/>
    <d v="2023-08-01T00:00:00"/>
    <x v="20"/>
    <n v="34444.462359999998"/>
    <n v="39410.14"/>
    <n v="1357461083.8323302"/>
    <n v="39410.14"/>
    <m/>
  </r>
  <r>
    <x v="39"/>
    <d v="2024-11-06T00:00:00"/>
    <x v="24"/>
    <x v="1"/>
    <d v="2024-11-22T00:00:00"/>
    <x v="2"/>
    <x v="3"/>
    <x v="5"/>
    <x v="2"/>
    <x v="3"/>
    <x v="14"/>
    <x v="6"/>
    <x v="39"/>
    <n v="1454.11"/>
    <n v="2629.75"/>
    <n v="0.29199999999999998"/>
    <n v="8"/>
    <s v="D. Smith"/>
    <s v="Toronto"/>
    <s v="Distributor"/>
    <n v="2629.75"/>
    <x v="39"/>
    <s v="OK"/>
    <d v="2024-11-22T00:00:00"/>
    <x v="18"/>
    <n v="14894.903999999999"/>
    <n v="21038"/>
    <n v="313358990.352"/>
    <n v="21038"/>
    <m/>
  </r>
  <r>
    <x v="40"/>
    <d v="2024-10-17T00:00:00"/>
    <x v="1"/>
    <x v="1"/>
    <d v="2024-11-06T00:00:00"/>
    <x v="1"/>
    <x v="4"/>
    <x v="6"/>
    <x v="5"/>
    <x v="3"/>
    <x v="7"/>
    <x v="5"/>
    <x v="40"/>
    <n v="72.94"/>
    <n v="106.3"/>
    <n v="0.29499999999999998"/>
    <n v="8"/>
    <s v="O. Wang"/>
    <s v="Bengaluru"/>
    <s v="Distributor"/>
    <n v="106.3"/>
    <x v="40"/>
    <s v="OK"/>
    <d v="2024-11-06T00:00:00"/>
    <x v="8"/>
    <n v="599.53200000000004"/>
    <n v="850.4"/>
    <n v="509842.01280000003"/>
    <n v="850.4"/>
    <m/>
  </r>
  <r>
    <x v="41"/>
    <d v="2023-08-30T00:00:00"/>
    <x v="25"/>
    <x v="10"/>
    <d v="2023-09-01T00:00:00"/>
    <x v="3"/>
    <x v="6"/>
    <x v="19"/>
    <x v="0"/>
    <x v="4"/>
    <x v="13"/>
    <x v="2"/>
    <x v="41"/>
    <n v="44.42"/>
    <n v="41.9"/>
    <n v="0.14399999999999999"/>
    <n v="6"/>
    <s v="N. Brown"/>
    <s v="Munich"/>
    <s v="Direct"/>
    <n v="41.9"/>
    <x v="41"/>
    <s v="OK"/>
    <d v="2023-09-01T00:00:00"/>
    <x v="22"/>
    <n v="215.19839999999996"/>
    <n v="251.39999999999998"/>
    <n v="54100.877759999988"/>
    <n v="251.39999999999998"/>
    <m/>
  </r>
  <r>
    <x v="42"/>
    <d v="2025-02-09T00:00:00"/>
    <x v="26"/>
    <x v="3"/>
    <d v="2025-03-01T00:00:00"/>
    <x v="2"/>
    <x v="5"/>
    <x v="8"/>
    <x v="0"/>
    <x v="3"/>
    <x v="5"/>
    <x v="4"/>
    <x v="42"/>
    <n v="1154.6400000000001"/>
    <n v="2794.13"/>
    <n v="3.5000000000000003E-2"/>
    <n v="11"/>
    <s v="B. Chen"/>
    <s v="São Paulo"/>
    <s v="Distributor"/>
    <n v="2794.13"/>
    <x v="42"/>
    <s v="OK"/>
    <d v="2025-03-01T00:00:00"/>
    <x v="8"/>
    <n v="29659.68995"/>
    <n v="30735.43"/>
    <n v="911603324.27992857"/>
    <n v="30735.430000000004"/>
    <m/>
  </r>
  <r>
    <x v="43"/>
    <d v="2025-06-09T00:00:00"/>
    <x v="14"/>
    <x v="6"/>
    <d v="2025-06-18T00:00:00"/>
    <x v="3"/>
    <x v="7"/>
    <x v="11"/>
    <x v="4"/>
    <x v="2"/>
    <x v="12"/>
    <x v="6"/>
    <x v="43"/>
    <n v="1225.5"/>
    <n v="-5.27"/>
    <n v="7.4999999999999997E-2"/>
    <n v="56"/>
    <s v="H. Kim"/>
    <s v="Marseille"/>
    <s v="Marketplace"/>
    <n v="1470.6"/>
    <x v="43"/>
    <s v="Suspicious"/>
    <d v="2025-06-18T00:00:00"/>
    <x v="23"/>
    <n v="-272.98599999999999"/>
    <n v="-295.12"/>
    <n v="80563.628320000003"/>
    <n v="-295.12"/>
    <m/>
  </r>
  <r>
    <x v="44"/>
    <d v="2025-05-02T00:00:00"/>
    <x v="8"/>
    <x v="6"/>
    <d v="2025-05-13T00:00:00"/>
    <x v="0"/>
    <x v="0"/>
    <x v="24"/>
    <x v="4"/>
    <x v="1"/>
    <x v="8"/>
    <x v="6"/>
    <x v="44"/>
    <n v="1057.5999999999999"/>
    <n v="1437.06"/>
    <n v="0.20499999999999999"/>
    <n v="4"/>
    <s v="A. Patel"/>
    <s v="Nakuru"/>
    <s v="Online"/>
    <n v="1437.06"/>
    <x v="44"/>
    <s v="OK"/>
    <d v="2025-05-13T00:00:00"/>
    <x v="21"/>
    <n v="4569.8508000000002"/>
    <n v="5748.24"/>
    <n v="26268599.162592001"/>
    <n v="5748.24"/>
    <m/>
  </r>
  <r>
    <x v="45"/>
    <d v="2024-03-10T00:00:00"/>
    <x v="0"/>
    <x v="0"/>
    <d v="2024-04-09T00:00:00"/>
    <x v="3"/>
    <x v="7"/>
    <x v="15"/>
    <x v="0"/>
    <x v="4"/>
    <x v="2"/>
    <x v="0"/>
    <x v="45"/>
    <n v="1176.56"/>
    <n v="1911.89"/>
    <n v="0.11899999999999999"/>
    <n v="20"/>
    <s v="I. Johnson"/>
    <s v="Lyon"/>
    <s v="Direct"/>
    <n v="1911.89"/>
    <x v="45"/>
    <s v="OK"/>
    <d v="2024-04-09T00:00:00"/>
    <x v="16"/>
    <n v="33687.501800000005"/>
    <n v="38237.800000000003"/>
    <n v="1288135956.3280404"/>
    <n v="38237.800000000003"/>
    <m/>
  </r>
  <r>
    <x v="46"/>
    <d v="2025-09-10T00:00:00"/>
    <x v="12"/>
    <x v="8"/>
    <d v="2025-09-12T00:00:00"/>
    <x v="1"/>
    <x v="2"/>
    <x v="25"/>
    <x v="3"/>
    <x v="1"/>
    <x v="7"/>
    <x v="0"/>
    <x v="46"/>
    <n v="1470.15"/>
    <n v="2593.7800000000002"/>
    <n v="0.11"/>
    <n v="12"/>
    <s v="O. Wang"/>
    <s v="Tokyo"/>
    <s v="Online"/>
    <n v="2593.7800000000002"/>
    <x v="46"/>
    <s v="OK"/>
    <d v="2025-09-12T00:00:00"/>
    <x v="22"/>
    <n v="27701.570400000001"/>
    <n v="31125.360000000001"/>
    <n v="862221351.26534402"/>
    <n v="31125.360000000001"/>
    <m/>
  </r>
  <r>
    <x v="47"/>
    <d v="2025-04-27T00:00:00"/>
    <x v="17"/>
    <x v="6"/>
    <d v="2025-05-25T00:00:00"/>
    <x v="3"/>
    <x v="7"/>
    <x v="26"/>
    <x v="4"/>
    <x v="2"/>
    <x v="2"/>
    <x v="3"/>
    <x v="47"/>
    <n v="603.45000000000005"/>
    <n v="1244.08"/>
    <n v="0.2"/>
    <n v="11"/>
    <s v="I. Johnson"/>
    <s v="Paris"/>
    <s v="Marketplace"/>
    <n v="1244.08"/>
    <x v="47"/>
    <s v="OK"/>
    <d v="2025-05-25T00:00:00"/>
    <x v="24"/>
    <n v="10947.904"/>
    <n v="13684.88"/>
    <n v="149820752.49151999"/>
    <n v="13684.88"/>
    <m/>
  </r>
  <r>
    <x v="48"/>
    <d v="2024-11-02T00:00:00"/>
    <x v="24"/>
    <x v="1"/>
    <d v="2024-11-18T00:00:00"/>
    <x v="1"/>
    <x v="4"/>
    <x v="27"/>
    <x v="4"/>
    <x v="3"/>
    <x v="7"/>
    <x v="5"/>
    <x v="48"/>
    <n v="1233.58"/>
    <n v="1912.51"/>
    <n v="0.255"/>
    <n v="51"/>
    <s v="O. Wang"/>
    <s v="Mumbai"/>
    <s v="Distributor"/>
    <n v="1912.51"/>
    <x v="48"/>
    <s v="OK"/>
    <d v="2024-11-18T00:00:00"/>
    <x v="18"/>
    <n v="72665.817450000002"/>
    <n v="97538.01"/>
    <n v="7087679229.0962744"/>
    <n v="97538.01"/>
    <m/>
  </r>
  <r>
    <x v="49"/>
    <d v="2023-02-15T00:00:00"/>
    <x v="2"/>
    <x v="2"/>
    <d v="2023-02-26T00:00:00"/>
    <x v="0"/>
    <x v="11"/>
    <x v="18"/>
    <x v="2"/>
    <x v="0"/>
    <x v="10"/>
    <x v="4"/>
    <x v="49"/>
    <n v="498.5"/>
    <n v="755.87"/>
    <n v="0.13"/>
    <n v="40"/>
    <s v="K. Singh"/>
    <s v="Johannesburg"/>
    <s v="Retail"/>
    <n v="755.87"/>
    <x v="49"/>
    <s v="OK"/>
    <d v="2023-02-26T00:00:00"/>
    <x v="21"/>
    <n v="26304.275999999998"/>
    <n v="30234.799999999999"/>
    <n v="795304524.00479996"/>
    <n v="30234.799999999999"/>
    <m/>
  </r>
  <r>
    <x v="50"/>
    <d v="2023-12-03T00:00:00"/>
    <x v="4"/>
    <x v="4"/>
    <d v="2023-12-26T00:00:00"/>
    <x v="2"/>
    <x v="5"/>
    <x v="28"/>
    <x v="1"/>
    <x v="0"/>
    <x v="7"/>
    <x v="3"/>
    <x v="50"/>
    <n v="1303.1099999999999"/>
    <n v="1145.67"/>
    <n v="0.184"/>
    <n v="13"/>
    <s v="O. Wang"/>
    <s v="Rio de Janeiro"/>
    <s v="Retail"/>
    <n v="1145.67"/>
    <x v="50"/>
    <s v="OK"/>
    <d v="2023-12-26T00:00:00"/>
    <x v="19"/>
    <n v="12153.267360000002"/>
    <n v="14893.710000000001"/>
    <n v="181007239.61230564"/>
    <n v="14893.710000000001"/>
    <m/>
  </r>
  <r>
    <x v="51"/>
    <d v="2023-03-19T00:00:00"/>
    <x v="19"/>
    <x v="2"/>
    <d v="2023-04-09T00:00:00"/>
    <x v="3"/>
    <x v="8"/>
    <x v="29"/>
    <x v="3"/>
    <x v="0"/>
    <x v="4"/>
    <x v="6"/>
    <x v="51"/>
    <n v="1082.17"/>
    <n v="1234.0999999999999"/>
    <n v="0.189"/>
    <n v="16"/>
    <s v="L. Okafor"/>
    <s v="Manchester"/>
    <s v="Retail"/>
    <n v="1234.0999999999999"/>
    <x v="51"/>
    <s v="OK"/>
    <d v="2023-04-09T00:00:00"/>
    <x v="25"/>
    <n v="16013.681599999998"/>
    <n v="19745.599999999999"/>
    <n v="316199751.40095991"/>
    <n v="19745.599999999995"/>
    <m/>
  </r>
  <r>
    <x v="52"/>
    <d v="2024-05-22T00:00:00"/>
    <x v="7"/>
    <x v="5"/>
    <d v="2024-06-06T00:00:00"/>
    <x v="1"/>
    <x v="2"/>
    <x v="30"/>
    <x v="0"/>
    <x v="3"/>
    <x v="0"/>
    <x v="5"/>
    <x v="52"/>
    <n v="673.88"/>
    <n v="1228.01"/>
    <n v="0.105"/>
    <n v="13"/>
    <s v="C. Otieno"/>
    <s v="Nagoya"/>
    <s v="Distributor"/>
    <n v="1228.01"/>
    <x v="52"/>
    <s v="OK"/>
    <d v="2024-06-06T00:00:00"/>
    <x v="12"/>
    <n v="14287.896349999999"/>
    <n v="15964.13"/>
    <n v="228093834.75792548"/>
    <n v="15964.13"/>
    <m/>
  </r>
  <r>
    <x v="53"/>
    <d v="2023-08-19T00:00:00"/>
    <x v="25"/>
    <x v="10"/>
    <d v="2023-09-07T00:00:00"/>
    <x v="0"/>
    <x v="11"/>
    <x v="18"/>
    <x v="5"/>
    <x v="0"/>
    <x v="14"/>
    <x v="5"/>
    <x v="53"/>
    <n v="494.61"/>
    <n v="605.23"/>
    <n v="0.20399999999999999"/>
    <n v="18"/>
    <s v="D. Smith"/>
    <s v="Johannesburg"/>
    <s v="Retail"/>
    <n v="605.23"/>
    <x v="53"/>
    <s v="OK"/>
    <d v="2023-09-07T00:00:00"/>
    <x v="6"/>
    <n v="8671.7354400000004"/>
    <n v="10894.14"/>
    <n v="94471099.926321596"/>
    <n v="10894.14"/>
    <m/>
  </r>
  <r>
    <x v="54"/>
    <d v="2023-04-21T00:00:00"/>
    <x v="11"/>
    <x v="7"/>
    <d v="2023-05-10T00:00:00"/>
    <x v="1"/>
    <x v="9"/>
    <x v="20"/>
    <x v="0"/>
    <x v="0"/>
    <x v="8"/>
    <x v="0"/>
    <x v="54"/>
    <n v="882.33"/>
    <n v="1880.15"/>
    <n v="0.05"/>
    <n v="5"/>
    <s v="A. Patel"/>
    <s v="Shanghai"/>
    <s v="Retail"/>
    <n v="1880.15"/>
    <x v="54"/>
    <s v="OK"/>
    <d v="2023-05-10T00:00:00"/>
    <x v="6"/>
    <n v="8930.7124999999996"/>
    <n v="9400.75"/>
    <n v="83955395.534374997"/>
    <n v="9400.75"/>
    <m/>
  </r>
  <r>
    <x v="55"/>
    <d v="2024-03-18T00:00:00"/>
    <x v="0"/>
    <x v="0"/>
    <d v="2024-03-21T00:00:00"/>
    <x v="3"/>
    <x v="6"/>
    <x v="19"/>
    <x v="4"/>
    <x v="1"/>
    <x v="11"/>
    <x v="6"/>
    <x v="55"/>
    <n v="910.63"/>
    <n v="1269.4000000000001"/>
    <n v="6.8000000000000005E-2"/>
    <n v="9"/>
    <s v="M. Rossi"/>
    <s v="Munich"/>
    <s v="Online"/>
    <n v="1269.4000000000001"/>
    <x v="55"/>
    <s v="OK"/>
    <d v="2024-03-21T00:00:00"/>
    <x v="4"/>
    <n v="10647.727199999999"/>
    <n v="11424.6"/>
    <n v="121646024.16912"/>
    <n v="11424.6"/>
    <m/>
  </r>
  <r>
    <x v="56"/>
    <d v="2025-04-09T00:00:00"/>
    <x v="17"/>
    <x v="6"/>
    <d v="2025-05-06T00:00:00"/>
    <x v="2"/>
    <x v="5"/>
    <x v="10"/>
    <x v="5"/>
    <x v="2"/>
    <x v="9"/>
    <x v="4"/>
    <x v="56"/>
    <n v="264.19"/>
    <n v="620.92999999999995"/>
    <n v="0.14199999999999999"/>
    <n v="12"/>
    <s v="F. Müller"/>
    <s v="Brasília"/>
    <s v="Marketplace"/>
    <n v="620.92999999999995"/>
    <x v="56"/>
    <s v="OK"/>
    <d v="2025-05-06T00:00:00"/>
    <x v="26"/>
    <n v="6393.0952799999995"/>
    <n v="7451.16"/>
    <n v="47635975.826524794"/>
    <n v="7451.16"/>
    <m/>
  </r>
  <r>
    <x v="57"/>
    <d v="2024-04-12T00:00:00"/>
    <x v="20"/>
    <x v="5"/>
    <d v="2024-05-07T00:00:00"/>
    <x v="0"/>
    <x v="11"/>
    <x v="18"/>
    <x v="1"/>
    <x v="3"/>
    <x v="8"/>
    <x v="4"/>
    <x v="57"/>
    <n v="1376.51"/>
    <n v="1455.91"/>
    <n v="0.185"/>
    <n v="17"/>
    <s v="A. Patel"/>
    <s v="Johannesburg"/>
    <s v="Distributor"/>
    <n v="1455.91"/>
    <x v="57"/>
    <s v="OK"/>
    <d v="2024-05-07T00:00:00"/>
    <x v="2"/>
    <n v="20171.63305"/>
    <n v="24750.47"/>
    <n v="499257398.65503353"/>
    <n v="24750.47"/>
    <m/>
  </r>
  <r>
    <x v="58"/>
    <d v="2024-12-15T00:00:00"/>
    <x v="6"/>
    <x v="1"/>
    <d v="2024-12-20T00:00:00"/>
    <x v="1"/>
    <x v="9"/>
    <x v="13"/>
    <x v="4"/>
    <x v="4"/>
    <x v="1"/>
    <x v="2"/>
    <x v="58"/>
    <n v="717.55"/>
    <n v="546.42999999999995"/>
    <n v="4.7E-2"/>
    <n v="18"/>
    <s v="J. Njeri"/>
    <s v="Shenzhen"/>
    <s v="Direct"/>
    <n v="546.42999999999995"/>
    <x v="58"/>
    <s v="OK"/>
    <d v="2024-12-20T00:00:00"/>
    <x v="13"/>
    <n v="9373.460219999999"/>
    <n v="9835.74"/>
    <n v="92194917.624262795"/>
    <n v="9835.74"/>
    <m/>
  </r>
  <r>
    <x v="59"/>
    <d v="2023-05-20T00:00:00"/>
    <x v="13"/>
    <x v="7"/>
    <d v="2023-05-18T00:00:00"/>
    <x v="0"/>
    <x v="11"/>
    <x v="31"/>
    <x v="0"/>
    <x v="3"/>
    <x v="8"/>
    <x v="0"/>
    <x v="59"/>
    <n v="917.88"/>
    <n v="1347.92"/>
    <n v="0.34300000000000003"/>
    <n v="5"/>
    <s v="A. Patel"/>
    <s v="Durban"/>
    <s v="Distributor"/>
    <n v="1347.92"/>
    <x v="33"/>
    <s v="Suspicious"/>
    <d v="2023-05-27T00:00:00"/>
    <x v="1"/>
    <n v="4427.9172000000008"/>
    <n v="6739.6"/>
    <n v="29842390.761120006"/>
    <n v="6739.6"/>
    <m/>
  </r>
  <r>
    <x v="60"/>
    <d v="2023-09-18T00:00:00"/>
    <x v="27"/>
    <x v="10"/>
    <d v="2023-10-08T00:00:00"/>
    <x v="1"/>
    <x v="4"/>
    <x v="16"/>
    <x v="4"/>
    <x v="4"/>
    <x v="5"/>
    <x v="0"/>
    <x v="60"/>
    <n v="825.64"/>
    <n v="1108.43"/>
    <n v="0.114"/>
    <n v="7"/>
    <s v="B. Chen"/>
    <s v="Delhi"/>
    <s v="Direct"/>
    <n v="1108.43"/>
    <x v="59"/>
    <s v="OK"/>
    <d v="2023-10-08T00:00:00"/>
    <x v="8"/>
    <n v="6874.4828600000001"/>
    <n v="7759.01"/>
    <n v="53339181.255568601"/>
    <n v="7759.01"/>
    <m/>
  </r>
  <r>
    <x v="61"/>
    <d v="2024-08-28T00:00:00"/>
    <x v="22"/>
    <x v="9"/>
    <d v="2024-09-25T00:00:00"/>
    <x v="2"/>
    <x v="5"/>
    <x v="28"/>
    <x v="2"/>
    <x v="1"/>
    <x v="15"/>
    <x v="6"/>
    <x v="61"/>
    <n v="1394.65"/>
    <n v="3144.1"/>
    <n v="0.13400000000000001"/>
    <n v="13"/>
    <s v="Unassigned"/>
    <s v="Rio de Janeiro"/>
    <s v="Online"/>
    <n v="3144.1"/>
    <x v="60"/>
    <s v="OK"/>
    <d v="2024-09-25T00:00:00"/>
    <x v="24"/>
    <n v="35396.277799999996"/>
    <n v="40873.299999999996"/>
    <n v="1446762681.4027398"/>
    <n v="40873.299999999996"/>
    <m/>
  </r>
  <r>
    <x v="62"/>
    <d v="2023-06-14T00:00:00"/>
    <x v="21"/>
    <x v="7"/>
    <d v="2023-06-16T00:00:00"/>
    <x v="3"/>
    <x v="8"/>
    <x v="29"/>
    <x v="2"/>
    <x v="4"/>
    <x v="10"/>
    <x v="0"/>
    <x v="62"/>
    <n v="357.36"/>
    <n v="703.62"/>
    <n v="0.25700000000000001"/>
    <n v="20"/>
    <s v="K. Singh"/>
    <s v="Manchester"/>
    <s v="Direct"/>
    <n v="703.62"/>
    <x v="61"/>
    <s v="OK"/>
    <d v="2023-06-16T00:00:00"/>
    <x v="22"/>
    <n v="10455.7932"/>
    <n v="14072.4"/>
    <n v="147138104.22768"/>
    <n v="14072.4"/>
    <m/>
  </r>
  <r>
    <x v="63"/>
    <d v="2024-11-21T00:00:00"/>
    <x v="24"/>
    <x v="1"/>
    <d v="2024-12-21T00:00:00"/>
    <x v="3"/>
    <x v="7"/>
    <x v="11"/>
    <x v="4"/>
    <x v="4"/>
    <x v="2"/>
    <x v="5"/>
    <x v="63"/>
    <n v="1122.68"/>
    <n v="1997.19"/>
    <n v="0.186"/>
    <n v="3"/>
    <s v="I. Johnson"/>
    <s v="Marseille"/>
    <s v="Direct"/>
    <n v="1997.19"/>
    <x v="62"/>
    <s v="OK"/>
    <d v="2024-12-21T00:00:00"/>
    <x v="16"/>
    <n v="4877.1379800000004"/>
    <n v="5991.57"/>
    <n v="29221713.6068286"/>
    <n v="5991.57"/>
    <m/>
  </r>
  <r>
    <x v="64"/>
    <d v="2023-02-08T00:00:00"/>
    <x v="2"/>
    <x v="2"/>
    <d v="2023-02-11T00:00:00"/>
    <x v="0"/>
    <x v="11"/>
    <x v="32"/>
    <x v="0"/>
    <x v="4"/>
    <x v="11"/>
    <x v="2"/>
    <x v="64"/>
    <n v="1410.05"/>
    <n v="2763.95"/>
    <n v="0.161"/>
    <n v="26"/>
    <s v="M. Rossi"/>
    <s v="Cape Town"/>
    <s v="Direct"/>
    <n v="2763.95"/>
    <x v="63"/>
    <s v="OK"/>
    <d v="2023-02-11T00:00:00"/>
    <x v="4"/>
    <n v="60292.805299999993"/>
    <n v="71862.7"/>
    <n v="4332803779.4323092"/>
    <n v="71862.7"/>
    <m/>
  </r>
  <r>
    <x v="65"/>
    <d v="2023-08-19T00:00:00"/>
    <x v="25"/>
    <x v="10"/>
    <d v="2023-09-12T00:00:00"/>
    <x v="2"/>
    <x v="3"/>
    <x v="23"/>
    <x v="5"/>
    <x v="0"/>
    <x v="2"/>
    <x v="1"/>
    <x v="65"/>
    <n v="1183.95"/>
    <n v="1503.53"/>
    <n v="0.24099999999999999"/>
    <n v="16"/>
    <s v="I. Johnson"/>
    <s v="Vancouver"/>
    <s v="Retail"/>
    <n v="1503.53"/>
    <x v="64"/>
    <s v="OK"/>
    <d v="2023-09-12T00:00:00"/>
    <x v="27"/>
    <n v="18258.868320000001"/>
    <n v="24056.48"/>
    <n v="439244100.56271362"/>
    <n v="24056.48"/>
    <m/>
  </r>
  <r>
    <x v="66"/>
    <d v="2025-04-23T00:00:00"/>
    <x v="17"/>
    <x v="6"/>
    <d v="2025-04-22T00:00:00"/>
    <x v="2"/>
    <x v="10"/>
    <x v="21"/>
    <x v="2"/>
    <x v="3"/>
    <x v="14"/>
    <x v="5"/>
    <x v="66"/>
    <n v="23.24"/>
    <n v="44.57"/>
    <n v="0.215"/>
    <n v="15"/>
    <s v="D. Smith"/>
    <s v="San Francisco"/>
    <s v="Distributor"/>
    <n v="44.57"/>
    <x v="65"/>
    <s v="OK"/>
    <d v="2025-04-30T00:00:00"/>
    <x v="1"/>
    <n v="524.81174999999996"/>
    <n v="668.55"/>
    <n v="350862.89546249993"/>
    <n v="668.55"/>
    <m/>
  </r>
  <r>
    <x v="67"/>
    <d v="2025-03-25T00:00:00"/>
    <x v="3"/>
    <x v="3"/>
    <d v="2025-04-17T00:00:00"/>
    <x v="3"/>
    <x v="8"/>
    <x v="33"/>
    <x v="3"/>
    <x v="0"/>
    <x v="12"/>
    <x v="2"/>
    <x v="67"/>
    <n v="1421.19"/>
    <n v="1808.26"/>
    <n v="0.104"/>
    <n v="13"/>
    <s v="H. Kim"/>
    <s v="London"/>
    <s v="Retail"/>
    <n v="1808.26"/>
    <x v="66"/>
    <s v="OK"/>
    <d v="2025-04-17T00:00:00"/>
    <x v="19"/>
    <n v="21062.61248"/>
    <n v="23507.38"/>
    <n v="495126835.36010242"/>
    <n v="23507.38"/>
    <m/>
  </r>
  <r>
    <x v="68"/>
    <d v="2023-12-22T00:00:00"/>
    <x v="4"/>
    <x v="4"/>
    <d v="2023-12-23T00:00:00"/>
    <x v="0"/>
    <x v="11"/>
    <x v="32"/>
    <x v="2"/>
    <x v="2"/>
    <x v="14"/>
    <x v="0"/>
    <x v="68"/>
    <n v="1186.18"/>
    <n v="1285.0899999999999"/>
    <n v="7.0000000000000007E-2"/>
    <n v="11"/>
    <s v="D. Smith"/>
    <s v="Cape Town"/>
    <s v="Marketplace"/>
    <n v="1285.0899999999999"/>
    <x v="67"/>
    <s v="OK"/>
    <d v="2023-12-23T00:00:00"/>
    <x v="28"/>
    <n v="13146.470699999998"/>
    <n v="14135.99"/>
    <n v="185838378.35049298"/>
    <n v="14135.990000000002"/>
    <m/>
  </r>
  <r>
    <x v="69"/>
    <d v="2024-04-06T00:00:00"/>
    <x v="20"/>
    <x v="5"/>
    <d v="2024-04-25T00:00:00"/>
    <x v="1"/>
    <x v="9"/>
    <x v="20"/>
    <x v="0"/>
    <x v="0"/>
    <x v="10"/>
    <x v="0"/>
    <x v="69"/>
    <n v="1366.48"/>
    <n v="1678.14"/>
    <n v="0.154"/>
    <n v="10"/>
    <s v="K. Singh"/>
    <s v="Shanghai"/>
    <s v="Retail"/>
    <n v="1678.14"/>
    <x v="68"/>
    <s v="OK"/>
    <d v="2024-04-25T00:00:00"/>
    <x v="6"/>
    <n v="14197.064400000001"/>
    <n v="16781.400000000001"/>
    <n v="238246616.52216005"/>
    <n v="16781.400000000001"/>
    <m/>
  </r>
  <r>
    <x v="70"/>
    <d v="2025-08-07T00:00:00"/>
    <x v="28"/>
    <x v="8"/>
    <d v="2025-08-19T00:00:00"/>
    <x v="0"/>
    <x v="0"/>
    <x v="24"/>
    <x v="0"/>
    <x v="5"/>
    <x v="11"/>
    <x v="0"/>
    <x v="70"/>
    <n v="601.51"/>
    <n v="679.35"/>
    <n v="0.188"/>
    <n v="3"/>
    <s v="M. Rossi"/>
    <s v="Nakuru"/>
    <s v="Unknown"/>
    <n v="679.35"/>
    <x v="69"/>
    <s v="OK"/>
    <d v="2025-08-19T00:00:00"/>
    <x v="7"/>
    <n v="1654.8966000000003"/>
    <n v="2038.0500000000002"/>
    <n v="3372762.0156300007"/>
    <n v="2038.0500000000002"/>
    <m/>
  </r>
  <r>
    <x v="71"/>
    <d v="2024-01-21T00:00:00"/>
    <x v="9"/>
    <x v="0"/>
    <d v="2024-01-25T00:00:00"/>
    <x v="1"/>
    <x v="4"/>
    <x v="16"/>
    <x v="3"/>
    <x v="4"/>
    <x v="0"/>
    <x v="5"/>
    <x v="71"/>
    <n v="523.70000000000005"/>
    <n v="1109.92"/>
    <n v="0.03"/>
    <n v="11"/>
    <s v="C. Otieno"/>
    <s v="Delhi"/>
    <s v="Direct"/>
    <n v="1109.92"/>
    <x v="70"/>
    <s v="OK"/>
    <d v="2024-01-25T00:00:00"/>
    <x v="3"/>
    <n v="11842.8464"/>
    <n v="12209.12"/>
    <n v="144590732.83916801"/>
    <n v="12209.12"/>
    <m/>
  </r>
  <r>
    <x v="72"/>
    <d v="2023-06-29T00:00:00"/>
    <x v="21"/>
    <x v="7"/>
    <d v="2023-07-02T00:00:00"/>
    <x v="1"/>
    <x v="2"/>
    <x v="30"/>
    <x v="1"/>
    <x v="2"/>
    <x v="9"/>
    <x v="5"/>
    <x v="72"/>
    <n v="55.65"/>
    <n v="83.57"/>
    <n v="6.6000000000000003E-2"/>
    <n v="8"/>
    <s v="F. Müller"/>
    <s v="Nagoya"/>
    <s v="Marketplace"/>
    <n v="83.57"/>
    <x v="71"/>
    <s v="OK"/>
    <d v="2023-07-02T00:00:00"/>
    <x v="4"/>
    <n v="624.43503999999996"/>
    <n v="668.56"/>
    <n v="417472.29034239997"/>
    <n v="668.56"/>
    <m/>
  </r>
  <r>
    <x v="73"/>
    <d v="2023-06-24T00:00:00"/>
    <x v="21"/>
    <x v="7"/>
    <d v="2023-06-23T00:00:00"/>
    <x v="2"/>
    <x v="5"/>
    <x v="28"/>
    <x v="2"/>
    <x v="0"/>
    <x v="6"/>
    <x v="1"/>
    <x v="73"/>
    <n v="804.01"/>
    <n v="1405.07"/>
    <n v="9.6000000000000002E-2"/>
    <n v="8"/>
    <s v="E. Garcia"/>
    <s v="Rio de Janeiro"/>
    <s v="Retail"/>
    <n v="1405.07"/>
    <x v="72"/>
    <s v="OK"/>
    <d v="2023-07-01T00:00:00"/>
    <x v="1"/>
    <n v="10161.46624"/>
    <n v="11240.56"/>
    <n v="114220570.9586944"/>
    <n v="11240.56"/>
    <m/>
  </r>
  <r>
    <x v="74"/>
    <d v="2024-10-04T00:00:00"/>
    <x v="1"/>
    <x v="1"/>
    <d v="2024-11-02T00:00:00"/>
    <x v="0"/>
    <x v="1"/>
    <x v="7"/>
    <x v="0"/>
    <x v="3"/>
    <x v="9"/>
    <x v="6"/>
    <x v="74"/>
    <n v="412.09"/>
    <n v="968.94"/>
    <n v="9.9000000000000005E-2"/>
    <n v="23"/>
    <s v="F. Müller"/>
    <s v="Abuja"/>
    <s v="Distributor"/>
    <n v="968.94"/>
    <x v="73"/>
    <s v="OK"/>
    <d v="2024-11-02T00:00:00"/>
    <x v="9"/>
    <n v="20079.343620000003"/>
    <n v="22285.620000000003"/>
    <n v="447480621.76474452"/>
    <n v="22285.620000000003"/>
    <m/>
  </r>
  <r>
    <x v="75"/>
    <d v="2025-09-10T00:00:00"/>
    <x v="12"/>
    <x v="8"/>
    <d v="2025-09-30T00:00:00"/>
    <x v="0"/>
    <x v="0"/>
    <x v="22"/>
    <x v="0"/>
    <x v="4"/>
    <x v="4"/>
    <x v="3"/>
    <x v="75"/>
    <n v="1009.48"/>
    <n v="1088.81"/>
    <n v="0.16"/>
    <n v="6"/>
    <s v="L. Okafor"/>
    <s v="Mombasa"/>
    <s v="Direct"/>
    <n v="1088.81"/>
    <x v="74"/>
    <s v="OK"/>
    <d v="2025-09-30T00:00:00"/>
    <x v="8"/>
    <n v="5487.6023999999998"/>
    <n v="6532.86"/>
    <n v="35849738.214863993"/>
    <n v="6532.8599999999988"/>
    <m/>
  </r>
  <r>
    <x v="76"/>
    <d v="2023-04-06T00:00:00"/>
    <x v="11"/>
    <x v="7"/>
    <d v="2023-04-27T00:00:00"/>
    <x v="3"/>
    <x v="8"/>
    <x v="29"/>
    <x v="5"/>
    <x v="3"/>
    <x v="2"/>
    <x v="1"/>
    <x v="76"/>
    <n v="1084.79"/>
    <n v="2484.9899999999998"/>
    <n v="3.4000000000000002E-2"/>
    <n v="18"/>
    <s v="I. Johnson"/>
    <s v="Manchester"/>
    <s v="Distributor"/>
    <n v="2484.9899999999998"/>
    <x v="75"/>
    <s v="OK"/>
    <d v="2023-04-27T00:00:00"/>
    <x v="25"/>
    <n v="43209.006119999991"/>
    <n v="44729.819999999992"/>
    <n v="1932731066.1264977"/>
    <n v="44729.819999999992"/>
    <m/>
  </r>
  <r>
    <x v="77"/>
    <d v="2025-07-22T00:00:00"/>
    <x v="18"/>
    <x v="8"/>
    <d v="2025-08-18T00:00:00"/>
    <x v="1"/>
    <x v="9"/>
    <x v="13"/>
    <x v="2"/>
    <x v="2"/>
    <x v="11"/>
    <x v="2"/>
    <x v="77"/>
    <n v="547.32000000000005"/>
    <n v="419.17"/>
    <n v="9.1999999999999998E-2"/>
    <n v="14"/>
    <s v="M. Rossi"/>
    <s v="Shenzhen"/>
    <s v="Marketplace"/>
    <n v="419.17"/>
    <x v="76"/>
    <s v="OK"/>
    <d v="2025-08-18T00:00:00"/>
    <x v="26"/>
    <n v="5328.4890400000004"/>
    <n v="5868.38"/>
    <n v="31269598.512555204"/>
    <n v="5868.38"/>
    <m/>
  </r>
  <r>
    <x v="78"/>
    <d v="2024-01-13T00:00:00"/>
    <x v="9"/>
    <x v="0"/>
    <d v="2024-01-22T00:00:00"/>
    <x v="1"/>
    <x v="4"/>
    <x v="27"/>
    <x v="5"/>
    <x v="2"/>
    <x v="1"/>
    <x v="0"/>
    <x v="78"/>
    <n v="313.60000000000002"/>
    <n v="334.28"/>
    <n v="0.14000000000000001"/>
    <n v="22"/>
    <s v="J. Njeri"/>
    <s v="Mumbai"/>
    <s v="Marketplace"/>
    <n v="334.28"/>
    <x v="77"/>
    <s v="OK"/>
    <d v="2024-01-22T00:00:00"/>
    <x v="23"/>
    <n v="6324.5775999999996"/>
    <n v="7354.16"/>
    <n v="46511955.602815993"/>
    <n v="7354.1599999999989"/>
    <m/>
  </r>
  <r>
    <x v="79"/>
    <d v="2024-12-05T00:00:00"/>
    <x v="6"/>
    <x v="1"/>
    <d v="2024-12-28T00:00:00"/>
    <x v="2"/>
    <x v="3"/>
    <x v="23"/>
    <x v="0"/>
    <x v="4"/>
    <x v="9"/>
    <x v="6"/>
    <x v="79"/>
    <n v="107.03"/>
    <n v="242.29"/>
    <n v="0.18"/>
    <n v="30"/>
    <s v="F. Müller"/>
    <s v="Vancouver"/>
    <s v="Direct"/>
    <n v="242.29"/>
    <x v="78"/>
    <s v="OK"/>
    <d v="2024-12-28T00:00:00"/>
    <x v="19"/>
    <n v="5960.3340000000007"/>
    <n v="7268.7"/>
    <n v="43323879.745800003"/>
    <n v="7268.7"/>
    <m/>
  </r>
  <r>
    <x v="80"/>
    <d v="2024-05-21T00:00:00"/>
    <x v="7"/>
    <x v="5"/>
    <d v="2024-05-27T00:00:00"/>
    <x v="0"/>
    <x v="11"/>
    <x v="18"/>
    <x v="2"/>
    <x v="1"/>
    <x v="11"/>
    <x v="0"/>
    <x v="80"/>
    <n v="1157.51"/>
    <n v="1394.3"/>
    <n v="0.27800000000000002"/>
    <n v="12"/>
    <s v="M. Rossi"/>
    <s v="Johannesburg"/>
    <s v="Online"/>
    <n v="1394.3"/>
    <x v="79"/>
    <s v="OK"/>
    <d v="2024-05-27T00:00:00"/>
    <x v="29"/>
    <n v="12080.215199999999"/>
    <n v="16731.599999999999"/>
    <n v="202121328.64031997"/>
    <n v="16731.599999999999"/>
    <m/>
  </r>
  <r>
    <x v="81"/>
    <d v="2023-05-11T00:00:00"/>
    <x v="13"/>
    <x v="7"/>
    <d v="2023-06-07T00:00:00"/>
    <x v="0"/>
    <x v="0"/>
    <x v="22"/>
    <x v="0"/>
    <x v="1"/>
    <x v="1"/>
    <x v="3"/>
    <x v="81"/>
    <n v="12.85"/>
    <n v="15.41"/>
    <n v="0.13700000000000001"/>
    <n v="39"/>
    <s v="J. Njeri"/>
    <s v="Mombasa"/>
    <s v="Online"/>
    <n v="15.41"/>
    <x v="80"/>
    <s v="OK"/>
    <d v="2023-06-07T00:00:00"/>
    <x v="26"/>
    <n v="518.65436999999997"/>
    <n v="600.99"/>
    <n v="311706.08982629998"/>
    <n v="600.99"/>
    <m/>
  </r>
  <r>
    <x v="82"/>
    <d v="2024-08-14T00:00:00"/>
    <x v="22"/>
    <x v="9"/>
    <d v="2024-09-04T00:00:00"/>
    <x v="3"/>
    <x v="8"/>
    <x v="29"/>
    <x v="2"/>
    <x v="1"/>
    <x v="1"/>
    <x v="3"/>
    <x v="82"/>
    <n v="1138.8"/>
    <n v="2250.81"/>
    <n v="0.123"/>
    <n v="12"/>
    <s v="J. Njeri"/>
    <s v="Manchester"/>
    <s v="Online"/>
    <n v="2250.81"/>
    <x v="81"/>
    <s v="OK"/>
    <d v="2024-09-04T00:00:00"/>
    <x v="25"/>
    <n v="23687.524440000001"/>
    <n v="27009.72"/>
    <n v="639793402.61755681"/>
    <n v="27009.719999999998"/>
    <m/>
  </r>
  <r>
    <x v="83"/>
    <d v="2024-06-02T00:00:00"/>
    <x v="15"/>
    <x v="5"/>
    <d v="2024-06-08T00:00:00"/>
    <x v="0"/>
    <x v="0"/>
    <x v="0"/>
    <x v="3"/>
    <x v="2"/>
    <x v="8"/>
    <x v="6"/>
    <x v="83"/>
    <n v="292.94"/>
    <n v="356.55"/>
    <n v="0.22900000000000001"/>
    <n v="2"/>
    <s v="A. Patel"/>
    <s v="Kisumu"/>
    <s v="Marketplace"/>
    <n v="356.55"/>
    <x v="82"/>
    <s v="OK"/>
    <d v="2024-06-08T00:00:00"/>
    <x v="29"/>
    <n v="549.80010000000004"/>
    <n v="713.1"/>
    <n v="392062.45131000003"/>
    <n v="713.1"/>
    <m/>
  </r>
  <r>
    <x v="84"/>
    <d v="2024-06-10T00:00:00"/>
    <x v="15"/>
    <x v="5"/>
    <d v="2024-06-11T00:00:00"/>
    <x v="3"/>
    <x v="8"/>
    <x v="12"/>
    <x v="4"/>
    <x v="2"/>
    <x v="11"/>
    <x v="4"/>
    <x v="84"/>
    <n v="1187.1300000000001"/>
    <n v="1795.17"/>
    <n v="1.2E-2"/>
    <n v="17"/>
    <s v="M. Rossi"/>
    <s v="Birmingham"/>
    <s v="Marketplace"/>
    <n v="1795.17"/>
    <x v="83"/>
    <s v="OK"/>
    <d v="2024-06-11T00:00:00"/>
    <x v="28"/>
    <n v="30151.675319999998"/>
    <n v="30517.89"/>
    <n v="920165510.73147476"/>
    <n v="30517.89"/>
    <m/>
  </r>
  <r>
    <x v="85"/>
    <d v="2024-06-29T00:00:00"/>
    <x v="15"/>
    <x v="5"/>
    <d v="2024-07-26T00:00:00"/>
    <x v="0"/>
    <x v="11"/>
    <x v="31"/>
    <x v="5"/>
    <x v="3"/>
    <x v="5"/>
    <x v="2"/>
    <x v="85"/>
    <n v="5.36"/>
    <n v="4.37"/>
    <n v="0.11799999999999999"/>
    <n v="9"/>
    <s v="B. Chen"/>
    <s v="Durban"/>
    <s v="Distributor"/>
    <n v="4.37"/>
    <x v="84"/>
    <s v="OK"/>
    <d v="2024-07-26T00:00:00"/>
    <x v="26"/>
    <n v="34.689059999999998"/>
    <n v="39.33"/>
    <n v="1364.3207297999998"/>
    <n v="39.33"/>
    <m/>
  </r>
  <r>
    <x v="86"/>
    <d v="2023-03-02T00:00:00"/>
    <x v="19"/>
    <x v="2"/>
    <d v="2023-03-05T00:00:00"/>
    <x v="2"/>
    <x v="5"/>
    <x v="10"/>
    <x v="5"/>
    <x v="4"/>
    <x v="3"/>
    <x v="5"/>
    <x v="86"/>
    <n v="1473.58"/>
    <n v="3436.52"/>
    <n v="0.108"/>
    <n v="8"/>
    <s v="G. Dubois"/>
    <s v="Brasília"/>
    <s v="Direct"/>
    <n v="3436.52"/>
    <x v="85"/>
    <s v="OK"/>
    <d v="2023-03-05T00:00:00"/>
    <x v="4"/>
    <n v="24523.006720000001"/>
    <n v="27492.16"/>
    <n v="674190424.42731524"/>
    <n v="27492.16"/>
    <m/>
  </r>
  <r>
    <x v="87"/>
    <d v="2025-06-03T00:00:00"/>
    <x v="14"/>
    <x v="6"/>
    <d v="2025-06-10T00:00:00"/>
    <x v="2"/>
    <x v="3"/>
    <x v="5"/>
    <x v="3"/>
    <x v="3"/>
    <x v="7"/>
    <x v="1"/>
    <x v="87"/>
    <n v="75.180000000000007"/>
    <n v="53.45"/>
    <n v="0.157"/>
    <n v="17"/>
    <s v="O. Wang"/>
    <s v="Toronto"/>
    <s v="Distributor"/>
    <n v="53.45"/>
    <x v="86"/>
    <s v="OK"/>
    <d v="2025-06-10T00:00:00"/>
    <x v="1"/>
    <n v="765.99195000000009"/>
    <n v="908.65000000000009"/>
    <n v="696018.5853675002"/>
    <n v="908.6500000000002"/>
    <m/>
  </r>
  <r>
    <x v="88"/>
    <d v="2023-06-09T00:00:00"/>
    <x v="21"/>
    <x v="7"/>
    <d v="2023-06-19T00:00:00"/>
    <x v="1"/>
    <x v="9"/>
    <x v="34"/>
    <x v="5"/>
    <x v="0"/>
    <x v="9"/>
    <x v="5"/>
    <x v="88"/>
    <n v="339.61"/>
    <n v="621.02"/>
    <n v="7.0999999999999994E-2"/>
    <n v="10"/>
    <s v="F. Müller"/>
    <s v="Beijing"/>
    <s v="Retail"/>
    <n v="621.02"/>
    <x v="87"/>
    <s v="OK"/>
    <d v="2023-06-19T00:00:00"/>
    <x v="30"/>
    <n v="5769.2758000000003"/>
    <n v="6210.2"/>
    <n v="35828356.57316"/>
    <n v="6210.2"/>
    <m/>
  </r>
  <r>
    <x v="89"/>
    <d v="2025-07-09T00:00:00"/>
    <x v="18"/>
    <x v="8"/>
    <d v="2025-07-18T00:00:00"/>
    <x v="2"/>
    <x v="3"/>
    <x v="23"/>
    <x v="1"/>
    <x v="3"/>
    <x v="2"/>
    <x v="4"/>
    <x v="89"/>
    <n v="57.96"/>
    <n v="88.51"/>
    <n v="4.2999999999999997E-2"/>
    <n v="7"/>
    <s v="I. Johnson"/>
    <s v="Vancouver"/>
    <s v="Distributor"/>
    <n v="88.51"/>
    <x v="88"/>
    <s v="OK"/>
    <d v="2025-07-18T00:00:00"/>
    <x v="23"/>
    <n v="592.92849000000001"/>
    <n v="619.57000000000005"/>
    <n v="367360.70454930002"/>
    <n v="619.57000000000005"/>
    <m/>
  </r>
  <r>
    <x v="90"/>
    <d v="2023-11-19T00:00:00"/>
    <x v="29"/>
    <x v="4"/>
    <d v="2023-12-13T00:00:00"/>
    <x v="3"/>
    <x v="7"/>
    <x v="15"/>
    <x v="2"/>
    <x v="4"/>
    <x v="12"/>
    <x v="5"/>
    <x v="90"/>
    <n v="1297.42"/>
    <n v="2742.97"/>
    <n v="6.9000000000000006E-2"/>
    <n v="9"/>
    <s v="H. Kim"/>
    <s v="Lyon"/>
    <s v="Direct"/>
    <n v="2742.97"/>
    <x v="89"/>
    <s v="OK"/>
    <d v="2023-12-13T00:00:00"/>
    <x v="27"/>
    <n v="22983.34563"/>
    <n v="24686.73"/>
    <n v="567383648.06448984"/>
    <n v="24686.729999999996"/>
    <m/>
  </r>
  <r>
    <x v="91"/>
    <d v="2023-12-29T00:00:00"/>
    <x v="4"/>
    <x v="4"/>
    <d v="2024-01-20T00:00:00"/>
    <x v="0"/>
    <x v="0"/>
    <x v="0"/>
    <x v="0"/>
    <x v="4"/>
    <x v="4"/>
    <x v="3"/>
    <x v="91"/>
    <n v="1395.49"/>
    <n v="1679.42"/>
    <n v="0.20300000000000001"/>
    <n v="12"/>
    <s v="L. Okafor"/>
    <s v="Kisumu"/>
    <s v="Direct"/>
    <n v="1679.42"/>
    <x v="90"/>
    <s v="OK"/>
    <d v="2024-01-20T00:00:00"/>
    <x v="20"/>
    <n v="16061.972879999999"/>
    <n v="20153.04"/>
    <n v="323697581.92955518"/>
    <n v="20153.04"/>
    <m/>
  </r>
  <r>
    <x v="92"/>
    <d v="2024-11-02T00:00:00"/>
    <x v="24"/>
    <x v="1"/>
    <d v="2024-11-29T00:00:00"/>
    <x v="2"/>
    <x v="5"/>
    <x v="10"/>
    <x v="4"/>
    <x v="4"/>
    <x v="2"/>
    <x v="2"/>
    <x v="92"/>
    <n v="1363.51"/>
    <n v="1433.9"/>
    <n v="5.7000000000000002E-2"/>
    <n v="8"/>
    <s v="I. Johnson"/>
    <s v="Brasília"/>
    <s v="Direct"/>
    <n v="1433.9"/>
    <x v="91"/>
    <s v="OK"/>
    <d v="2024-11-29T00:00:00"/>
    <x v="26"/>
    <n v="10817.3416"/>
    <n v="11471.2"/>
    <n v="124087888.96192001"/>
    <n v="11471.2"/>
    <m/>
  </r>
  <r>
    <x v="93"/>
    <d v="2024-06-07T00:00:00"/>
    <x v="15"/>
    <x v="5"/>
    <d v="2024-06-26T00:00:00"/>
    <x v="3"/>
    <x v="6"/>
    <x v="9"/>
    <x v="2"/>
    <x v="2"/>
    <x v="11"/>
    <x v="0"/>
    <x v="93"/>
    <n v="1064.32"/>
    <n v="1848.39"/>
    <n v="7.2999999999999995E-2"/>
    <n v="38"/>
    <s v="M. Rossi"/>
    <s v="Berlin"/>
    <s v="Marketplace"/>
    <n v="1848.39"/>
    <x v="92"/>
    <s v="OK"/>
    <d v="2024-06-26T00:00:00"/>
    <x v="6"/>
    <n v="65111.38614000001"/>
    <n v="70238.820000000007"/>
    <n v="4573346931.0379562"/>
    <n v="70238.820000000007"/>
    <m/>
  </r>
  <r>
    <x v="94"/>
    <d v="2025-08-05T00:00:00"/>
    <x v="28"/>
    <x v="8"/>
    <d v="2025-08-14T00:00:00"/>
    <x v="3"/>
    <x v="8"/>
    <x v="33"/>
    <x v="2"/>
    <x v="4"/>
    <x v="6"/>
    <x v="0"/>
    <x v="94"/>
    <n v="41.76"/>
    <n v="45.19"/>
    <n v="0.17899999999999999"/>
    <n v="23"/>
    <s v="E. Garcia"/>
    <s v="London"/>
    <s v="Direct"/>
    <n v="45.19"/>
    <x v="93"/>
    <s v="OK"/>
    <d v="2025-08-14T00:00:00"/>
    <x v="23"/>
    <n v="853.32276999999988"/>
    <n v="1039.3699999999999"/>
    <n v="886918.0874548998"/>
    <n v="1039.3699999999999"/>
    <m/>
  </r>
  <r>
    <x v="95"/>
    <d v="2023-01-22T00:00:00"/>
    <x v="5"/>
    <x v="2"/>
    <d v="2023-01-30T00:00:00"/>
    <x v="2"/>
    <x v="10"/>
    <x v="21"/>
    <x v="4"/>
    <x v="1"/>
    <x v="8"/>
    <x v="2"/>
    <x v="95"/>
    <n v="413.52"/>
    <n v="1004.34"/>
    <n v="0.111"/>
    <n v="18"/>
    <s v="A. Patel"/>
    <s v="San Francisco"/>
    <s v="Online"/>
    <n v="1004.34"/>
    <x v="94"/>
    <s v="OK"/>
    <d v="2023-01-30T00:00:00"/>
    <x v="10"/>
    <n v="16071.44868"/>
    <n v="18078.12"/>
    <n v="290541577.81088156"/>
    <n v="18078.12"/>
    <m/>
  </r>
  <r>
    <x v="96"/>
    <d v="2025-02-12T00:00:00"/>
    <x v="26"/>
    <x v="3"/>
    <d v="2025-02-28T00:00:00"/>
    <x v="2"/>
    <x v="5"/>
    <x v="8"/>
    <x v="2"/>
    <x v="4"/>
    <x v="5"/>
    <x v="5"/>
    <x v="96"/>
    <n v="414.95"/>
    <n v="1027.73"/>
    <n v="6.3E-2"/>
    <n v="8"/>
    <s v="B. Chen"/>
    <s v="São Paulo"/>
    <s v="Direct"/>
    <n v="1027.73"/>
    <x v="95"/>
    <s v="OK"/>
    <d v="2025-02-28T00:00:00"/>
    <x v="18"/>
    <n v="7703.8640800000003"/>
    <n v="8221.84"/>
    <n v="63339937.847507201"/>
    <n v="8221.84"/>
    <m/>
  </r>
  <r>
    <x v="97"/>
    <d v="2023-01-27T00:00:00"/>
    <x v="5"/>
    <x v="2"/>
    <d v="2023-01-31T00:00:00"/>
    <x v="3"/>
    <x v="8"/>
    <x v="29"/>
    <x v="5"/>
    <x v="1"/>
    <x v="13"/>
    <x v="4"/>
    <x v="97"/>
    <n v="941.2"/>
    <n v="668.02"/>
    <n v="0.22"/>
    <n v="16"/>
    <s v="N. Brown"/>
    <s v="Manchester"/>
    <s v="Online"/>
    <n v="668.02"/>
    <x v="96"/>
    <s v="OK"/>
    <d v="2023-01-31T00:00:00"/>
    <x v="3"/>
    <n v="8336.8896000000004"/>
    <n v="10688.32"/>
    <n v="89107343.849472001"/>
    <n v="10688.32"/>
    <m/>
  </r>
  <r>
    <x v="98"/>
    <d v="2024-12-21T00:00:00"/>
    <x v="6"/>
    <x v="1"/>
    <d v="2024-12-26T00:00:00"/>
    <x v="2"/>
    <x v="10"/>
    <x v="21"/>
    <x v="3"/>
    <x v="2"/>
    <x v="11"/>
    <x v="1"/>
    <x v="98"/>
    <n v="699.57"/>
    <n v="572.71"/>
    <n v="0.192"/>
    <n v="26"/>
    <s v="M. Rossi"/>
    <s v="San Francisco"/>
    <s v="Marketplace"/>
    <n v="572.71"/>
    <x v="97"/>
    <s v="OK"/>
    <d v="2024-12-26T00:00:00"/>
    <x v="13"/>
    <n v="12031.491680000001"/>
    <n v="14890.460000000001"/>
    <n v="179154445.60137284"/>
    <n v="14890.460000000003"/>
    <m/>
  </r>
  <r>
    <x v="99"/>
    <d v="2024-12-14T00:00:00"/>
    <x v="6"/>
    <x v="1"/>
    <d v="2025-01-12T00:00:00"/>
    <x v="1"/>
    <x v="9"/>
    <x v="13"/>
    <x v="1"/>
    <x v="1"/>
    <x v="1"/>
    <x v="0"/>
    <x v="99"/>
    <n v="1412.15"/>
    <n v="1631.04"/>
    <n v="8.9999999999999993E-3"/>
    <n v="6"/>
    <s v="J. Njeri"/>
    <s v="Shenzhen"/>
    <s v="Online"/>
    <n v="1631.04"/>
    <x v="98"/>
    <s v="OK"/>
    <d v="2025-01-12T00:00:00"/>
    <x v="9"/>
    <n v="9698.1638399999993"/>
    <n v="9786.24"/>
    <n v="94908558.897561595"/>
    <n v="9786.24"/>
    <m/>
  </r>
  <r>
    <x v="100"/>
    <d v="2023-03-31T00:00:00"/>
    <x v="19"/>
    <x v="2"/>
    <d v="2023-04-12T00:00:00"/>
    <x v="0"/>
    <x v="0"/>
    <x v="22"/>
    <x v="4"/>
    <x v="1"/>
    <x v="0"/>
    <x v="3"/>
    <x v="100"/>
    <n v="304.22000000000003"/>
    <n v="393.31"/>
    <n v="0.26500000000000001"/>
    <n v="15"/>
    <s v="C. Otieno"/>
    <s v="Mombasa"/>
    <s v="Online"/>
    <n v="393.31"/>
    <x v="99"/>
    <s v="OK"/>
    <d v="2023-04-12T00:00:00"/>
    <x v="7"/>
    <n v="4336.2427499999994"/>
    <n v="5899.65"/>
    <n v="25582314.540037494"/>
    <n v="5899.65"/>
    <m/>
  </r>
  <r>
    <x v="101"/>
    <d v="2024-02-14T00:00:00"/>
    <x v="30"/>
    <x v="0"/>
    <d v="2024-02-14T00:00:00"/>
    <x v="1"/>
    <x v="9"/>
    <x v="34"/>
    <x v="0"/>
    <x v="3"/>
    <x v="4"/>
    <x v="6"/>
    <x v="101"/>
    <n v="65.930000000000007"/>
    <n v="84.9"/>
    <n v="0.25900000000000001"/>
    <n v="23"/>
    <s v="L. Okafor"/>
    <s v="Beijing"/>
    <s v="Distributor"/>
    <n v="84.9"/>
    <x v="100"/>
    <s v="OK"/>
    <d v="2024-02-14T00:00:00"/>
    <x v="15"/>
    <n v="1446.9507000000001"/>
    <n v="1952.7"/>
    <n v="2825460.6318900003"/>
    <n v="1952.7"/>
    <m/>
  </r>
  <r>
    <x v="102"/>
    <d v="2023-07-26T00:00:00"/>
    <x v="23"/>
    <x v="10"/>
    <d v="2023-08-25T00:00:00"/>
    <x v="2"/>
    <x v="10"/>
    <x v="35"/>
    <x v="3"/>
    <x v="0"/>
    <x v="11"/>
    <x v="6"/>
    <x v="102"/>
    <n v="1261.48"/>
    <n v="1643.18"/>
    <n v="0.151"/>
    <n v="23"/>
    <s v="M. Rossi"/>
    <s v="New York"/>
    <s v="Retail"/>
    <n v="1643.18"/>
    <x v="101"/>
    <s v="OK"/>
    <d v="2023-08-25T00:00:00"/>
    <x v="16"/>
    <n v="32086.37586"/>
    <n v="37793.14"/>
    <n v="1212644894.9696004"/>
    <n v="37793.14"/>
    <m/>
  </r>
  <r>
    <x v="103"/>
    <d v="2024-06-15T00:00:00"/>
    <x v="15"/>
    <x v="5"/>
    <d v="2024-07-06T00:00:00"/>
    <x v="2"/>
    <x v="3"/>
    <x v="5"/>
    <x v="5"/>
    <x v="3"/>
    <x v="4"/>
    <x v="1"/>
    <x v="103"/>
    <n v="817.23"/>
    <n v="1467.17"/>
    <n v="0.245"/>
    <n v="9"/>
    <s v="L. Okafor"/>
    <s v="Toronto"/>
    <s v="Distributor"/>
    <n v="1467.17"/>
    <x v="102"/>
    <s v="OK"/>
    <d v="2024-07-06T00:00:00"/>
    <x v="25"/>
    <n v="9969.4201499999999"/>
    <n v="13204.53"/>
    <n v="131641507.45327951"/>
    <n v="13204.53"/>
    <m/>
  </r>
  <r>
    <x v="104"/>
    <d v="2023-07-05T00:00:00"/>
    <x v="23"/>
    <x v="10"/>
    <d v="2023-07-14T00:00:00"/>
    <x v="2"/>
    <x v="5"/>
    <x v="10"/>
    <x v="5"/>
    <x v="4"/>
    <x v="5"/>
    <x v="2"/>
    <x v="104"/>
    <n v="578.85"/>
    <n v="998.76"/>
    <n v="8.2000000000000003E-2"/>
    <n v="28"/>
    <s v="B. Chen"/>
    <s v="Brasília"/>
    <s v="Direct"/>
    <n v="998.76"/>
    <x v="103"/>
    <s v="OK"/>
    <d v="2023-07-14T00:00:00"/>
    <x v="23"/>
    <n v="25672.127039999999"/>
    <n v="27965.279999999999"/>
    <n v="717928220.86917114"/>
    <n v="27965.279999999999"/>
    <m/>
  </r>
  <r>
    <x v="105"/>
    <d v="2023-11-30T00:00:00"/>
    <x v="29"/>
    <x v="4"/>
    <d v="2023-11-29T00:00:00"/>
    <x v="0"/>
    <x v="11"/>
    <x v="31"/>
    <x v="4"/>
    <x v="2"/>
    <x v="6"/>
    <x v="4"/>
    <x v="105"/>
    <n v="275.56"/>
    <n v="630.72"/>
    <n v="0.107"/>
    <n v="23"/>
    <s v="E. Garcia"/>
    <s v="Durban"/>
    <s v="Marketplace"/>
    <n v="630.72"/>
    <x v="104"/>
    <s v="OK"/>
    <d v="2023-12-07T00:00:00"/>
    <x v="1"/>
    <n v="12954.358080000002"/>
    <n v="14506.560000000001"/>
    <n v="187923172.74900484"/>
    <n v="14506.560000000001"/>
    <m/>
  </r>
  <r>
    <x v="106"/>
    <d v="2024-09-23T00:00:00"/>
    <x v="31"/>
    <x v="9"/>
    <d v="2024-10-18T00:00:00"/>
    <x v="2"/>
    <x v="3"/>
    <x v="23"/>
    <x v="4"/>
    <x v="1"/>
    <x v="13"/>
    <x v="3"/>
    <x v="106"/>
    <n v="1297"/>
    <n v="2411.52"/>
    <n v="2.1000000000000001E-2"/>
    <n v="18"/>
    <s v="N. Brown"/>
    <s v="Vancouver"/>
    <s v="Online"/>
    <n v="2411.52"/>
    <x v="105"/>
    <s v="OK"/>
    <d v="2024-10-18T00:00:00"/>
    <x v="2"/>
    <n v="42495.805439999996"/>
    <n v="43407.360000000001"/>
    <n v="1844630725.2240384"/>
    <n v="43407.360000000001"/>
    <m/>
  </r>
  <r>
    <x v="107"/>
    <d v="2023-07-03T00:00:00"/>
    <x v="23"/>
    <x v="10"/>
    <d v="2023-07-23T00:00:00"/>
    <x v="0"/>
    <x v="11"/>
    <x v="18"/>
    <x v="4"/>
    <x v="3"/>
    <x v="9"/>
    <x v="4"/>
    <x v="107"/>
    <n v="1001.96"/>
    <n v="1254.95"/>
    <n v="4.4999999999999998E-2"/>
    <n v="18"/>
    <s v="F. Müller"/>
    <s v="Johannesburg"/>
    <s v="Distributor"/>
    <n v="1254.95"/>
    <x v="106"/>
    <s v="OK"/>
    <d v="2023-07-23T00:00:00"/>
    <x v="8"/>
    <n v="21572.590500000002"/>
    <n v="22589.100000000002"/>
    <n v="487305404.06355011"/>
    <n v="22589.100000000002"/>
    <m/>
  </r>
  <r>
    <x v="108"/>
    <d v="2024-02-01T00:00:00"/>
    <x v="30"/>
    <x v="0"/>
    <d v="2024-02-21T00:00:00"/>
    <x v="3"/>
    <x v="7"/>
    <x v="26"/>
    <x v="4"/>
    <x v="2"/>
    <x v="8"/>
    <x v="2"/>
    <x v="108"/>
    <n v="656.2"/>
    <n v="1467.17"/>
    <n v="1.7999999999999999E-2"/>
    <n v="5"/>
    <s v="A. Patel"/>
    <s v="Paris"/>
    <s v="Marketplace"/>
    <n v="1467.17"/>
    <x v="107"/>
    <s v="OK"/>
    <d v="2024-02-21T00:00:00"/>
    <x v="8"/>
    <n v="7203.8047000000006"/>
    <n v="7335.85"/>
    <n v="52846030.708495006"/>
    <n v="7335.85"/>
    <m/>
  </r>
  <r>
    <x v="109"/>
    <d v="2024-08-27T00:00:00"/>
    <x v="22"/>
    <x v="9"/>
    <d v="2024-09-18T00:00:00"/>
    <x v="1"/>
    <x v="4"/>
    <x v="16"/>
    <x v="3"/>
    <x v="4"/>
    <x v="5"/>
    <x v="0"/>
    <x v="109"/>
    <n v="896.75"/>
    <n v="1651.14"/>
    <n v="2.5000000000000001E-2"/>
    <n v="15"/>
    <s v="B. Chen"/>
    <s v="Delhi"/>
    <s v="Direct"/>
    <n v="1651.14"/>
    <x v="108"/>
    <s v="OK"/>
    <d v="2024-09-18T00:00:00"/>
    <x v="20"/>
    <n v="24147.922500000001"/>
    <n v="24767.100000000002"/>
    <n v="598074011.34975004"/>
    <n v="24767.100000000002"/>
    <m/>
  </r>
  <r>
    <x v="110"/>
    <d v="2025-02-15T00:00:00"/>
    <x v="26"/>
    <x v="3"/>
    <d v="2025-02-15T00:00:00"/>
    <x v="3"/>
    <x v="6"/>
    <x v="36"/>
    <x v="4"/>
    <x v="2"/>
    <x v="4"/>
    <x v="6"/>
    <x v="110"/>
    <n v="815.83"/>
    <n v="1982.18"/>
    <n v="0.127"/>
    <n v="6"/>
    <s v="L. Okafor"/>
    <s v="Frankfurt"/>
    <s v="Marketplace"/>
    <n v="1982.18"/>
    <x v="109"/>
    <s v="OK"/>
    <d v="2025-02-15T00:00:00"/>
    <x v="15"/>
    <n v="10382.65884"/>
    <n v="11893.08"/>
    <n v="123481792.1968272"/>
    <n v="11893.08"/>
    <m/>
  </r>
  <r>
    <x v="111"/>
    <d v="2025-08-01T00:00:00"/>
    <x v="28"/>
    <x v="8"/>
    <d v="2025-08-21T00:00:00"/>
    <x v="1"/>
    <x v="9"/>
    <x v="20"/>
    <x v="0"/>
    <x v="4"/>
    <x v="2"/>
    <x v="3"/>
    <x v="111"/>
    <n v="1220.4100000000001"/>
    <n v="2552.2199999999998"/>
    <n v="0.18099999999999999"/>
    <n v="14"/>
    <s v="I. Johnson"/>
    <s v="Shanghai"/>
    <s v="Direct"/>
    <n v="2552.2199999999998"/>
    <x v="110"/>
    <s v="OK"/>
    <d v="2025-08-21T00:00:00"/>
    <x v="8"/>
    <n v="29263.754519999995"/>
    <n v="35731.079999999994"/>
    <n v="1045625553.8544812"/>
    <n v="35731.079999999994"/>
    <m/>
  </r>
  <r>
    <x v="112"/>
    <d v="2024-04-03T00:00:00"/>
    <x v="20"/>
    <x v="5"/>
    <d v="2024-04-07T00:00:00"/>
    <x v="2"/>
    <x v="5"/>
    <x v="10"/>
    <x v="2"/>
    <x v="4"/>
    <x v="13"/>
    <x v="3"/>
    <x v="112"/>
    <n v="1023.27"/>
    <n v="1343.64"/>
    <n v="0.13300000000000001"/>
    <n v="7"/>
    <s v="N. Brown"/>
    <s v="Brasília"/>
    <s v="Direct"/>
    <n v="1343.64"/>
    <x v="111"/>
    <s v="OK"/>
    <d v="2024-04-07T00:00:00"/>
    <x v="3"/>
    <n v="8154.5511600000009"/>
    <n v="9405.4800000000014"/>
    <n v="76697467.84435682"/>
    <n v="9405.4800000000014"/>
    <m/>
  </r>
  <r>
    <x v="113"/>
    <d v="2024-06-04T00:00:00"/>
    <x v="15"/>
    <x v="5"/>
    <d v="2024-06-16T00:00:00"/>
    <x v="1"/>
    <x v="9"/>
    <x v="20"/>
    <x v="0"/>
    <x v="0"/>
    <x v="1"/>
    <x v="1"/>
    <x v="113"/>
    <n v="918.42"/>
    <n v="1511.71"/>
    <n v="0.02"/>
    <n v="8"/>
    <s v="J. Njeri"/>
    <s v="Shanghai"/>
    <s v="Retail"/>
    <n v="1511.71"/>
    <x v="112"/>
    <s v="OK"/>
    <d v="2024-06-16T00:00:00"/>
    <x v="7"/>
    <n v="11851.806399999999"/>
    <n v="12093.68"/>
    <n v="143331954.023552"/>
    <n v="12093.68"/>
    <m/>
  </r>
  <r>
    <x v="114"/>
    <d v="2023-02-19T00:00:00"/>
    <x v="2"/>
    <x v="2"/>
    <d v="2023-03-12T00:00:00"/>
    <x v="3"/>
    <x v="6"/>
    <x v="9"/>
    <x v="4"/>
    <x v="4"/>
    <x v="4"/>
    <x v="5"/>
    <x v="114"/>
    <n v="1234.81"/>
    <n v="2055.2399999999998"/>
    <n v="5.2999999999999999E-2"/>
    <n v="44"/>
    <s v="L. Okafor"/>
    <s v="Berlin"/>
    <s v="Direct"/>
    <n v="2055.2399999999998"/>
    <x v="113"/>
    <s v="OK"/>
    <d v="2023-03-12T00:00:00"/>
    <x v="25"/>
    <n v="85637.740319999997"/>
    <n v="90430.56"/>
    <n v="7744268814.2721786"/>
    <n v="90430.56"/>
    <m/>
  </r>
  <r>
    <x v="115"/>
    <d v="2023-04-18T00:00:00"/>
    <x v="11"/>
    <x v="7"/>
    <d v="2023-05-18T00:00:00"/>
    <x v="1"/>
    <x v="9"/>
    <x v="13"/>
    <x v="2"/>
    <x v="0"/>
    <x v="12"/>
    <x v="4"/>
    <x v="115"/>
    <n v="329.03"/>
    <n v="391.15"/>
    <n v="0.19700000000000001"/>
    <n v="46"/>
    <s v="H. Kim"/>
    <s v="Shenzhen"/>
    <s v="Retail"/>
    <n v="391.15"/>
    <x v="114"/>
    <s v="OK"/>
    <d v="2023-05-18T00:00:00"/>
    <x v="16"/>
    <n v="14448.298699999998"/>
    <n v="17992.899999999998"/>
    <n v="259966793.67922992"/>
    <n v="17992.899999999998"/>
    <m/>
  </r>
  <r>
    <x v="116"/>
    <d v="2024-05-23T00:00:00"/>
    <x v="7"/>
    <x v="5"/>
    <d v="2024-06-14T00:00:00"/>
    <x v="3"/>
    <x v="7"/>
    <x v="11"/>
    <x v="4"/>
    <x v="1"/>
    <x v="13"/>
    <x v="5"/>
    <x v="116"/>
    <n v="1481.74"/>
    <n v="1848.97"/>
    <n v="0.254"/>
    <n v="9"/>
    <s v="N. Brown"/>
    <s v="Marseille"/>
    <s v="Online"/>
    <n v="1848.97"/>
    <x v="115"/>
    <s v="OK"/>
    <d v="2024-06-14T00:00:00"/>
    <x v="20"/>
    <n v="12413.98458"/>
    <n v="16640.73"/>
    <n v="206577765.61994341"/>
    <n v="16640.73"/>
    <m/>
  </r>
  <r>
    <x v="117"/>
    <d v="2025-05-21T00:00:00"/>
    <x v="8"/>
    <x v="6"/>
    <d v="2025-05-19T00:00:00"/>
    <x v="0"/>
    <x v="11"/>
    <x v="18"/>
    <x v="2"/>
    <x v="3"/>
    <x v="7"/>
    <x v="4"/>
    <x v="117"/>
    <n v="1263.8399999999999"/>
    <n v="2281.7199999999998"/>
    <n v="7.8E-2"/>
    <n v="15"/>
    <s v="O. Wang"/>
    <s v="Johannesburg"/>
    <s v="Distributor"/>
    <n v="2281.7199999999998"/>
    <x v="116"/>
    <s v="OK"/>
    <d v="2025-05-28T00:00:00"/>
    <x v="1"/>
    <n v="31556.187599999997"/>
    <n v="34225.799999999996"/>
    <n v="1080035765.5600798"/>
    <n v="34225.799999999996"/>
    <m/>
  </r>
  <r>
    <x v="118"/>
    <d v="2024-05-23T00:00:00"/>
    <x v="7"/>
    <x v="5"/>
    <d v="2024-06-03T00:00:00"/>
    <x v="0"/>
    <x v="11"/>
    <x v="18"/>
    <x v="4"/>
    <x v="3"/>
    <x v="9"/>
    <x v="1"/>
    <x v="118"/>
    <n v="180.89"/>
    <n v="249.57"/>
    <n v="2.1999999999999999E-2"/>
    <n v="8"/>
    <s v="F. Müller"/>
    <s v="Johannesburg"/>
    <s v="Distributor"/>
    <n v="249.57"/>
    <x v="117"/>
    <s v="OK"/>
    <d v="2024-06-03T00:00:00"/>
    <x v="21"/>
    <n v="1952.6356799999999"/>
    <n v="1996.56"/>
    <n v="3898554.2932607997"/>
    <n v="1996.56"/>
    <m/>
  </r>
  <r>
    <x v="119"/>
    <d v="2023-08-27T00:00:00"/>
    <x v="25"/>
    <x v="10"/>
    <d v="2023-09-11T00:00:00"/>
    <x v="3"/>
    <x v="8"/>
    <x v="33"/>
    <x v="3"/>
    <x v="2"/>
    <x v="13"/>
    <x v="1"/>
    <x v="119"/>
    <n v="943.79"/>
    <n v="1913.76"/>
    <n v="9.0999999999999998E-2"/>
    <n v="9"/>
    <s v="N. Brown"/>
    <s v="London"/>
    <s v="Marketplace"/>
    <n v="1913.76"/>
    <x v="118"/>
    <s v="OK"/>
    <d v="2023-09-11T00:00:00"/>
    <x v="12"/>
    <n v="15656.47056"/>
    <n v="17223.84"/>
    <n v="269664543.89015037"/>
    <n v="17223.839999999997"/>
    <m/>
  </r>
  <r>
    <x v="120"/>
    <d v="2024-02-03T00:00:00"/>
    <x v="30"/>
    <x v="0"/>
    <d v="2024-02-21T00:00:00"/>
    <x v="3"/>
    <x v="6"/>
    <x v="36"/>
    <x v="0"/>
    <x v="0"/>
    <x v="12"/>
    <x v="0"/>
    <x v="120"/>
    <n v="39.229999999999997"/>
    <n v="30.09"/>
    <n v="0.17699999999999999"/>
    <n v="13"/>
    <s v="H. Kim"/>
    <s v="Frankfurt"/>
    <s v="Retail"/>
    <n v="30.09"/>
    <x v="119"/>
    <s v="OK"/>
    <d v="2024-02-21T00:00:00"/>
    <x v="5"/>
    <n v="321.93290999999999"/>
    <n v="391.17"/>
    <n v="125930.4964047"/>
    <n v="391.17"/>
    <m/>
  </r>
  <r>
    <x v="121"/>
    <d v="2023-04-05T00:00:00"/>
    <x v="11"/>
    <x v="7"/>
    <d v="2023-04-16T00:00:00"/>
    <x v="2"/>
    <x v="3"/>
    <x v="23"/>
    <x v="2"/>
    <x v="1"/>
    <x v="7"/>
    <x v="5"/>
    <x v="121"/>
    <n v="213.1"/>
    <n v="501.31"/>
    <n v="5.6000000000000001E-2"/>
    <n v="15"/>
    <s v="O. Wang"/>
    <s v="Vancouver"/>
    <s v="Online"/>
    <n v="501.31"/>
    <x v="120"/>
    <s v="OK"/>
    <d v="2023-04-16T00:00:00"/>
    <x v="21"/>
    <n v="7098.5495999999994"/>
    <n v="7519.65"/>
    <n v="53378608.499639995"/>
    <n v="7519.65"/>
    <m/>
  </r>
  <r>
    <x v="122"/>
    <d v="2025-08-21T00:00:00"/>
    <x v="28"/>
    <x v="8"/>
    <d v="2025-09-12T00:00:00"/>
    <x v="1"/>
    <x v="9"/>
    <x v="13"/>
    <x v="1"/>
    <x v="0"/>
    <x v="5"/>
    <x v="1"/>
    <x v="122"/>
    <n v="352.66"/>
    <n v="411.18"/>
    <n v="0.17299999999999999"/>
    <n v="13"/>
    <s v="B. Chen"/>
    <s v="Shenzhen"/>
    <s v="Retail"/>
    <n v="411.18"/>
    <x v="121"/>
    <s v="OK"/>
    <d v="2025-09-12T00:00:00"/>
    <x v="20"/>
    <n v="4420.5961799999995"/>
    <n v="5345.34"/>
    <n v="23629589.584801197"/>
    <n v="5345.34"/>
    <m/>
  </r>
  <r>
    <x v="123"/>
    <d v="2025-09-15T00:00:00"/>
    <x v="12"/>
    <x v="8"/>
    <d v="2025-09-18T00:00:00"/>
    <x v="2"/>
    <x v="5"/>
    <x v="28"/>
    <x v="2"/>
    <x v="4"/>
    <x v="4"/>
    <x v="6"/>
    <x v="123"/>
    <n v="5.5"/>
    <n v="5.92"/>
    <n v="0.21199999999999999"/>
    <n v="4"/>
    <s v="L. Okafor"/>
    <s v="Rio de Janeiro"/>
    <s v="Direct"/>
    <n v="5.92"/>
    <x v="122"/>
    <s v="OK"/>
    <d v="2025-09-18T00:00:00"/>
    <x v="4"/>
    <n v="18.659839999999999"/>
    <n v="23.68"/>
    <n v="441.86501119999997"/>
    <n v="23.68"/>
    <m/>
  </r>
  <r>
    <x v="124"/>
    <d v="2025-02-02T00:00:00"/>
    <x v="26"/>
    <x v="3"/>
    <d v="2025-03-04T00:00:00"/>
    <x v="1"/>
    <x v="2"/>
    <x v="4"/>
    <x v="1"/>
    <x v="3"/>
    <x v="4"/>
    <x v="6"/>
    <x v="124"/>
    <n v="766.59"/>
    <n v="1912.8"/>
    <n v="0.19600000000000001"/>
    <n v="5"/>
    <s v="L. Okafor"/>
    <s v="Osaka"/>
    <s v="Distributor"/>
    <n v="1912.8"/>
    <x v="123"/>
    <s v="OK"/>
    <d v="2025-03-04T00:00:00"/>
    <x v="16"/>
    <n v="7689.4560000000001"/>
    <n v="9564"/>
    <n v="73541957.184"/>
    <n v="9564"/>
    <m/>
  </r>
  <r>
    <x v="125"/>
    <d v="2024-10-22T00:00:00"/>
    <x v="1"/>
    <x v="1"/>
    <d v="2024-10-29T00:00:00"/>
    <x v="0"/>
    <x v="1"/>
    <x v="1"/>
    <x v="5"/>
    <x v="3"/>
    <x v="11"/>
    <x v="5"/>
    <x v="125"/>
    <n v="1023.06"/>
    <n v="1355.61"/>
    <n v="0.153"/>
    <n v="23"/>
    <s v="M. Rossi"/>
    <s v="Port Harcourt"/>
    <s v="Distributor"/>
    <n v="1355.61"/>
    <x v="124"/>
    <s v="OK"/>
    <d v="2024-10-29T00:00:00"/>
    <x v="1"/>
    <n v="26408.63841"/>
    <n v="31179.03"/>
    <n v="823395729.24454224"/>
    <n v="31179.03"/>
    <m/>
  </r>
  <r>
    <x v="126"/>
    <d v="2025-01-13T00:00:00"/>
    <x v="10"/>
    <x v="3"/>
    <d v="2025-02-08T00:00:00"/>
    <x v="3"/>
    <x v="7"/>
    <x v="26"/>
    <x v="2"/>
    <x v="5"/>
    <x v="6"/>
    <x v="5"/>
    <x v="126"/>
    <n v="594.74"/>
    <n v="1020.69"/>
    <n v="0.21099999999999999"/>
    <n v="6"/>
    <s v="E. Garcia"/>
    <s v="Paris"/>
    <s v="Unknown"/>
    <n v="1020.69"/>
    <x v="125"/>
    <s v="OK"/>
    <d v="2025-02-08T00:00:00"/>
    <x v="0"/>
    <n v="4831.9464600000001"/>
    <n v="6124.14"/>
    <n v="29591516.593544401"/>
    <n v="6124.14"/>
    <m/>
  </r>
  <r>
    <x v="95"/>
    <d v="2023-01-29T00:00:00"/>
    <x v="5"/>
    <x v="2"/>
    <d v="2023-02-28T00:00:00"/>
    <x v="1"/>
    <x v="4"/>
    <x v="6"/>
    <x v="2"/>
    <x v="0"/>
    <x v="5"/>
    <x v="6"/>
    <x v="127"/>
    <n v="1262.0999999999999"/>
    <n v="1395.53"/>
    <n v="0.23300000000000001"/>
    <n v="25"/>
    <s v="B. Chen"/>
    <s v="Bengaluru"/>
    <s v="Retail"/>
    <n v="1395.53"/>
    <x v="126"/>
    <s v="OK"/>
    <d v="2023-02-28T00:00:00"/>
    <x v="16"/>
    <n v="26759.28775"/>
    <n v="34888.25"/>
    <n v="933584720.84393752"/>
    <n v="34888.25"/>
    <m/>
  </r>
  <r>
    <x v="127"/>
    <d v="2024-08-12T00:00:00"/>
    <x v="22"/>
    <x v="9"/>
    <d v="2024-09-03T00:00:00"/>
    <x v="2"/>
    <x v="10"/>
    <x v="37"/>
    <x v="3"/>
    <x v="3"/>
    <x v="2"/>
    <x v="4"/>
    <x v="128"/>
    <n v="797.8"/>
    <n v="886.22"/>
    <n v="0.23599999999999999"/>
    <n v="36"/>
    <s v="I. Johnson"/>
    <s v="Austin"/>
    <s v="Distributor"/>
    <n v="886.22"/>
    <x v="127"/>
    <s v="OK"/>
    <d v="2024-09-03T00:00:00"/>
    <x v="20"/>
    <n v="24374.594880000001"/>
    <n v="31903.920000000002"/>
    <n v="777645125.08392966"/>
    <n v="31903.920000000002"/>
    <m/>
  </r>
  <r>
    <x v="128"/>
    <d v="2024-09-22T00:00:00"/>
    <x v="31"/>
    <x v="9"/>
    <d v="2024-10-01T00:00:00"/>
    <x v="2"/>
    <x v="5"/>
    <x v="8"/>
    <x v="2"/>
    <x v="1"/>
    <x v="10"/>
    <x v="5"/>
    <x v="129"/>
    <n v="1378.8"/>
    <n v="1952.04"/>
    <n v="0.159"/>
    <n v="19"/>
    <s v="K. Singh"/>
    <s v="São Paulo"/>
    <s v="Online"/>
    <n v="1952.04"/>
    <x v="128"/>
    <s v="OK"/>
    <d v="2024-10-01T00:00:00"/>
    <x v="23"/>
    <n v="31191.64716"/>
    <n v="37088.76"/>
    <n v="1156859515.5219216"/>
    <n v="37088.76"/>
    <m/>
  </r>
  <r>
    <x v="129"/>
    <d v="2024-02-11T00:00:00"/>
    <x v="30"/>
    <x v="0"/>
    <d v="2024-03-03T00:00:00"/>
    <x v="0"/>
    <x v="0"/>
    <x v="0"/>
    <x v="5"/>
    <x v="1"/>
    <x v="5"/>
    <x v="3"/>
    <x v="130"/>
    <n v="516.86"/>
    <n v="852.54"/>
    <n v="5.0999999999999997E-2"/>
    <n v="14"/>
    <s v="B. Chen"/>
    <s v="Kisumu"/>
    <s v="Online"/>
    <n v="852.54"/>
    <x v="129"/>
    <s v="OK"/>
    <d v="2024-03-03T00:00:00"/>
    <x v="25"/>
    <n v="11326.846439999999"/>
    <n v="11935.56"/>
    <n v="135192255.2954064"/>
    <n v="11935.560000000001"/>
    <m/>
  </r>
  <r>
    <x v="130"/>
    <d v="2023-04-14T00:00:00"/>
    <x v="11"/>
    <x v="7"/>
    <d v="2023-05-13T00:00:00"/>
    <x v="3"/>
    <x v="6"/>
    <x v="36"/>
    <x v="3"/>
    <x v="4"/>
    <x v="1"/>
    <x v="1"/>
    <x v="131"/>
    <n v="1320.33"/>
    <n v="2645.23"/>
    <n v="0.155"/>
    <n v="25"/>
    <s v="J. Njeri"/>
    <s v="Frankfurt"/>
    <s v="Direct"/>
    <n v="2645.23"/>
    <x v="130"/>
    <s v="OK"/>
    <d v="2023-05-13T00:00:00"/>
    <x v="9"/>
    <n v="55880.483749999999"/>
    <n v="66130.75"/>
    <n v="3695418300.7503123"/>
    <n v="66130.75"/>
    <m/>
  </r>
  <r>
    <x v="131"/>
    <d v="2024-01-12T00:00:00"/>
    <x v="9"/>
    <x v="0"/>
    <d v="2024-01-29T00:00:00"/>
    <x v="2"/>
    <x v="10"/>
    <x v="14"/>
    <x v="1"/>
    <x v="3"/>
    <x v="8"/>
    <x v="1"/>
    <x v="132"/>
    <n v="493.76"/>
    <n v="625.04"/>
    <n v="0.25800000000000001"/>
    <n v="10"/>
    <s v="A. Patel"/>
    <s v="Chicago"/>
    <s v="Distributor"/>
    <n v="625.04"/>
    <x v="131"/>
    <s v="OK"/>
    <d v="2024-01-29T00:00:00"/>
    <x v="11"/>
    <n v="4637.7968000000001"/>
    <n v="6250.4"/>
    <n v="28988085.118719999"/>
    <n v="6250.4"/>
    <m/>
  </r>
  <r>
    <x v="132"/>
    <d v="2025-02-04T00:00:00"/>
    <x v="26"/>
    <x v="3"/>
    <d v="2025-02-25T00:00:00"/>
    <x v="3"/>
    <x v="8"/>
    <x v="12"/>
    <x v="0"/>
    <x v="2"/>
    <x v="14"/>
    <x v="5"/>
    <x v="133"/>
    <n v="1016.32"/>
    <n v="2253.42"/>
    <n v="5.5E-2"/>
    <n v="12"/>
    <s v="D. Smith"/>
    <s v="Birmingham"/>
    <s v="Marketplace"/>
    <n v="2253.42"/>
    <x v="132"/>
    <s v="OK"/>
    <d v="2025-02-25T00:00:00"/>
    <x v="25"/>
    <n v="25553.782800000001"/>
    <n v="27041.040000000001"/>
    <n v="691000862.84611201"/>
    <n v="27041.040000000001"/>
    <m/>
  </r>
  <r>
    <x v="133"/>
    <d v="2023-04-19T00:00:00"/>
    <x v="11"/>
    <x v="7"/>
    <d v="2023-04-28T00:00:00"/>
    <x v="3"/>
    <x v="6"/>
    <x v="9"/>
    <x v="1"/>
    <x v="1"/>
    <x v="6"/>
    <x v="5"/>
    <x v="134"/>
    <n v="1178.42"/>
    <n v="2446.56"/>
    <n v="2.9000000000000001E-2"/>
    <n v="11"/>
    <s v="E. Garcia"/>
    <s v="Berlin"/>
    <s v="Online"/>
    <n v="2446.56"/>
    <x v="133"/>
    <s v="OK"/>
    <d v="2023-04-28T00:00:00"/>
    <x v="23"/>
    <n v="26131.70736"/>
    <n v="26912.16"/>
    <n v="703260689.54549766"/>
    <n v="26912.160000000003"/>
    <m/>
  </r>
  <r>
    <x v="134"/>
    <d v="2025-01-21T00:00:00"/>
    <x v="10"/>
    <x v="3"/>
    <d v="2025-02-14T00:00:00"/>
    <x v="0"/>
    <x v="0"/>
    <x v="2"/>
    <x v="4"/>
    <x v="0"/>
    <x v="1"/>
    <x v="6"/>
    <x v="135"/>
    <n v="1030.44"/>
    <n v="2562.84"/>
    <n v="0.14799999999999999"/>
    <n v="13"/>
    <s v="J. Njeri"/>
    <s v="Nairobi"/>
    <s v="Retail"/>
    <n v="2562.84"/>
    <x v="134"/>
    <s v="OK"/>
    <d v="2025-02-14T00:00:00"/>
    <x v="27"/>
    <n v="28386.015839999996"/>
    <n v="33316.92"/>
    <n v="945734618.86001265"/>
    <n v="33316.92"/>
    <m/>
  </r>
  <r>
    <x v="135"/>
    <d v="2024-10-02T00:00:00"/>
    <x v="1"/>
    <x v="1"/>
    <d v="2024-10-23T00:00:00"/>
    <x v="0"/>
    <x v="11"/>
    <x v="31"/>
    <x v="0"/>
    <x v="2"/>
    <x v="8"/>
    <x v="0"/>
    <x v="136"/>
    <n v="1095.6099999999999"/>
    <n v="2366.5100000000002"/>
    <n v="0.152"/>
    <n v="9"/>
    <s v="A. Patel"/>
    <s v="Durban"/>
    <s v="Marketplace"/>
    <n v="2366.5100000000002"/>
    <x v="135"/>
    <s v="OK"/>
    <d v="2024-10-23T00:00:00"/>
    <x v="25"/>
    <n v="18061.204320000004"/>
    <n v="21298.590000000004"/>
    <n v="384678185.71790898"/>
    <n v="21298.590000000004"/>
    <m/>
  </r>
  <r>
    <x v="136"/>
    <d v="2024-09-09T00:00:00"/>
    <x v="31"/>
    <x v="9"/>
    <d v="2024-10-01T00:00:00"/>
    <x v="1"/>
    <x v="9"/>
    <x v="13"/>
    <x v="3"/>
    <x v="4"/>
    <x v="4"/>
    <x v="1"/>
    <x v="137"/>
    <n v="1166.18"/>
    <n v="1335.02"/>
    <n v="0.128"/>
    <n v="6"/>
    <s v="L. Okafor"/>
    <s v="Shenzhen"/>
    <s v="Direct"/>
    <n v="1335.02"/>
    <x v="136"/>
    <s v="OK"/>
    <d v="2024-10-01T00:00:00"/>
    <x v="20"/>
    <n v="6984.8246399999998"/>
    <n v="8010.12"/>
    <n v="55949283.545356795"/>
    <n v="8010.12"/>
    <m/>
  </r>
  <r>
    <x v="137"/>
    <d v="2024-02-29T00:00:00"/>
    <x v="30"/>
    <x v="0"/>
    <d v="2024-03-30T00:00:00"/>
    <x v="1"/>
    <x v="2"/>
    <x v="30"/>
    <x v="4"/>
    <x v="4"/>
    <x v="2"/>
    <x v="2"/>
    <x v="138"/>
    <n v="231.11"/>
    <n v="318.17"/>
    <n v="0.20100000000000001"/>
    <n v="60"/>
    <s v="I. Johnson"/>
    <s v="Nagoya"/>
    <s v="Direct"/>
    <n v="318.17"/>
    <x v="137"/>
    <s v="OK"/>
    <d v="2024-03-30T00:00:00"/>
    <x v="16"/>
    <n v="15253.069799999999"/>
    <n v="19090.2"/>
    <n v="291184153.09596002"/>
    <n v="19090.2"/>
    <m/>
  </r>
  <r>
    <x v="138"/>
    <d v="2023-12-20T00:00:00"/>
    <x v="4"/>
    <x v="4"/>
    <d v="2024-01-14T00:00:00"/>
    <x v="1"/>
    <x v="4"/>
    <x v="27"/>
    <x v="2"/>
    <x v="2"/>
    <x v="4"/>
    <x v="5"/>
    <x v="139"/>
    <n v="1085.6099999999999"/>
    <n v="1246.4100000000001"/>
    <n v="0.113"/>
    <n v="7"/>
    <s v="L. Okafor"/>
    <s v="Mumbai"/>
    <s v="Marketplace"/>
    <n v="1246.4100000000001"/>
    <x v="138"/>
    <s v="OK"/>
    <d v="2024-01-14T00:00:00"/>
    <x v="2"/>
    <n v="7738.9596900000006"/>
    <n v="8724.8700000000008"/>
    <n v="67521417.230490312"/>
    <n v="8724.8700000000008"/>
    <m/>
  </r>
  <r>
    <x v="139"/>
    <d v="2024-10-11T00:00:00"/>
    <x v="1"/>
    <x v="1"/>
    <d v="2024-11-09T00:00:00"/>
    <x v="1"/>
    <x v="9"/>
    <x v="20"/>
    <x v="2"/>
    <x v="1"/>
    <x v="9"/>
    <x v="1"/>
    <x v="140"/>
    <n v="391.64"/>
    <n v="504.76"/>
    <n v="4.0000000000000001E-3"/>
    <n v="13"/>
    <s v="F. Müller"/>
    <s v="Shanghai"/>
    <s v="Online"/>
    <n v="504.76"/>
    <x v="139"/>
    <s v="OK"/>
    <d v="2024-11-09T00:00:00"/>
    <x v="9"/>
    <n v="6535.6324800000002"/>
    <n v="6561.88"/>
    <n v="42886036.057862401"/>
    <n v="6561.88"/>
    <m/>
  </r>
  <r>
    <x v="140"/>
    <d v="2024-09-19T00:00:00"/>
    <x v="31"/>
    <x v="9"/>
    <d v="2024-10-14T00:00:00"/>
    <x v="2"/>
    <x v="5"/>
    <x v="28"/>
    <x v="4"/>
    <x v="0"/>
    <x v="10"/>
    <x v="1"/>
    <x v="141"/>
    <n v="386.96"/>
    <n v="937.46"/>
    <n v="0.26600000000000001"/>
    <n v="41"/>
    <s v="K. Singh"/>
    <s v="Rio de Janeiro"/>
    <s v="Retail"/>
    <n v="937.46"/>
    <x v="140"/>
    <s v="OK"/>
    <d v="2024-10-14T00:00:00"/>
    <x v="2"/>
    <n v="28211.92124"/>
    <n v="38435.86"/>
    <n v="1084349455.1116664"/>
    <n v="38435.86"/>
    <m/>
  </r>
  <r>
    <x v="141"/>
    <d v="2023-08-26T00:00:00"/>
    <x v="25"/>
    <x v="10"/>
    <d v="2023-09-10T00:00:00"/>
    <x v="0"/>
    <x v="11"/>
    <x v="32"/>
    <x v="2"/>
    <x v="4"/>
    <x v="13"/>
    <x v="0"/>
    <x v="142"/>
    <n v="241.14"/>
    <n v="496.52"/>
    <n v="9.2999999999999999E-2"/>
    <n v="10"/>
    <s v="N. Brown"/>
    <s v="Cape Town"/>
    <s v="Direct"/>
    <n v="496.52"/>
    <x v="141"/>
    <s v="OK"/>
    <d v="2023-09-10T00:00:00"/>
    <x v="12"/>
    <n v="4503.4363999999996"/>
    <n v="4965.2"/>
    <n v="22360462.413279995"/>
    <n v="4965.2"/>
    <m/>
  </r>
  <r>
    <x v="142"/>
    <d v="2023-10-04T00:00:00"/>
    <x v="32"/>
    <x v="4"/>
    <d v="2023-10-29T00:00:00"/>
    <x v="2"/>
    <x v="10"/>
    <x v="21"/>
    <x v="4"/>
    <x v="3"/>
    <x v="7"/>
    <x v="6"/>
    <x v="143"/>
    <n v="1239.8399999999999"/>
    <n v="1482.75"/>
    <n v="6.7000000000000004E-2"/>
    <n v="4"/>
    <s v="O. Wang"/>
    <s v="San Francisco"/>
    <s v="Distributor"/>
    <n v="1482.75"/>
    <x v="142"/>
    <s v="OK"/>
    <d v="2023-10-29T00:00:00"/>
    <x v="2"/>
    <n v="5533.6230000000005"/>
    <n v="5931"/>
    <n v="32819918.013000004"/>
    <n v="5931"/>
    <m/>
  </r>
  <r>
    <x v="143"/>
    <d v="2024-09-03T00:00:00"/>
    <x v="31"/>
    <x v="9"/>
    <d v="2024-09-08T00:00:00"/>
    <x v="0"/>
    <x v="1"/>
    <x v="3"/>
    <x v="4"/>
    <x v="4"/>
    <x v="10"/>
    <x v="1"/>
    <x v="144"/>
    <n v="197.63"/>
    <n v="325.79000000000002"/>
    <n v="0.11600000000000001"/>
    <n v="10"/>
    <s v="K. Singh"/>
    <s v="Lagos"/>
    <s v="Direct"/>
    <n v="325.79000000000002"/>
    <x v="143"/>
    <s v="OK"/>
    <d v="2024-09-08T00:00:00"/>
    <x v="13"/>
    <n v="2879.9836"/>
    <n v="3257.9"/>
    <n v="9382698.5704399999"/>
    <n v="3257.9"/>
    <m/>
  </r>
  <r>
    <x v="144"/>
    <d v="2025-07-17T00:00:00"/>
    <x v="18"/>
    <x v="8"/>
    <d v="2025-07-23T00:00:00"/>
    <x v="2"/>
    <x v="3"/>
    <x v="23"/>
    <x v="3"/>
    <x v="1"/>
    <x v="12"/>
    <x v="0"/>
    <x v="145"/>
    <n v="1364.89"/>
    <n v="2757.54"/>
    <n v="0.17199999999999999"/>
    <n v="61"/>
    <s v="H. Kim"/>
    <s v="Vancouver"/>
    <s v="Online"/>
    <n v="2757.54"/>
    <x v="144"/>
    <s v="OK"/>
    <d v="2025-07-23T00:00:00"/>
    <x v="29"/>
    <n v="139277.83032000001"/>
    <n v="168209.94"/>
    <n v="23427915481.457382"/>
    <n v="168209.94"/>
    <m/>
  </r>
  <r>
    <x v="145"/>
    <d v="2023-11-28T00:00:00"/>
    <x v="29"/>
    <x v="4"/>
    <d v="2023-12-07T00:00:00"/>
    <x v="1"/>
    <x v="4"/>
    <x v="16"/>
    <x v="5"/>
    <x v="2"/>
    <x v="4"/>
    <x v="3"/>
    <x v="146"/>
    <n v="699.33"/>
    <n v="873.75"/>
    <n v="0.23499999999999999"/>
    <n v="10"/>
    <s v="L. Okafor"/>
    <s v="Delhi"/>
    <s v="Marketplace"/>
    <n v="873.75"/>
    <x v="145"/>
    <s v="OK"/>
    <d v="2023-12-07T00:00:00"/>
    <x v="23"/>
    <n v="6684.1875"/>
    <n v="8737.5"/>
    <n v="58403088.28125"/>
    <n v="8737.5"/>
    <m/>
  </r>
  <r>
    <x v="146"/>
    <d v="2023-09-19T00:00:00"/>
    <x v="27"/>
    <x v="10"/>
    <d v="2023-10-08T00:00:00"/>
    <x v="1"/>
    <x v="4"/>
    <x v="6"/>
    <x v="1"/>
    <x v="4"/>
    <x v="1"/>
    <x v="1"/>
    <x v="147"/>
    <n v="385.32"/>
    <n v="606.76"/>
    <n v="8.5999999999999993E-2"/>
    <n v="8"/>
    <s v="J. Njeri"/>
    <s v="Bengaluru"/>
    <s v="Direct"/>
    <n v="606.76"/>
    <x v="146"/>
    <s v="OK"/>
    <d v="2023-10-08T00:00:00"/>
    <x v="6"/>
    <n v="4436.6291200000005"/>
    <n v="4854.08"/>
    <n v="21535752.678809602"/>
    <n v="4854.08"/>
    <m/>
  </r>
  <r>
    <x v="147"/>
    <d v="2025-05-16T00:00:00"/>
    <x v="8"/>
    <x v="6"/>
    <d v="2025-05-27T00:00:00"/>
    <x v="1"/>
    <x v="9"/>
    <x v="34"/>
    <x v="5"/>
    <x v="1"/>
    <x v="9"/>
    <x v="3"/>
    <x v="148"/>
    <n v="918.12"/>
    <n v="1337.69"/>
    <n v="9.5000000000000001E-2"/>
    <n v="8"/>
    <s v="F. Müller"/>
    <s v="Beijing"/>
    <s v="Online"/>
    <n v="1337.69"/>
    <x v="147"/>
    <s v="OK"/>
    <d v="2025-05-27T00:00:00"/>
    <x v="21"/>
    <n v="9684.8756000000012"/>
    <n v="10701.52"/>
    <n v="103642889.93091202"/>
    <n v="10701.52"/>
    <m/>
  </r>
  <r>
    <x v="148"/>
    <d v="2024-12-04T00:00:00"/>
    <x v="6"/>
    <x v="1"/>
    <d v="2024-12-12T00:00:00"/>
    <x v="3"/>
    <x v="6"/>
    <x v="36"/>
    <x v="5"/>
    <x v="2"/>
    <x v="5"/>
    <x v="1"/>
    <x v="149"/>
    <n v="72.06"/>
    <n v="122.74"/>
    <n v="0.23799999999999999"/>
    <n v="8"/>
    <s v="B. Chen"/>
    <s v="Frankfurt"/>
    <s v="Marketplace"/>
    <n v="122.74"/>
    <x v="148"/>
    <s v="OK"/>
    <d v="2024-12-12T00:00:00"/>
    <x v="10"/>
    <n v="748.22303999999997"/>
    <n v="981.92"/>
    <n v="734695.16743679997"/>
    <n v="981.92"/>
    <m/>
  </r>
  <r>
    <x v="149"/>
    <d v="2024-03-06T00:00:00"/>
    <x v="0"/>
    <x v="0"/>
    <d v="2024-03-26T00:00:00"/>
    <x v="0"/>
    <x v="1"/>
    <x v="1"/>
    <x v="3"/>
    <x v="2"/>
    <x v="2"/>
    <x v="3"/>
    <x v="150"/>
    <n v="65.64"/>
    <n v="151.88"/>
    <n v="0.16700000000000001"/>
    <n v="23"/>
    <s v="I. Johnson"/>
    <s v="Port Harcourt"/>
    <s v="Marketplace"/>
    <n v="151.88"/>
    <x v="149"/>
    <s v="OK"/>
    <d v="2024-03-26T00:00:00"/>
    <x v="8"/>
    <n v="2909.8689199999999"/>
    <n v="3493.24"/>
    <n v="10164870.5061008"/>
    <n v="3493.2400000000002"/>
    <m/>
  </r>
  <r>
    <x v="150"/>
    <d v="2024-02-16T00:00:00"/>
    <x v="30"/>
    <x v="0"/>
    <d v="2024-03-04T00:00:00"/>
    <x v="2"/>
    <x v="3"/>
    <x v="17"/>
    <x v="2"/>
    <x v="0"/>
    <x v="14"/>
    <x v="4"/>
    <x v="151"/>
    <n v="1350.98"/>
    <n v="2210.4"/>
    <n v="0.26300000000000001"/>
    <n v="6"/>
    <s v="D. Smith"/>
    <s v="Montreal"/>
    <s v="Retail"/>
    <n v="2210.4"/>
    <x v="150"/>
    <s v="OK"/>
    <d v="2024-03-04T00:00:00"/>
    <x v="11"/>
    <n v="9774.3888000000006"/>
    <n v="13262.400000000001"/>
    <n v="129631854.02112003"/>
    <n v="13262.400000000001"/>
    <m/>
  </r>
  <r>
    <x v="151"/>
    <d v="2024-03-15T00:00:00"/>
    <x v="0"/>
    <x v="0"/>
    <d v="2024-04-09T00:00:00"/>
    <x v="2"/>
    <x v="3"/>
    <x v="23"/>
    <x v="3"/>
    <x v="1"/>
    <x v="9"/>
    <x v="5"/>
    <x v="152"/>
    <n v="648.64"/>
    <n v="815.19"/>
    <n v="0.22500000000000001"/>
    <n v="28"/>
    <s v="F. Müller"/>
    <s v="Vancouver"/>
    <s v="Online"/>
    <n v="815.19"/>
    <x v="151"/>
    <s v="OK"/>
    <d v="2024-04-09T00:00:00"/>
    <x v="2"/>
    <n v="17689.623"/>
    <n v="22825.32"/>
    <n v="403771305.65436"/>
    <n v="22825.32"/>
    <m/>
  </r>
  <r>
    <x v="152"/>
    <d v="2024-07-29T00:00:00"/>
    <x v="16"/>
    <x v="9"/>
    <d v="2024-07-31T00:00:00"/>
    <x v="2"/>
    <x v="10"/>
    <x v="35"/>
    <x v="1"/>
    <x v="2"/>
    <x v="2"/>
    <x v="1"/>
    <x v="153"/>
    <n v="798.97"/>
    <n v="1814.06"/>
    <n v="0.122"/>
    <n v="16"/>
    <s v="I. Johnson"/>
    <s v="New York"/>
    <s v="Marketplace"/>
    <n v="1814.06"/>
    <x v="152"/>
    <s v="OK"/>
    <d v="2024-07-31T00:00:00"/>
    <x v="22"/>
    <n v="25483.91488"/>
    <n v="29024.959999999999"/>
    <n v="739669610.0354048"/>
    <n v="29024.959999999999"/>
    <m/>
  </r>
  <r>
    <x v="153"/>
    <d v="2023-08-04T00:00:00"/>
    <x v="25"/>
    <x v="10"/>
    <d v="2023-08-24T00:00:00"/>
    <x v="2"/>
    <x v="5"/>
    <x v="10"/>
    <x v="2"/>
    <x v="4"/>
    <x v="15"/>
    <x v="2"/>
    <x v="154"/>
    <n v="582.88"/>
    <n v="1044.1400000000001"/>
    <n v="0.216"/>
    <n v="10"/>
    <s v="Unassigned"/>
    <s v="Brasília"/>
    <s v="Direct"/>
    <n v="1044.1400000000001"/>
    <x v="153"/>
    <s v="OK"/>
    <d v="2023-08-24T00:00:00"/>
    <x v="8"/>
    <n v="8186.057600000001"/>
    <n v="10441.400000000001"/>
    <n v="85473901.824640021"/>
    <n v="10441.400000000001"/>
    <m/>
  </r>
  <r>
    <x v="154"/>
    <d v="2025-02-19T00:00:00"/>
    <x v="26"/>
    <x v="3"/>
    <d v="2025-03-09T00:00:00"/>
    <x v="1"/>
    <x v="4"/>
    <x v="16"/>
    <x v="4"/>
    <x v="4"/>
    <x v="7"/>
    <x v="5"/>
    <x v="155"/>
    <n v="325.87"/>
    <n v="538.79"/>
    <n v="0.17399999999999999"/>
    <n v="16"/>
    <s v="O. Wang"/>
    <s v="Delhi"/>
    <s v="Direct"/>
    <n v="538.79"/>
    <x v="154"/>
    <s v="OK"/>
    <d v="2025-03-09T00:00:00"/>
    <x v="5"/>
    <n v="7120.6486400000003"/>
    <n v="8620.64"/>
    <n v="61384548.491929598"/>
    <n v="8620.64"/>
    <m/>
  </r>
  <r>
    <x v="155"/>
    <d v="2023-07-24T00:00:00"/>
    <x v="23"/>
    <x v="10"/>
    <d v="2023-08-13T00:00:00"/>
    <x v="2"/>
    <x v="3"/>
    <x v="17"/>
    <x v="1"/>
    <x v="4"/>
    <x v="0"/>
    <x v="5"/>
    <x v="156"/>
    <n v="1082.3800000000001"/>
    <n v="1766.55"/>
    <n v="0.16400000000000001"/>
    <n v="20"/>
    <s v="C. Otieno"/>
    <s v="Montreal"/>
    <s v="Direct"/>
    <n v="1766.55"/>
    <x v="155"/>
    <s v="OK"/>
    <d v="2023-08-13T00:00:00"/>
    <x v="8"/>
    <n v="29536.716"/>
    <n v="35331"/>
    <n v="1043561712.9960001"/>
    <n v="35331"/>
    <m/>
  </r>
  <r>
    <x v="156"/>
    <d v="2024-03-16T00:00:00"/>
    <x v="0"/>
    <x v="0"/>
    <d v="2024-04-13T00:00:00"/>
    <x v="3"/>
    <x v="7"/>
    <x v="26"/>
    <x v="4"/>
    <x v="1"/>
    <x v="10"/>
    <x v="1"/>
    <x v="157"/>
    <n v="287.61"/>
    <n v="628.54"/>
    <n v="0.13500000000000001"/>
    <n v="21"/>
    <s v="K. Singh"/>
    <s v="Paris"/>
    <s v="Online"/>
    <n v="628.54"/>
    <x v="156"/>
    <s v="OK"/>
    <d v="2024-04-13T00:00:00"/>
    <x v="24"/>
    <n v="11417.429099999999"/>
    <n v="13199.34"/>
    <n v="150702528.61679399"/>
    <n v="13199.34"/>
    <m/>
  </r>
  <r>
    <x v="157"/>
    <d v="2024-03-27T00:00:00"/>
    <x v="0"/>
    <x v="0"/>
    <d v="2024-04-11T00:00:00"/>
    <x v="2"/>
    <x v="10"/>
    <x v="21"/>
    <x v="4"/>
    <x v="4"/>
    <x v="7"/>
    <x v="2"/>
    <x v="158"/>
    <n v="1338.35"/>
    <n v="2247.14"/>
    <n v="0.115"/>
    <n v="40"/>
    <s v="O. Wang"/>
    <s v="San Francisco"/>
    <s v="Direct"/>
    <n v="2247.14"/>
    <x v="157"/>
    <s v="OK"/>
    <d v="2024-04-11T00:00:00"/>
    <x v="12"/>
    <n v="79548.755999999994"/>
    <n v="89885.599999999991"/>
    <n v="7150287662.3135986"/>
    <n v="89885.599999999991"/>
    <m/>
  </r>
  <r>
    <x v="158"/>
    <d v="2023-10-30T00:00:00"/>
    <x v="32"/>
    <x v="4"/>
    <d v="2023-11-14T00:00:00"/>
    <x v="1"/>
    <x v="4"/>
    <x v="6"/>
    <x v="0"/>
    <x v="1"/>
    <x v="9"/>
    <x v="4"/>
    <x v="159"/>
    <n v="953.46"/>
    <n v="2066.75"/>
    <n v="0.13800000000000001"/>
    <n v="5"/>
    <s v="F. Müller"/>
    <s v="Bengaluru"/>
    <s v="Online"/>
    <n v="2066.75"/>
    <x v="158"/>
    <s v="OK"/>
    <d v="2023-11-14T00:00:00"/>
    <x v="12"/>
    <n v="8907.6924999999992"/>
    <n v="10333.75"/>
    <n v="92049867.371874988"/>
    <n v="10333.75"/>
    <m/>
  </r>
  <r>
    <x v="159"/>
    <d v="2025-03-14T00:00:00"/>
    <x v="3"/>
    <x v="3"/>
    <d v="2025-03-29T00:00:00"/>
    <x v="1"/>
    <x v="2"/>
    <x v="25"/>
    <x v="2"/>
    <x v="4"/>
    <x v="12"/>
    <x v="2"/>
    <x v="160"/>
    <n v="1106.96"/>
    <n v="2726.62"/>
    <n v="0.317"/>
    <n v="7"/>
    <s v="H. Kim"/>
    <s v="Tokyo"/>
    <s v="Direct"/>
    <n v="2726.62"/>
    <x v="33"/>
    <s v="Suspicious"/>
    <d v="2025-03-29T00:00:00"/>
    <x v="12"/>
    <n v="13035.970220000001"/>
    <n v="19086.34"/>
    <n v="248808959.84879482"/>
    <n v="19086.34"/>
    <m/>
  </r>
  <r>
    <x v="160"/>
    <d v="2025-03-30T00:00:00"/>
    <x v="3"/>
    <x v="3"/>
    <d v="2025-04-07T00:00:00"/>
    <x v="2"/>
    <x v="5"/>
    <x v="8"/>
    <x v="2"/>
    <x v="4"/>
    <x v="4"/>
    <x v="1"/>
    <x v="161"/>
    <n v="71.62"/>
    <n v="118.37"/>
    <n v="0.156"/>
    <n v="11"/>
    <s v="L. Okafor"/>
    <s v="São Paulo"/>
    <s v="Direct"/>
    <n v="118.37"/>
    <x v="159"/>
    <s v="OK"/>
    <d v="2025-04-07T00:00:00"/>
    <x v="10"/>
    <n v="1098.9470800000001"/>
    <n v="1302.0700000000002"/>
    <n v="1430906.0244556004"/>
    <n v="1302.0700000000002"/>
    <m/>
  </r>
  <r>
    <x v="161"/>
    <d v="2023-10-21T00:00:00"/>
    <x v="32"/>
    <x v="4"/>
    <d v="2023-11-09T00:00:00"/>
    <x v="3"/>
    <x v="8"/>
    <x v="33"/>
    <x v="2"/>
    <x v="4"/>
    <x v="8"/>
    <x v="6"/>
    <x v="162"/>
    <n v="1142.48"/>
    <n v="2105.5300000000002"/>
    <n v="0.20699999999999999"/>
    <n v="14"/>
    <s v="A. Patel"/>
    <s v="London"/>
    <s v="Direct"/>
    <n v="2105.5300000000002"/>
    <x v="160"/>
    <s v="OK"/>
    <d v="2023-11-09T00:00:00"/>
    <x v="6"/>
    <n v="23375.594060000003"/>
    <n v="29477.420000000002"/>
    <n v="689052203.85612535"/>
    <n v="29477.420000000002"/>
    <m/>
  </r>
  <r>
    <x v="162"/>
    <d v="2023-08-23T00:00:00"/>
    <x v="25"/>
    <x v="10"/>
    <d v="2023-09-22T00:00:00"/>
    <x v="3"/>
    <x v="8"/>
    <x v="33"/>
    <x v="3"/>
    <x v="3"/>
    <x v="7"/>
    <x v="6"/>
    <x v="163"/>
    <n v="209.81"/>
    <n v="523"/>
    <n v="5.8999999999999997E-2"/>
    <n v="15"/>
    <s v="O. Wang"/>
    <s v="London"/>
    <s v="Distributor"/>
    <n v="523"/>
    <x v="161"/>
    <s v="OK"/>
    <d v="2023-09-22T00:00:00"/>
    <x v="16"/>
    <n v="7382.1450000000004"/>
    <n v="7845"/>
    <n v="57912927.525000006"/>
    <n v="7845"/>
    <m/>
  </r>
  <r>
    <x v="163"/>
    <d v="2025-04-11T00:00:00"/>
    <x v="17"/>
    <x v="6"/>
    <d v="2025-05-04T00:00:00"/>
    <x v="1"/>
    <x v="2"/>
    <x v="4"/>
    <x v="4"/>
    <x v="1"/>
    <x v="11"/>
    <x v="0"/>
    <x v="164"/>
    <n v="786.2"/>
    <n v="1075.3"/>
    <n v="0.08"/>
    <n v="9"/>
    <s v="M. Rossi"/>
    <s v="Osaka"/>
    <s v="Online"/>
    <n v="1075.3"/>
    <x v="162"/>
    <s v="OK"/>
    <d v="2025-05-04T00:00:00"/>
    <x v="19"/>
    <n v="8903.4839999999986"/>
    <n v="9677.6999999999989"/>
    <n v="86165247.106799975"/>
    <n v="9677.6999999999989"/>
    <m/>
  </r>
  <r>
    <x v="164"/>
    <d v="2025-03-25T00:00:00"/>
    <x v="3"/>
    <x v="3"/>
    <d v="2025-03-26T00:00:00"/>
    <x v="0"/>
    <x v="1"/>
    <x v="3"/>
    <x v="1"/>
    <x v="3"/>
    <x v="3"/>
    <x v="6"/>
    <x v="165"/>
    <n v="1450.43"/>
    <n v="1994.67"/>
    <n v="0.1"/>
    <n v="24"/>
    <s v="G. Dubois"/>
    <s v="Lagos"/>
    <s v="Distributor"/>
    <n v="1994.67"/>
    <x v="163"/>
    <s v="OK"/>
    <d v="2025-03-26T00:00:00"/>
    <x v="28"/>
    <n v="43084.872000000003"/>
    <n v="47872.08"/>
    <n v="2062562439.1737602"/>
    <n v="47872.08"/>
    <m/>
  </r>
  <r>
    <x v="165"/>
    <d v="2025-05-18T00:00:00"/>
    <x v="8"/>
    <x v="6"/>
    <d v="2025-06-09T00:00:00"/>
    <x v="2"/>
    <x v="10"/>
    <x v="35"/>
    <x v="3"/>
    <x v="0"/>
    <x v="12"/>
    <x v="2"/>
    <x v="166"/>
    <n v="382.96"/>
    <n v="552.84"/>
    <n v="0.17599999999999999"/>
    <n v="8"/>
    <s v="H. Kim"/>
    <s v="New York"/>
    <s v="Retail"/>
    <n v="552.84"/>
    <x v="164"/>
    <s v="OK"/>
    <d v="2025-06-09T00:00:00"/>
    <x v="20"/>
    <n v="3644.3212800000006"/>
    <n v="4422.72"/>
    <n v="16117812.611481603"/>
    <n v="4422.72"/>
    <m/>
  </r>
  <r>
    <x v="166"/>
    <d v="2023-06-24T00:00:00"/>
    <x v="21"/>
    <x v="7"/>
    <d v="2023-06-22T00:00:00"/>
    <x v="2"/>
    <x v="3"/>
    <x v="5"/>
    <x v="2"/>
    <x v="0"/>
    <x v="11"/>
    <x v="6"/>
    <x v="167"/>
    <n v="471.42"/>
    <n v="824.81"/>
    <n v="8.7999999999999995E-2"/>
    <n v="15"/>
    <s v="M. Rossi"/>
    <s v="Toronto"/>
    <s v="Retail"/>
    <n v="824.81"/>
    <x v="165"/>
    <s v="OK"/>
    <d v="2023-07-01T00:00:00"/>
    <x v="1"/>
    <n v="11283.400799999999"/>
    <n v="12372.15"/>
    <n v="139599927.20771998"/>
    <n v="12372.15"/>
    <m/>
  </r>
  <r>
    <x v="167"/>
    <d v="2025-06-01T00:00:00"/>
    <x v="14"/>
    <x v="6"/>
    <d v="2025-06-06T00:00:00"/>
    <x v="3"/>
    <x v="7"/>
    <x v="26"/>
    <x v="3"/>
    <x v="3"/>
    <x v="3"/>
    <x v="0"/>
    <x v="168"/>
    <n v="379.45"/>
    <n v="742.23"/>
    <n v="0.09"/>
    <n v="13"/>
    <s v="G. Dubois"/>
    <s v="Paris"/>
    <s v="Distributor"/>
    <n v="742.23"/>
    <x v="166"/>
    <s v="OK"/>
    <d v="2025-06-06T00:00:00"/>
    <x v="13"/>
    <n v="8780.5809000000008"/>
    <n v="9648.99"/>
    <n v="84723737.298291013"/>
    <n v="9648.99"/>
    <m/>
  </r>
  <r>
    <x v="168"/>
    <d v="2023-05-06T00:00:00"/>
    <x v="13"/>
    <x v="7"/>
    <d v="2023-05-14T00:00:00"/>
    <x v="1"/>
    <x v="2"/>
    <x v="4"/>
    <x v="5"/>
    <x v="2"/>
    <x v="5"/>
    <x v="3"/>
    <x v="169"/>
    <n v="291.18"/>
    <n v="479.54"/>
    <n v="0.14099999999999999"/>
    <n v="22"/>
    <s v="B. Chen"/>
    <s v="Osaka"/>
    <s v="Marketplace"/>
    <n v="479.54"/>
    <x v="167"/>
    <s v="OK"/>
    <d v="2023-05-14T00:00:00"/>
    <x v="10"/>
    <n v="9062.34692"/>
    <n v="10549.880000000001"/>
    <n v="95606672.524369612"/>
    <n v="10549.880000000001"/>
    <m/>
  </r>
  <r>
    <x v="169"/>
    <d v="2025-04-01T00:00:00"/>
    <x v="17"/>
    <x v="6"/>
    <d v="2025-04-27T00:00:00"/>
    <x v="2"/>
    <x v="10"/>
    <x v="21"/>
    <x v="0"/>
    <x v="4"/>
    <x v="2"/>
    <x v="5"/>
    <x v="170"/>
    <n v="156.55000000000001"/>
    <n v="227.45"/>
    <n v="1.4E-2"/>
    <n v="13"/>
    <s v="I. Johnson"/>
    <s v="San Francisco"/>
    <s v="Direct"/>
    <n v="227.45"/>
    <x v="168"/>
    <s v="OK"/>
    <d v="2025-04-27T00:00:00"/>
    <x v="0"/>
    <n v="2915.4540999999999"/>
    <n v="2956.85"/>
    <n v="8620560.4555849992"/>
    <n v="2956.85"/>
    <m/>
  </r>
  <r>
    <x v="170"/>
    <d v="2024-05-28T00:00:00"/>
    <x v="7"/>
    <x v="5"/>
    <d v="2024-06-18T00:00:00"/>
    <x v="3"/>
    <x v="6"/>
    <x v="36"/>
    <x v="4"/>
    <x v="1"/>
    <x v="6"/>
    <x v="3"/>
    <x v="171"/>
    <n v="986.85"/>
    <n v="2422.1"/>
    <n v="7.5999999999999998E-2"/>
    <n v="10"/>
    <s v="E. Garcia"/>
    <s v="Frankfurt"/>
    <s v="Online"/>
    <n v="2422.1"/>
    <x v="169"/>
    <s v="OK"/>
    <d v="2024-06-18T00:00:00"/>
    <x v="25"/>
    <n v="22380.204000000002"/>
    <n v="24221"/>
    <n v="542070921.08399999"/>
    <n v="24220.999999999996"/>
    <m/>
  </r>
  <r>
    <x v="171"/>
    <d v="2023-02-28T00:00:00"/>
    <x v="2"/>
    <x v="2"/>
    <d v="2023-02-27T00:00:00"/>
    <x v="3"/>
    <x v="7"/>
    <x v="11"/>
    <x v="0"/>
    <x v="0"/>
    <x v="10"/>
    <x v="2"/>
    <x v="172"/>
    <n v="1299.81"/>
    <n v="3149.13"/>
    <n v="0.10299999999999999"/>
    <n v="14"/>
    <s v="K. Singh"/>
    <s v="Marseille"/>
    <s v="Retail"/>
    <n v="3149.13"/>
    <x v="170"/>
    <s v="OK"/>
    <d v="2023-03-07T00:00:00"/>
    <x v="1"/>
    <n v="39546.774539999999"/>
    <n v="44087.82"/>
    <n v="1743531077.5001028"/>
    <n v="44087.82"/>
    <m/>
  </r>
  <r>
    <x v="172"/>
    <d v="2023-05-07T00:00:00"/>
    <x v="13"/>
    <x v="7"/>
    <d v="2023-05-29T00:00:00"/>
    <x v="0"/>
    <x v="11"/>
    <x v="31"/>
    <x v="1"/>
    <x v="3"/>
    <x v="10"/>
    <x v="6"/>
    <x v="173"/>
    <n v="653.86"/>
    <n v="931.84"/>
    <n v="0.121"/>
    <n v="12"/>
    <s v="K. Singh"/>
    <s v="Durban"/>
    <s v="Distributor"/>
    <n v="931.84"/>
    <x v="171"/>
    <s v="OK"/>
    <d v="2023-05-29T00:00:00"/>
    <x v="20"/>
    <n v="9829.0483199999999"/>
    <n v="11182.08"/>
    <n v="109909204.6381056"/>
    <n v="11182.08"/>
    <m/>
  </r>
  <r>
    <x v="173"/>
    <d v="2024-01-12T00:00:00"/>
    <x v="9"/>
    <x v="0"/>
    <d v="2024-01-29T00:00:00"/>
    <x v="1"/>
    <x v="4"/>
    <x v="38"/>
    <x v="4"/>
    <x v="4"/>
    <x v="5"/>
    <x v="0"/>
    <x v="174"/>
    <n v="310.02"/>
    <n v="619.51"/>
    <n v="4.2000000000000003E-2"/>
    <n v="4"/>
    <s v="B. Chen"/>
    <s v="Hyderabad"/>
    <s v="Direct"/>
    <n v="619.51"/>
    <x v="172"/>
    <s v="OK"/>
    <d v="2024-01-29T00:00:00"/>
    <x v="11"/>
    <n v="2373.9623200000001"/>
    <n v="2478.04"/>
    <n v="5882773.5874528"/>
    <n v="2478.04"/>
    <m/>
  </r>
  <r>
    <x v="174"/>
    <d v="2025-05-19T00:00:00"/>
    <x v="8"/>
    <x v="6"/>
    <d v="2025-05-17T00:00:00"/>
    <x v="2"/>
    <x v="5"/>
    <x v="8"/>
    <x v="4"/>
    <x v="3"/>
    <x v="4"/>
    <x v="5"/>
    <x v="175"/>
    <n v="383.77"/>
    <n v="952.56"/>
    <n v="0.34599999999999997"/>
    <n v="10"/>
    <s v="L. Okafor"/>
    <s v="São Paulo"/>
    <s v="Distributor"/>
    <n v="952.56"/>
    <x v="33"/>
    <s v="Suspicious"/>
    <d v="2025-05-26T00:00:00"/>
    <x v="1"/>
    <n v="6229.7423999999992"/>
    <n v="9525.5999999999985"/>
    <n v="59342034.205439985"/>
    <n v="9525.5999999999985"/>
    <m/>
  </r>
  <r>
    <x v="175"/>
    <d v="2025-01-11T00:00:00"/>
    <x v="10"/>
    <x v="3"/>
    <d v="2025-01-23T00:00:00"/>
    <x v="2"/>
    <x v="10"/>
    <x v="37"/>
    <x v="3"/>
    <x v="3"/>
    <x v="12"/>
    <x v="3"/>
    <x v="176"/>
    <n v="100.69"/>
    <n v="226.14"/>
    <n v="6.5000000000000002E-2"/>
    <n v="12"/>
    <s v="H. Kim"/>
    <s v="Austin"/>
    <s v="Distributor"/>
    <n v="226.14"/>
    <x v="173"/>
    <s v="OK"/>
    <d v="2025-01-23T00:00:00"/>
    <x v="7"/>
    <n v="2537.2908000000002"/>
    <n v="2713.68"/>
    <n v="6885395.2981440006"/>
    <n v="2713.68"/>
    <m/>
  </r>
  <r>
    <x v="176"/>
    <d v="2025-09-14T00:00:00"/>
    <x v="12"/>
    <x v="8"/>
    <d v="2025-09-26T00:00:00"/>
    <x v="3"/>
    <x v="8"/>
    <x v="33"/>
    <x v="4"/>
    <x v="4"/>
    <x v="13"/>
    <x v="2"/>
    <x v="177"/>
    <n v="425.15"/>
    <n v="885.92"/>
    <n v="0.23899999999999999"/>
    <n v="13"/>
    <s v="N. Brown"/>
    <s v="London"/>
    <s v="Direct"/>
    <n v="885.92"/>
    <x v="174"/>
    <s v="OK"/>
    <d v="2025-09-26T00:00:00"/>
    <x v="7"/>
    <n v="8764.4065599999994"/>
    <n v="11516.96"/>
    <n v="100939319.77525759"/>
    <n v="11516.96"/>
    <m/>
  </r>
  <r>
    <x v="177"/>
    <d v="2023-08-30T00:00:00"/>
    <x v="25"/>
    <x v="10"/>
    <d v="2023-09-03T00:00:00"/>
    <x v="1"/>
    <x v="4"/>
    <x v="16"/>
    <x v="4"/>
    <x v="2"/>
    <x v="4"/>
    <x v="6"/>
    <x v="178"/>
    <n v="1082.25"/>
    <n v="2433.34"/>
    <n v="0.27"/>
    <n v="4"/>
    <s v="L. Okafor"/>
    <s v="Delhi"/>
    <s v="Marketplace"/>
    <n v="2433.34"/>
    <x v="175"/>
    <s v="OK"/>
    <d v="2023-09-03T00:00:00"/>
    <x v="3"/>
    <n v="7105.3528000000006"/>
    <n v="9733.36"/>
    <n v="69158956.729408011"/>
    <n v="9733.36"/>
    <m/>
  </r>
  <r>
    <x v="178"/>
    <d v="2023-11-15T00:00:00"/>
    <x v="29"/>
    <x v="4"/>
    <d v="2023-12-06T00:00:00"/>
    <x v="3"/>
    <x v="8"/>
    <x v="29"/>
    <x v="1"/>
    <x v="4"/>
    <x v="12"/>
    <x v="6"/>
    <x v="179"/>
    <n v="1184.99"/>
    <n v="1154.3399999999999"/>
    <n v="2.8000000000000001E-2"/>
    <n v="5"/>
    <s v="H. Kim"/>
    <s v="Manchester"/>
    <s v="Direct"/>
    <n v="1154.3399999999999"/>
    <x v="176"/>
    <s v="OK"/>
    <d v="2023-12-06T00:00:00"/>
    <x v="25"/>
    <n v="5610.0923999999995"/>
    <n v="5771.7"/>
    <n v="32379770.305079997"/>
    <n v="5771.7"/>
    <m/>
  </r>
  <r>
    <x v="179"/>
    <d v="2025-04-27T00:00:00"/>
    <x v="17"/>
    <x v="6"/>
    <d v="2025-05-27T00:00:00"/>
    <x v="1"/>
    <x v="4"/>
    <x v="39"/>
    <x v="5"/>
    <x v="2"/>
    <x v="12"/>
    <x v="3"/>
    <x v="180"/>
    <n v="481.32"/>
    <n v="1135.99"/>
    <n v="0.14499999999999999"/>
    <n v="5"/>
    <s v="H. Kim"/>
    <s v="Unknown City"/>
    <s v="Marketplace"/>
    <n v="1135.99"/>
    <x v="177"/>
    <s v="OK"/>
    <d v="2025-05-27T00:00:00"/>
    <x v="16"/>
    <n v="4856.35725"/>
    <n v="5679.95"/>
    <n v="27583866.3621375"/>
    <n v="5679.95"/>
    <m/>
  </r>
  <r>
    <x v="180"/>
    <d v="2024-04-09T00:00:00"/>
    <x v="20"/>
    <x v="5"/>
    <d v="2024-04-18T00:00:00"/>
    <x v="3"/>
    <x v="7"/>
    <x v="15"/>
    <x v="3"/>
    <x v="1"/>
    <x v="6"/>
    <x v="1"/>
    <x v="181"/>
    <n v="1288.8499999999999"/>
    <n v="2751.84"/>
    <n v="0.158"/>
    <n v="7"/>
    <s v="E. Garcia"/>
    <s v="Lyon"/>
    <s v="Online"/>
    <n v="2751.84"/>
    <x v="178"/>
    <s v="OK"/>
    <d v="2024-04-18T00:00:00"/>
    <x v="23"/>
    <n v="16219.34496"/>
    <n v="19262.88"/>
    <n v="312431295.64308482"/>
    <n v="19262.88"/>
    <m/>
  </r>
  <r>
    <x v="181"/>
    <d v="2024-02-18T00:00:00"/>
    <x v="30"/>
    <x v="0"/>
    <d v="2024-03-03T00:00:00"/>
    <x v="2"/>
    <x v="5"/>
    <x v="39"/>
    <x v="5"/>
    <x v="3"/>
    <x v="8"/>
    <x v="1"/>
    <x v="182"/>
    <n v="624.23"/>
    <n v="1318.37"/>
    <n v="0.21"/>
    <n v="37"/>
    <s v="A. Patel"/>
    <s v="Unknown City"/>
    <s v="Distributor"/>
    <n v="1318.37"/>
    <x v="179"/>
    <s v="OK"/>
    <d v="2024-03-03T00:00:00"/>
    <x v="14"/>
    <n v="38535.955099999999"/>
    <n v="48779.689999999995"/>
    <n v="1879771943.6319187"/>
    <n v="48779.689999999995"/>
    <m/>
  </r>
  <r>
    <x v="182"/>
    <d v="2023-07-25T00:00:00"/>
    <x v="23"/>
    <x v="10"/>
    <d v="2023-08-10T00:00:00"/>
    <x v="0"/>
    <x v="1"/>
    <x v="1"/>
    <x v="0"/>
    <x v="3"/>
    <x v="2"/>
    <x v="6"/>
    <x v="183"/>
    <n v="506.83"/>
    <n v="441.74"/>
    <n v="0.24"/>
    <n v="9"/>
    <s v="I. Johnson"/>
    <s v="Port Harcourt"/>
    <s v="Distributor"/>
    <n v="441.74"/>
    <x v="180"/>
    <s v="OK"/>
    <d v="2023-08-10T00:00:00"/>
    <x v="18"/>
    <n v="3021.5016000000001"/>
    <n v="3975.66"/>
    <n v="12012463.051055999"/>
    <n v="3975.66"/>
    <m/>
  </r>
  <r>
    <x v="183"/>
    <d v="2023-07-14T00:00:00"/>
    <x v="23"/>
    <x v="10"/>
    <d v="2023-07-21T00:00:00"/>
    <x v="0"/>
    <x v="11"/>
    <x v="31"/>
    <x v="5"/>
    <x v="2"/>
    <x v="15"/>
    <x v="5"/>
    <x v="184"/>
    <n v="620.74"/>
    <n v="1330.07"/>
    <n v="0.29899999999999999"/>
    <n v="28"/>
    <s v="Unassigned"/>
    <s v="Durban"/>
    <s v="Marketplace"/>
    <n v="1330.07"/>
    <x v="181"/>
    <s v="OK"/>
    <d v="2023-07-21T00:00:00"/>
    <x v="1"/>
    <n v="26106.613960000002"/>
    <n v="37241.96"/>
    <n v="972261472.83376169"/>
    <n v="37241.96"/>
    <m/>
  </r>
  <r>
    <x v="184"/>
    <d v="2023-07-24T00:00:00"/>
    <x v="23"/>
    <x v="10"/>
    <d v="2023-08-19T00:00:00"/>
    <x v="0"/>
    <x v="0"/>
    <x v="2"/>
    <x v="5"/>
    <x v="3"/>
    <x v="11"/>
    <x v="6"/>
    <x v="185"/>
    <n v="661.45"/>
    <n v="1634.86"/>
    <n v="0.56499999999999995"/>
    <n v="24"/>
    <s v="M. Rossi"/>
    <s v="Nairobi"/>
    <s v="Distributor"/>
    <n v="1634.86"/>
    <x v="33"/>
    <s v="Suspicious"/>
    <d v="2023-08-19T00:00:00"/>
    <x v="0"/>
    <n v="17067.938400000003"/>
    <n v="39236.639999999999"/>
    <n v="669688554.54297614"/>
    <n v="39236.639999999999"/>
    <m/>
  </r>
  <r>
    <x v="185"/>
    <d v="2023-04-13T00:00:00"/>
    <x v="11"/>
    <x v="7"/>
    <d v="2023-04-11T00:00:00"/>
    <x v="2"/>
    <x v="10"/>
    <x v="21"/>
    <x v="1"/>
    <x v="2"/>
    <x v="3"/>
    <x v="2"/>
    <x v="186"/>
    <n v="32.1"/>
    <n v="70.599999999999994"/>
    <n v="0.28199999999999997"/>
    <n v="22"/>
    <s v="G. Dubois"/>
    <s v="San Francisco"/>
    <s v="Marketplace"/>
    <n v="70.599999999999994"/>
    <x v="182"/>
    <s v="OK"/>
    <d v="2023-04-20T00:00:00"/>
    <x v="1"/>
    <n v="1115.1975999999997"/>
    <n v="1553.1999999999998"/>
    <n v="1732124.9123199994"/>
    <n v="1553.1999999999998"/>
    <m/>
  </r>
  <r>
    <x v="186"/>
    <d v="2024-02-17T00:00:00"/>
    <x v="30"/>
    <x v="0"/>
    <d v="2024-03-04T00:00:00"/>
    <x v="1"/>
    <x v="4"/>
    <x v="16"/>
    <x v="4"/>
    <x v="2"/>
    <x v="9"/>
    <x v="3"/>
    <x v="187"/>
    <n v="1231.8"/>
    <n v="2015.99"/>
    <n v="0.26100000000000001"/>
    <n v="6"/>
    <s v="F. Müller"/>
    <s v="Delhi"/>
    <s v="Marketplace"/>
    <n v="2015.99"/>
    <x v="183"/>
    <s v="OK"/>
    <d v="2024-03-04T00:00:00"/>
    <x v="18"/>
    <n v="8938.8996600000009"/>
    <n v="12095.94"/>
    <n v="108124393.95338042"/>
    <n v="12095.94"/>
    <m/>
  </r>
  <r>
    <x v="187"/>
    <d v="2023-07-14T00:00:00"/>
    <x v="23"/>
    <x v="10"/>
    <d v="2023-07-14T00:00:00"/>
    <x v="0"/>
    <x v="1"/>
    <x v="3"/>
    <x v="1"/>
    <x v="0"/>
    <x v="2"/>
    <x v="6"/>
    <x v="188"/>
    <n v="956.38"/>
    <n v="1454.22"/>
    <n v="3.9E-2"/>
    <n v="19"/>
    <s v="I. Johnson"/>
    <s v="Lagos"/>
    <s v="Retail"/>
    <n v="1454.22"/>
    <x v="184"/>
    <s v="OK"/>
    <d v="2023-07-14T00:00:00"/>
    <x v="15"/>
    <n v="26552.60298"/>
    <n v="27630.18"/>
    <n v="733653199.80593646"/>
    <n v="27630.180000000004"/>
    <m/>
  </r>
  <r>
    <x v="188"/>
    <d v="2024-04-03T00:00:00"/>
    <x v="20"/>
    <x v="5"/>
    <d v="2024-04-21T00:00:00"/>
    <x v="2"/>
    <x v="5"/>
    <x v="10"/>
    <x v="4"/>
    <x v="3"/>
    <x v="5"/>
    <x v="2"/>
    <x v="189"/>
    <n v="1176.69"/>
    <n v="2201.54"/>
    <n v="0.17"/>
    <n v="27"/>
    <s v="B. Chen"/>
    <s v="Brasília"/>
    <s v="Distributor"/>
    <n v="2201.54"/>
    <x v="185"/>
    <s v="OK"/>
    <d v="2024-04-21T00:00:00"/>
    <x v="5"/>
    <n v="49336.511399999996"/>
    <n v="59441.58"/>
    <n v="2932640189.3040118"/>
    <n v="59441.58"/>
    <m/>
  </r>
  <r>
    <x v="189"/>
    <d v="2024-03-09T00:00:00"/>
    <x v="0"/>
    <x v="0"/>
    <d v="2024-03-26T00:00:00"/>
    <x v="1"/>
    <x v="9"/>
    <x v="13"/>
    <x v="5"/>
    <x v="1"/>
    <x v="10"/>
    <x v="5"/>
    <x v="190"/>
    <n v="1029.67"/>
    <n v="1118.43"/>
    <n v="0.27200000000000002"/>
    <n v="9"/>
    <s v="K. Singh"/>
    <s v="Shenzhen"/>
    <s v="Online"/>
    <n v="1118.43"/>
    <x v="186"/>
    <s v="OK"/>
    <d v="2024-03-26T00:00:00"/>
    <x v="11"/>
    <n v="7327.9533600000004"/>
    <n v="10065.870000000001"/>
    <n v="73762225.887823209"/>
    <n v="10065.870000000001"/>
    <m/>
  </r>
  <r>
    <x v="190"/>
    <d v="2023-06-05T00:00:00"/>
    <x v="21"/>
    <x v="7"/>
    <d v="2023-06-28T00:00:00"/>
    <x v="3"/>
    <x v="8"/>
    <x v="12"/>
    <x v="0"/>
    <x v="4"/>
    <x v="10"/>
    <x v="1"/>
    <x v="191"/>
    <n v="605.82000000000005"/>
    <n v="771.12"/>
    <n v="0.13200000000000001"/>
    <n v="19"/>
    <s v="K. Singh"/>
    <s v="Birmingham"/>
    <s v="Direct"/>
    <n v="771.12"/>
    <x v="187"/>
    <s v="OK"/>
    <d v="2023-06-28T00:00:00"/>
    <x v="19"/>
    <n v="12717.311040000001"/>
    <n v="14651.28"/>
    <n v="186324884.89413121"/>
    <n v="14651.28"/>
    <m/>
  </r>
  <r>
    <x v="191"/>
    <d v="2023-09-25T00:00:00"/>
    <x v="27"/>
    <x v="10"/>
    <d v="2023-10-09T00:00:00"/>
    <x v="2"/>
    <x v="10"/>
    <x v="35"/>
    <x v="4"/>
    <x v="2"/>
    <x v="1"/>
    <x v="4"/>
    <x v="192"/>
    <n v="1279.56"/>
    <n v="3083.8"/>
    <n v="0.106"/>
    <n v="5"/>
    <s v="J. Njeri"/>
    <s v="New York"/>
    <s v="Marketplace"/>
    <n v="3083.8"/>
    <x v="188"/>
    <s v="OK"/>
    <d v="2023-10-09T00:00:00"/>
    <x v="14"/>
    <n v="13784.586000000001"/>
    <n v="15419"/>
    <n v="212544531.53400001"/>
    <n v="15419"/>
    <m/>
  </r>
  <r>
    <x v="192"/>
    <d v="2023-12-26T00:00:00"/>
    <x v="4"/>
    <x v="4"/>
    <d v="2024-01-03T00:00:00"/>
    <x v="3"/>
    <x v="7"/>
    <x v="15"/>
    <x v="4"/>
    <x v="0"/>
    <x v="11"/>
    <x v="4"/>
    <x v="193"/>
    <n v="492.75"/>
    <n v="731.29"/>
    <n v="5.8000000000000003E-2"/>
    <n v="6"/>
    <s v="M. Rossi"/>
    <s v="Lyon"/>
    <s v="Retail"/>
    <n v="731.29"/>
    <x v="189"/>
    <s v="OK"/>
    <d v="2024-01-03T00:00:00"/>
    <x v="10"/>
    <n v="4133.25108"/>
    <n v="4387.74"/>
    <n v="18135631.093759198"/>
    <n v="4387.74"/>
    <m/>
  </r>
  <r>
    <x v="193"/>
    <d v="2024-05-17T00:00:00"/>
    <x v="7"/>
    <x v="5"/>
    <d v="2024-05-27T00:00:00"/>
    <x v="2"/>
    <x v="10"/>
    <x v="37"/>
    <x v="2"/>
    <x v="1"/>
    <x v="0"/>
    <x v="3"/>
    <x v="194"/>
    <n v="1484.23"/>
    <n v="3472.81"/>
    <n v="0.25600000000000001"/>
    <n v="12"/>
    <s v="C. Otieno"/>
    <s v="Austin"/>
    <s v="Online"/>
    <n v="3472.81"/>
    <x v="190"/>
    <s v="OK"/>
    <d v="2024-05-27T00:00:00"/>
    <x v="30"/>
    <n v="31005.24768"/>
    <n v="41673.72"/>
    <n v="1292104010.3469696"/>
    <n v="41673.72"/>
    <m/>
  </r>
  <r>
    <x v="194"/>
    <d v="2025-02-06T00:00:00"/>
    <x v="26"/>
    <x v="3"/>
    <d v="2025-02-15T00:00:00"/>
    <x v="2"/>
    <x v="5"/>
    <x v="8"/>
    <x v="2"/>
    <x v="3"/>
    <x v="9"/>
    <x v="2"/>
    <x v="195"/>
    <n v="837.39"/>
    <n v="1905.42"/>
    <n v="3.2000000000000001E-2"/>
    <n v="18"/>
    <s v="F. Müller"/>
    <s v="São Paulo"/>
    <s v="Distributor"/>
    <n v="1905.42"/>
    <x v="191"/>
    <s v="OK"/>
    <d v="2025-02-15T00:00:00"/>
    <x v="23"/>
    <n v="33200.038079999998"/>
    <n v="34297.56"/>
    <n v="1138680298.0510848"/>
    <n v="34297.56"/>
    <m/>
  </r>
  <r>
    <x v="195"/>
    <d v="2025-01-31T00:00:00"/>
    <x v="10"/>
    <x v="3"/>
    <d v="2025-02-17T00:00:00"/>
    <x v="3"/>
    <x v="8"/>
    <x v="33"/>
    <x v="5"/>
    <x v="0"/>
    <x v="12"/>
    <x v="0"/>
    <x v="62"/>
    <n v="378.26"/>
    <n v="541.55999999999995"/>
    <n v="0.16300000000000001"/>
    <n v="25"/>
    <s v="H. Kim"/>
    <s v="London"/>
    <s v="Retail"/>
    <n v="541.55999999999995"/>
    <x v="192"/>
    <s v="OK"/>
    <d v="2025-02-17T00:00:00"/>
    <x v="11"/>
    <n v="11332.142999999998"/>
    <n v="13538.999999999998"/>
    <n v="153425884.07699996"/>
    <n v="13538.999999999998"/>
    <m/>
  </r>
  <r>
    <x v="196"/>
    <d v="2023-05-20T00:00:00"/>
    <x v="13"/>
    <x v="7"/>
    <d v="2023-06-19T00:00:00"/>
    <x v="1"/>
    <x v="4"/>
    <x v="16"/>
    <x v="2"/>
    <x v="2"/>
    <x v="12"/>
    <x v="4"/>
    <x v="196"/>
    <n v="1161.2"/>
    <n v="878.73"/>
    <n v="0.19"/>
    <n v="31"/>
    <s v="H. Kim"/>
    <s v="Delhi"/>
    <s v="Marketplace"/>
    <n v="878.73"/>
    <x v="193"/>
    <s v="OK"/>
    <d v="2023-06-19T00:00:00"/>
    <x v="16"/>
    <n v="22064.910300000003"/>
    <n v="27240.63"/>
    <n v="601062057.46548915"/>
    <n v="27240.63"/>
    <m/>
  </r>
  <r>
    <x v="197"/>
    <d v="2023-10-09T00:00:00"/>
    <x v="32"/>
    <x v="4"/>
    <d v="2023-10-26T00:00:00"/>
    <x v="1"/>
    <x v="9"/>
    <x v="20"/>
    <x v="3"/>
    <x v="2"/>
    <x v="0"/>
    <x v="0"/>
    <x v="197"/>
    <n v="1132.03"/>
    <n v="2137.21"/>
    <n v="0.35699999999999998"/>
    <n v="35"/>
    <s v="C. Otieno"/>
    <s v="Shanghai"/>
    <s v="Marketplace"/>
    <n v="2137.21"/>
    <x v="33"/>
    <s v="Suspicious"/>
    <d v="2023-10-26T00:00:00"/>
    <x v="11"/>
    <n v="48097.911050000002"/>
    <n v="74802.350000000006"/>
    <n v="3597836776.6309681"/>
    <n v="74802.350000000006"/>
    <m/>
  </r>
  <r>
    <x v="198"/>
    <d v="2025-05-27T00:00:00"/>
    <x v="8"/>
    <x v="6"/>
    <d v="2025-06-08T00:00:00"/>
    <x v="1"/>
    <x v="2"/>
    <x v="4"/>
    <x v="0"/>
    <x v="0"/>
    <x v="12"/>
    <x v="6"/>
    <x v="198"/>
    <n v="653.6"/>
    <n v="842.09"/>
    <n v="9.8000000000000004E-2"/>
    <n v="19"/>
    <s v="H. Kim"/>
    <s v="Osaka"/>
    <s v="Retail"/>
    <n v="842.09"/>
    <x v="194"/>
    <s v="OK"/>
    <d v="2025-06-08T00:00:00"/>
    <x v="7"/>
    <n v="14431.738420000001"/>
    <n v="15999.710000000001"/>
    <n v="230903629.51585823"/>
    <n v="15999.710000000001"/>
    <m/>
  </r>
  <r>
    <x v="199"/>
    <d v="2025-09-14T00:00:00"/>
    <x v="12"/>
    <x v="8"/>
    <d v="2025-09-23T00:00:00"/>
    <x v="0"/>
    <x v="11"/>
    <x v="31"/>
    <x v="2"/>
    <x v="1"/>
    <x v="14"/>
    <x v="0"/>
    <x v="199"/>
    <n v="1310.3"/>
    <n v="2875.8"/>
    <n v="8.3000000000000004E-2"/>
    <n v="5"/>
    <s v="D. Smith"/>
    <s v="Durban"/>
    <s v="Online"/>
    <n v="2875.8"/>
    <x v="195"/>
    <s v="OK"/>
    <d v="2025-09-23T00:00:00"/>
    <x v="23"/>
    <n v="13185.543"/>
    <n v="14379"/>
    <n v="189594922.79699999"/>
    <n v="14379"/>
    <m/>
  </r>
  <r>
    <x v="200"/>
    <d v="2023-03-06T00:00:00"/>
    <x v="19"/>
    <x v="2"/>
    <d v="2023-04-04T00:00:00"/>
    <x v="1"/>
    <x v="9"/>
    <x v="34"/>
    <x v="4"/>
    <x v="4"/>
    <x v="0"/>
    <x v="5"/>
    <x v="200"/>
    <n v="1126.29"/>
    <n v="2050.87"/>
    <n v="6.4000000000000001E-2"/>
    <n v="7"/>
    <s v="C. Otieno"/>
    <s v="Beijing"/>
    <s v="Direct"/>
    <n v="2050.87"/>
    <x v="196"/>
    <s v="OK"/>
    <d v="2023-04-04T00:00:00"/>
    <x v="9"/>
    <n v="13437.300239999999"/>
    <n v="14356.09"/>
    <n v="192907091.60246158"/>
    <n v="14356.09"/>
    <m/>
  </r>
  <r>
    <x v="201"/>
    <d v="2024-12-20T00:00:00"/>
    <x v="6"/>
    <x v="1"/>
    <d v="2025-01-14T00:00:00"/>
    <x v="1"/>
    <x v="4"/>
    <x v="16"/>
    <x v="4"/>
    <x v="0"/>
    <x v="11"/>
    <x v="1"/>
    <x v="201"/>
    <n v="1361.34"/>
    <n v="1737.9"/>
    <n v="7.6999999999999999E-2"/>
    <n v="14"/>
    <s v="M. Rossi"/>
    <s v="Delhi"/>
    <s v="Retail"/>
    <n v="1737.9"/>
    <x v="197"/>
    <s v="OK"/>
    <d v="2025-01-14T00:00:00"/>
    <x v="2"/>
    <n v="22457.143800000002"/>
    <n v="24330.600000000002"/>
    <n v="546395782.94028008"/>
    <n v="24330.600000000002"/>
    <m/>
  </r>
  <r>
    <x v="202"/>
    <d v="2025-03-14T00:00:00"/>
    <x v="3"/>
    <x v="3"/>
    <d v="2025-04-08T00:00:00"/>
    <x v="1"/>
    <x v="9"/>
    <x v="39"/>
    <x v="0"/>
    <x v="3"/>
    <x v="14"/>
    <x v="1"/>
    <x v="202"/>
    <n v="80.59"/>
    <n v="157.82"/>
    <n v="0.217"/>
    <n v="6"/>
    <s v="D. Smith"/>
    <s v="Unknown City"/>
    <s v="Distributor"/>
    <n v="157.82"/>
    <x v="198"/>
    <s v="OK"/>
    <d v="2025-04-08T00:00:00"/>
    <x v="2"/>
    <n v="741.43835999999999"/>
    <n v="946.92"/>
    <n v="702082.81185119995"/>
    <n v="946.92"/>
    <m/>
  </r>
  <r>
    <x v="203"/>
    <d v="2024-01-16T00:00:00"/>
    <x v="9"/>
    <x v="0"/>
    <d v="2024-02-11T00:00:00"/>
    <x v="3"/>
    <x v="6"/>
    <x v="36"/>
    <x v="2"/>
    <x v="3"/>
    <x v="6"/>
    <x v="5"/>
    <x v="203"/>
    <n v="504.93"/>
    <n v="819.06"/>
    <n v="0.22600000000000001"/>
    <n v="15"/>
    <s v="E. Garcia"/>
    <s v="Frankfurt"/>
    <s v="Distributor"/>
    <n v="819.06"/>
    <x v="199"/>
    <s v="OK"/>
    <d v="2024-02-11T00:00:00"/>
    <x v="0"/>
    <n v="9509.2865999999995"/>
    <n v="12285.9"/>
    <n v="116830144.23893999"/>
    <n v="12285.9"/>
    <m/>
  </r>
  <r>
    <x v="204"/>
    <d v="2025-02-25T00:00:00"/>
    <x v="26"/>
    <x v="3"/>
    <d v="2025-03-17T00:00:00"/>
    <x v="2"/>
    <x v="10"/>
    <x v="21"/>
    <x v="2"/>
    <x v="2"/>
    <x v="12"/>
    <x v="3"/>
    <x v="204"/>
    <n v="1205.26"/>
    <n v="1696.35"/>
    <n v="1.9E-2"/>
    <n v="6"/>
    <s v="H. Kim"/>
    <s v="San Francisco"/>
    <s v="Marketplace"/>
    <n v="1696.35"/>
    <x v="200"/>
    <s v="OK"/>
    <d v="2025-03-17T00:00:00"/>
    <x v="8"/>
    <n v="9984.7160999999978"/>
    <n v="10178.099999999999"/>
    <n v="101625438.93740997"/>
    <n v="10178.099999999999"/>
    <m/>
  </r>
  <r>
    <x v="205"/>
    <d v="2024-08-18T00:00:00"/>
    <x v="22"/>
    <x v="9"/>
    <d v="2024-09-12T00:00:00"/>
    <x v="1"/>
    <x v="4"/>
    <x v="27"/>
    <x v="3"/>
    <x v="2"/>
    <x v="0"/>
    <x v="3"/>
    <x v="205"/>
    <n v="1154.03"/>
    <n v="1590.36"/>
    <n v="0.314"/>
    <n v="18"/>
    <s v="C. Otieno"/>
    <s v="Mumbai"/>
    <s v="Marketplace"/>
    <n v="1590.36"/>
    <x v="33"/>
    <s v="Suspicious"/>
    <d v="2024-09-12T00:00:00"/>
    <x v="2"/>
    <n v="19637.76528"/>
    <n v="28626.48"/>
    <n v="562160095.03261435"/>
    <n v="28626.48"/>
    <m/>
  </r>
  <r>
    <x v="206"/>
    <d v="2024-09-07T00:00:00"/>
    <x v="31"/>
    <x v="9"/>
    <d v="2024-09-18T00:00:00"/>
    <x v="1"/>
    <x v="9"/>
    <x v="34"/>
    <x v="3"/>
    <x v="3"/>
    <x v="7"/>
    <x v="2"/>
    <x v="206"/>
    <n v="181.74"/>
    <n v="190.84"/>
    <n v="0.214"/>
    <n v="13"/>
    <s v="O. Wang"/>
    <s v="Beijing"/>
    <s v="Distributor"/>
    <n v="190.84"/>
    <x v="201"/>
    <s v="OK"/>
    <d v="2024-09-18T00:00:00"/>
    <x v="21"/>
    <n v="1950.0031200000001"/>
    <n v="2480.92"/>
    <n v="4837801.7404704001"/>
    <n v="2480.92"/>
    <m/>
  </r>
  <r>
    <x v="207"/>
    <d v="2023-02-21T00:00:00"/>
    <x v="2"/>
    <x v="2"/>
    <d v="2023-03-12T00:00:00"/>
    <x v="0"/>
    <x v="0"/>
    <x v="24"/>
    <x v="0"/>
    <x v="1"/>
    <x v="9"/>
    <x v="2"/>
    <x v="207"/>
    <n v="352.65"/>
    <n v="485.86"/>
    <n v="4.1000000000000002E-2"/>
    <n v="6"/>
    <s v="F. Müller"/>
    <s v="Nakuru"/>
    <s v="Online"/>
    <n v="485.86"/>
    <x v="202"/>
    <s v="OK"/>
    <d v="2023-03-12T00:00:00"/>
    <x v="6"/>
    <n v="2795.6384399999997"/>
    <n v="2915.16"/>
    <n v="8149733.3547503985"/>
    <n v="2915.16"/>
    <m/>
  </r>
  <r>
    <x v="208"/>
    <d v="2023-05-17T00:00:00"/>
    <x v="13"/>
    <x v="7"/>
    <d v="2023-06-03T00:00:00"/>
    <x v="1"/>
    <x v="9"/>
    <x v="34"/>
    <x v="2"/>
    <x v="3"/>
    <x v="11"/>
    <x v="1"/>
    <x v="208"/>
    <n v="979.59"/>
    <n v="2210.94"/>
    <n v="0.15"/>
    <n v="11"/>
    <s v="M. Rossi"/>
    <s v="Beijing"/>
    <s v="Distributor"/>
    <n v="2210.94"/>
    <x v="203"/>
    <s v="OK"/>
    <d v="2023-06-03T00:00:00"/>
    <x v="11"/>
    <n v="20672.289000000001"/>
    <n v="24320.34"/>
    <n v="502757097.05826002"/>
    <n v="24320.34"/>
    <m/>
  </r>
  <r>
    <x v="209"/>
    <d v="2025-03-30T00:00:00"/>
    <x v="3"/>
    <x v="3"/>
    <d v="2025-04-29T00:00:00"/>
    <x v="0"/>
    <x v="11"/>
    <x v="31"/>
    <x v="3"/>
    <x v="2"/>
    <x v="1"/>
    <x v="5"/>
    <x v="209"/>
    <n v="194.6"/>
    <n v="314.87"/>
    <n v="0.29299999999999998"/>
    <n v="25"/>
    <s v="J. Njeri"/>
    <s v="Durban"/>
    <s v="Marketplace"/>
    <n v="314.87"/>
    <x v="204"/>
    <s v="OK"/>
    <d v="2025-04-29T00:00:00"/>
    <x v="16"/>
    <n v="5565.3272500000003"/>
    <n v="7871.75"/>
    <n v="43808864.780187503"/>
    <n v="7871.75"/>
    <m/>
  </r>
  <r>
    <x v="210"/>
    <d v="2023-07-22T00:00:00"/>
    <x v="23"/>
    <x v="10"/>
    <d v="2023-07-21T00:00:00"/>
    <x v="1"/>
    <x v="4"/>
    <x v="16"/>
    <x v="4"/>
    <x v="3"/>
    <x v="6"/>
    <x v="1"/>
    <x v="210"/>
    <n v="946.99"/>
    <n v="2132.19"/>
    <n v="0.16500000000000001"/>
    <n v="7"/>
    <s v="E. Garcia"/>
    <s v="Delhi"/>
    <s v="Distributor"/>
    <n v="2132.19"/>
    <x v="205"/>
    <s v="OK"/>
    <d v="2023-07-29T00:00:00"/>
    <x v="1"/>
    <n v="12462.65055"/>
    <n v="14925.33"/>
    <n v="186009172.13343149"/>
    <n v="14925.33"/>
    <m/>
  </r>
  <r>
    <x v="211"/>
    <d v="2023-05-24T00:00:00"/>
    <x v="13"/>
    <x v="7"/>
    <d v="2023-06-21T00:00:00"/>
    <x v="2"/>
    <x v="10"/>
    <x v="37"/>
    <x v="4"/>
    <x v="2"/>
    <x v="3"/>
    <x v="5"/>
    <x v="211"/>
    <n v="813.97"/>
    <n v="1568.83"/>
    <n v="1.7000000000000001E-2"/>
    <n v="15"/>
    <s v="G. Dubois"/>
    <s v="Austin"/>
    <s v="Marketplace"/>
    <n v="1568.83"/>
    <x v="206"/>
    <s v="OK"/>
    <d v="2023-06-21T00:00:00"/>
    <x v="24"/>
    <n v="23132.398349999996"/>
    <n v="23532.449999999997"/>
    <n v="544362007.55145729"/>
    <n v="23532.449999999993"/>
    <m/>
  </r>
  <r>
    <x v="212"/>
    <d v="2025-04-10T00:00:00"/>
    <x v="17"/>
    <x v="6"/>
    <d v="2025-04-19T00:00:00"/>
    <x v="0"/>
    <x v="11"/>
    <x v="31"/>
    <x v="5"/>
    <x v="5"/>
    <x v="3"/>
    <x v="2"/>
    <x v="212"/>
    <n v="113.74"/>
    <n v="165.7"/>
    <n v="0.124"/>
    <n v="13"/>
    <s v="G. Dubois"/>
    <s v="Durban"/>
    <s v="Unknown"/>
    <n v="165.7"/>
    <x v="207"/>
    <s v="OK"/>
    <d v="2025-04-19T00:00:00"/>
    <x v="23"/>
    <n v="1886.9915999999998"/>
    <n v="2154.1"/>
    <n v="4064768.6055599996"/>
    <n v="2154.1"/>
    <m/>
  </r>
  <r>
    <x v="213"/>
    <d v="2025-06-01T00:00:00"/>
    <x v="14"/>
    <x v="6"/>
    <d v="2025-06-05T00:00:00"/>
    <x v="3"/>
    <x v="6"/>
    <x v="19"/>
    <x v="5"/>
    <x v="4"/>
    <x v="11"/>
    <x v="0"/>
    <x v="213"/>
    <n v="1171.42"/>
    <n v="2187.8000000000002"/>
    <n v="0.23"/>
    <n v="15"/>
    <s v="M. Rossi"/>
    <s v="Munich"/>
    <s v="Direct"/>
    <n v="2187.8000000000002"/>
    <x v="208"/>
    <s v="OK"/>
    <d v="2025-06-05T00:00:00"/>
    <x v="3"/>
    <n v="25269.09"/>
    <n v="32817"/>
    <n v="829255726.52999997"/>
    <n v="32817"/>
    <m/>
  </r>
  <r>
    <x v="214"/>
    <d v="2025-03-23T00:00:00"/>
    <x v="3"/>
    <x v="3"/>
    <d v="2025-04-02T00:00:00"/>
    <x v="3"/>
    <x v="6"/>
    <x v="9"/>
    <x v="5"/>
    <x v="1"/>
    <x v="6"/>
    <x v="1"/>
    <x v="214"/>
    <n v="663.61"/>
    <n v="1002.11"/>
    <n v="4.5999999999999999E-2"/>
    <n v="17"/>
    <s v="E. Garcia"/>
    <s v="Berlin"/>
    <s v="Online"/>
    <n v="1002.11"/>
    <x v="209"/>
    <s v="OK"/>
    <d v="2025-04-02T00:00:00"/>
    <x v="30"/>
    <n v="16252.219979999998"/>
    <n v="17035.87"/>
    <n v="276870706.79068255"/>
    <n v="17035.87"/>
    <m/>
  </r>
  <r>
    <x v="215"/>
    <d v="2023-05-14T00:00:00"/>
    <x v="13"/>
    <x v="7"/>
    <d v="2023-05-22T00:00:00"/>
    <x v="0"/>
    <x v="0"/>
    <x v="22"/>
    <x v="4"/>
    <x v="3"/>
    <x v="9"/>
    <x v="1"/>
    <x v="215"/>
    <n v="432.01"/>
    <n v="913.78"/>
    <n v="4.9000000000000002E-2"/>
    <n v="12"/>
    <s v="F. Müller"/>
    <s v="Mombasa"/>
    <s v="Distributor"/>
    <n v="913.78"/>
    <x v="210"/>
    <s v="OK"/>
    <d v="2023-05-22T00:00:00"/>
    <x v="10"/>
    <n v="10428.057360000001"/>
    <n v="10965.36"/>
    <n v="114347403.05304961"/>
    <n v="10965.36"/>
    <m/>
  </r>
  <r>
    <x v="216"/>
    <d v="2023-10-25T00:00:00"/>
    <x v="32"/>
    <x v="4"/>
    <d v="2023-11-24T00:00:00"/>
    <x v="3"/>
    <x v="7"/>
    <x v="26"/>
    <x v="5"/>
    <x v="3"/>
    <x v="0"/>
    <x v="3"/>
    <x v="216"/>
    <n v="287.85000000000002"/>
    <n v="602.91999999999996"/>
    <n v="0.222"/>
    <n v="11"/>
    <s v="C. Otieno"/>
    <s v="Paris"/>
    <s v="Distributor"/>
    <n v="602.91999999999996"/>
    <x v="211"/>
    <s v="OK"/>
    <d v="2023-11-24T00:00:00"/>
    <x v="16"/>
    <n v="5159.7893599999998"/>
    <n v="6632.12"/>
    <n v="34220342.210243195"/>
    <n v="6632.119999999999"/>
    <m/>
  </r>
  <r>
    <x v="217"/>
    <d v="2025-09-08T00:00:00"/>
    <x v="12"/>
    <x v="8"/>
    <d v="2025-10-05T00:00:00"/>
    <x v="2"/>
    <x v="5"/>
    <x v="28"/>
    <x v="1"/>
    <x v="1"/>
    <x v="0"/>
    <x v="5"/>
    <x v="217"/>
    <n v="660.78"/>
    <n v="1630.39"/>
    <n v="0.218"/>
    <n v="13"/>
    <s v="C. Otieno"/>
    <s v="Rio de Janeiro"/>
    <s v="Online"/>
    <n v="1630.39"/>
    <x v="212"/>
    <s v="OK"/>
    <d v="2025-10-05T00:00:00"/>
    <x v="26"/>
    <n v="16574.544740000001"/>
    <n v="21195.07"/>
    <n v="351298635.98243183"/>
    <n v="21195.07"/>
    <m/>
  </r>
  <r>
    <x v="218"/>
    <d v="2023-05-10T00:00:00"/>
    <x v="13"/>
    <x v="7"/>
    <d v="2023-05-14T00:00:00"/>
    <x v="1"/>
    <x v="4"/>
    <x v="16"/>
    <x v="2"/>
    <x v="3"/>
    <x v="0"/>
    <x v="5"/>
    <x v="218"/>
    <n v="622.6"/>
    <n v="833.69"/>
    <n v="0.20899999999999999"/>
    <n v="14"/>
    <s v="C. Otieno"/>
    <s v="Delhi"/>
    <s v="Distributor"/>
    <n v="833.69"/>
    <x v="213"/>
    <s v="OK"/>
    <d v="2023-05-14T00:00:00"/>
    <x v="3"/>
    <n v="9232.2830599999998"/>
    <n v="11671.66"/>
    <n v="107756068.90007959"/>
    <n v="11671.66"/>
    <m/>
  </r>
  <r>
    <x v="219"/>
    <d v="2025-06-24T00:00:00"/>
    <x v="14"/>
    <x v="6"/>
    <d v="2025-07-14T00:00:00"/>
    <x v="0"/>
    <x v="11"/>
    <x v="18"/>
    <x v="5"/>
    <x v="2"/>
    <x v="1"/>
    <x v="4"/>
    <x v="219"/>
    <n v="1151.06"/>
    <n v="2821.36"/>
    <n v="0.248"/>
    <n v="20"/>
    <s v="J. Njeri"/>
    <s v="Johannesburg"/>
    <s v="Marketplace"/>
    <n v="2821.36"/>
    <x v="214"/>
    <s v="OK"/>
    <d v="2025-07-14T00:00:00"/>
    <x v="8"/>
    <n v="42433.254400000005"/>
    <n v="56427.200000000004"/>
    <n v="2394389732.6796803"/>
    <n v="56427.200000000004"/>
    <m/>
  </r>
  <r>
    <x v="220"/>
    <d v="2023-07-07T00:00:00"/>
    <x v="23"/>
    <x v="10"/>
    <d v="2023-07-13T00:00:00"/>
    <x v="0"/>
    <x v="11"/>
    <x v="32"/>
    <x v="4"/>
    <x v="2"/>
    <x v="5"/>
    <x v="6"/>
    <x v="220"/>
    <n v="612.59"/>
    <n v="1424.74"/>
    <n v="4.3999999999999997E-2"/>
    <n v="15"/>
    <s v="B. Chen"/>
    <s v="Cape Town"/>
    <s v="Marketplace"/>
    <n v="1424.74"/>
    <x v="215"/>
    <s v="OK"/>
    <d v="2023-07-13T00:00:00"/>
    <x v="29"/>
    <n v="20430.771599999996"/>
    <n v="21371.1"/>
    <n v="436628062.9407599"/>
    <n v="21371.1"/>
    <m/>
  </r>
  <r>
    <x v="221"/>
    <d v="2023-09-08T00:00:00"/>
    <x v="27"/>
    <x v="10"/>
    <d v="2023-10-02T00:00:00"/>
    <x v="2"/>
    <x v="3"/>
    <x v="5"/>
    <x v="1"/>
    <x v="4"/>
    <x v="8"/>
    <x v="6"/>
    <x v="221"/>
    <n v="1299.03"/>
    <n v="2451.2199999999998"/>
    <n v="0.20799999999999999"/>
    <n v="8"/>
    <s v="A. Patel"/>
    <s v="Toronto"/>
    <s v="Direct"/>
    <n v="2451.2199999999998"/>
    <x v="216"/>
    <s v="OK"/>
    <d v="2023-10-02T00:00:00"/>
    <x v="27"/>
    <n v="15530.929919999999"/>
    <n v="19609.759999999998"/>
    <n v="304557808.30801916"/>
    <n v="19609.759999999998"/>
    <m/>
  </r>
  <r>
    <x v="222"/>
    <d v="2025-05-14T00:00:00"/>
    <x v="8"/>
    <x v="6"/>
    <d v="2025-05-12T00:00:00"/>
    <x v="2"/>
    <x v="3"/>
    <x v="23"/>
    <x v="2"/>
    <x v="3"/>
    <x v="9"/>
    <x v="1"/>
    <x v="222"/>
    <n v="883.5"/>
    <n v="1978.91"/>
    <n v="5.3999999999999999E-2"/>
    <n v="27"/>
    <s v="F. Müller"/>
    <s v="Vancouver"/>
    <s v="Distributor"/>
    <n v="1978.91"/>
    <x v="217"/>
    <s v="OK"/>
    <d v="2025-05-21T00:00:00"/>
    <x v="1"/>
    <n v="50545.319219999998"/>
    <n v="53430.57"/>
    <n v="2700665216.7565551"/>
    <n v="53430.57"/>
    <m/>
  </r>
  <r>
    <x v="223"/>
    <d v="2025-06-19T00:00:00"/>
    <x v="14"/>
    <x v="6"/>
    <d v="2025-06-21T00:00:00"/>
    <x v="0"/>
    <x v="11"/>
    <x v="18"/>
    <x v="4"/>
    <x v="5"/>
    <x v="12"/>
    <x v="3"/>
    <x v="223"/>
    <n v="1466.27"/>
    <n v="3589.89"/>
    <n v="9.7000000000000003E-2"/>
    <n v="9"/>
    <s v="H. Kim"/>
    <s v="Johannesburg"/>
    <s v="Unknown"/>
    <n v="3589.89"/>
    <x v="218"/>
    <s v="OK"/>
    <d v="2025-06-21T00:00:00"/>
    <x v="22"/>
    <n v="29175.036029999999"/>
    <n v="32309.01"/>
    <n v="942616530.84363019"/>
    <n v="32309.01"/>
    <m/>
  </r>
  <r>
    <x v="224"/>
    <d v="2023-07-30T00:00:00"/>
    <x v="23"/>
    <x v="10"/>
    <d v="2023-08-19T00:00:00"/>
    <x v="3"/>
    <x v="7"/>
    <x v="26"/>
    <x v="5"/>
    <x v="2"/>
    <x v="3"/>
    <x v="2"/>
    <x v="224"/>
    <n v="1418.51"/>
    <n v="2789.61"/>
    <n v="0.17100000000000001"/>
    <n v="8"/>
    <s v="G. Dubois"/>
    <s v="Paris"/>
    <s v="Marketplace"/>
    <n v="2789.61"/>
    <x v="219"/>
    <s v="OK"/>
    <d v="2023-08-19T00:00:00"/>
    <x v="8"/>
    <n v="18500.693520000001"/>
    <n v="22316.880000000001"/>
    <n v="412877757.20261765"/>
    <n v="22316.880000000001"/>
    <m/>
  </r>
  <r>
    <x v="225"/>
    <d v="2025-03-11T00:00:00"/>
    <x v="3"/>
    <x v="3"/>
    <d v="2025-03-27T00:00:00"/>
    <x v="1"/>
    <x v="2"/>
    <x v="25"/>
    <x v="5"/>
    <x v="3"/>
    <x v="5"/>
    <x v="1"/>
    <x v="225"/>
    <n v="1317.58"/>
    <n v="1897.74"/>
    <n v="8.1000000000000003E-2"/>
    <n v="6"/>
    <s v="B. Chen"/>
    <s v="Tokyo"/>
    <s v="Distributor"/>
    <n v="1897.74"/>
    <x v="220"/>
    <s v="OK"/>
    <d v="2025-03-27T00:00:00"/>
    <x v="18"/>
    <n v="10464.138360000001"/>
    <n v="11386.44"/>
    <n v="119149283.58783841"/>
    <n v="11386.44"/>
    <m/>
  </r>
  <r>
    <x v="226"/>
    <d v="2023-12-07T00:00:00"/>
    <x v="4"/>
    <x v="4"/>
    <d v="2024-01-02T00:00:00"/>
    <x v="3"/>
    <x v="6"/>
    <x v="36"/>
    <x v="5"/>
    <x v="3"/>
    <x v="6"/>
    <x v="0"/>
    <x v="226"/>
    <n v="1071.99"/>
    <n v="2397.3000000000002"/>
    <n v="6.2E-2"/>
    <n v="18"/>
    <s v="E. Garcia"/>
    <s v="Frankfurt"/>
    <s v="Distributor"/>
    <n v="2397.3000000000002"/>
    <x v="221"/>
    <s v="OK"/>
    <d v="2024-01-02T00:00:00"/>
    <x v="0"/>
    <n v="40476.013200000001"/>
    <n v="43151.4"/>
    <n v="1746596635.9984801"/>
    <n v="43151.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831E60-644D-4261-9B9A-D243B03D65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27" firstHeaderRow="1" firstDataRow="1" firstDataCol="1"/>
  <pivotFields count="30">
    <pivotField showAll="0"/>
    <pivotField numFmtId="164" showAll="0"/>
    <pivotField showAll="0"/>
    <pivotField showAll="0"/>
    <pivotField numFmtId="164" showAll="0"/>
    <pivotField axis="axisRow" showAll="0">
      <items count="5">
        <item x="0"/>
        <item x="2"/>
        <item x="1"/>
        <item x="3"/>
        <item t="default"/>
      </items>
    </pivotField>
    <pivotField axis="axisRow" showAll="0">
      <items count="13">
        <item x="5"/>
        <item x="3"/>
        <item x="9"/>
        <item x="7"/>
        <item x="6"/>
        <item x="4"/>
        <item x="2"/>
        <item x="0"/>
        <item x="1"/>
        <item x="11"/>
        <item x="8"/>
        <item x="10"/>
        <item t="default"/>
      </items>
    </pivotField>
    <pivotField axis="axisRow" showAll="0">
      <items count="41">
        <item x="7"/>
        <item x="37"/>
        <item x="34"/>
        <item x="6"/>
        <item x="9"/>
        <item x="12"/>
        <item x="10"/>
        <item x="32"/>
        <item x="14"/>
        <item x="16"/>
        <item x="31"/>
        <item x="36"/>
        <item x="38"/>
        <item x="18"/>
        <item x="0"/>
        <item x="3"/>
        <item x="33"/>
        <item x="15"/>
        <item x="29"/>
        <item x="11"/>
        <item x="22"/>
        <item x="17"/>
        <item x="27"/>
        <item x="19"/>
        <item x="30"/>
        <item x="2"/>
        <item x="24"/>
        <item x="35"/>
        <item x="4"/>
        <item x="26"/>
        <item x="1"/>
        <item x="28"/>
        <item x="21"/>
        <item x="8"/>
        <item x="20"/>
        <item x="13"/>
        <item x="25"/>
        <item x="5"/>
        <item x="23"/>
        <item x="39"/>
        <item t="default"/>
      </items>
    </pivotField>
    <pivotField showAll="0"/>
    <pivotField showAll="0"/>
    <pivotField showAll="0"/>
    <pivotField showAll="0"/>
    <pivotField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f="1" x="227"/>
        <item f="1" x="228"/>
        <item f="1" x="229"/>
        <item f="1" x="230"/>
        <item f="1" x="231"/>
        <item f="1" x="232"/>
        <item f="1" x="233"/>
        <item f="1" x="234"/>
        <item f="1" x="235"/>
        <item f="1" x="236"/>
        <item f="1" x="237"/>
        <item f="1" x="238"/>
        <item f="1" x="239"/>
        <item f="1" x="240"/>
        <item f="1" x="241"/>
        <item f="1" x="242"/>
        <item f="1" x="243"/>
        <item f="1" x="244"/>
        <item f="1" x="245"/>
        <item f="1" x="246"/>
        <item f="1" x="247"/>
        <item f="1" x="248"/>
        <item f="1" x="249"/>
        <item f="1" x="250"/>
        <item f="1" x="251"/>
        <item f="1" x="252"/>
        <item f="1" x="253"/>
        <item f="1" x="254"/>
        <item f="1" x="255"/>
        <item f="1" x="256"/>
        <item f="1" x="257"/>
        <item f="1" x="258"/>
        <item f="1" x="259"/>
        <item f="1" x="260"/>
        <item f="1" x="261"/>
        <item f="1" x="262"/>
        <item f="1" x="263"/>
        <item f="1" x="264"/>
        <item f="1" x="265"/>
        <item f="1" x="266"/>
        <item f="1" x="267"/>
        <item f="1" x="268"/>
        <item f="1" x="269"/>
        <item f="1" x="270"/>
        <item f="1" x="271"/>
        <item f="1" x="272"/>
        <item f="1" x="273"/>
        <item f="1" x="274"/>
        <item f="1" x="275"/>
        <item f="1" x="276"/>
        <item f="1" x="277"/>
        <item f="1" x="278"/>
        <item f="1" x="279"/>
        <item f="1" x="280"/>
        <item f="1" x="281"/>
        <item f="1" x="282"/>
        <item f="1" x="283"/>
        <item f="1" x="284"/>
        <item f="1" x="285"/>
        <item f="1" x="286"/>
        <item f="1" x="287"/>
        <item f="1" x="288"/>
        <item f="1" x="289"/>
        <item f="1" x="290"/>
        <item f="1" x="291"/>
        <item f="1" x="292"/>
        <item f="1" x="293"/>
        <item f="1" x="294"/>
        <item f="1" x="295"/>
        <item f="1" x="296"/>
        <item f="1" x="297"/>
        <item f="1" x="298"/>
        <item f="1" x="299"/>
        <item f="1" x="300"/>
        <item f="1" x="301"/>
        <item f="1" x="302"/>
        <item f="1" x="303"/>
        <item f="1" x="304"/>
        <item f="1" x="305"/>
        <item f="1" x="306"/>
        <item f="1" x="307"/>
        <item f="1" x="308"/>
        <item f="1" x="309"/>
        <item f="1" x="310"/>
        <item f="1" x="311"/>
        <item f="1" x="312"/>
        <item f="1" x="313"/>
        <item f="1" x="314"/>
        <item f="1" x="315"/>
        <item f="1" x="316"/>
        <item f="1" x="317"/>
        <item f="1" x="318"/>
        <item f="1" x="319"/>
        <item f="1" x="320"/>
        <item f="1" x="321"/>
        <item f="1" x="322"/>
        <item f="1" x="323"/>
        <item f="1" x="324"/>
        <item f="1" x="325"/>
        <item f="1" x="326"/>
        <item f="1" x="327"/>
        <item f="1" x="328"/>
        <item f="1" x="329"/>
        <item f="1" x="330"/>
        <item f="1" x="331"/>
        <item f="1" x="332"/>
        <item f="1" x="333"/>
        <item f="1" x="334"/>
        <item f="1" x="335"/>
        <item f="1" x="336"/>
        <item f="1" x="337"/>
        <item f="1" x="338"/>
        <item f="1" x="339"/>
        <item f="1" x="340"/>
        <item f="1" x="341"/>
        <item f="1" x="342"/>
        <item f="1" x="343"/>
        <item f="1" x="344"/>
        <item f="1" x="345"/>
        <item f="1" x="346"/>
        <item f="1" x="347"/>
        <item f="1" x="348"/>
        <item f="1" x="349"/>
        <item f="1" x="350"/>
        <item f="1" x="351"/>
        <item f="1" x="352"/>
        <item f="1" x="353"/>
        <item f="1" x="354"/>
        <item f="1" x="355"/>
        <item f="1" x="356"/>
        <item f="1" x="357"/>
        <item f="1" x="358"/>
        <item f="1" x="359"/>
        <item f="1" x="360"/>
        <item f="1" x="361"/>
        <item f="1" x="362"/>
        <item f="1" x="363"/>
        <item f="1" x="364"/>
        <item f="1" x="365"/>
        <item f="1" x="366"/>
        <item f="1" x="367"/>
        <item f="1" x="368"/>
        <item f="1" x="369"/>
        <item f="1" x="370"/>
        <item f="1" x="371"/>
        <item f="1" x="372"/>
        <item f="1" x="373"/>
        <item f="1" x="374"/>
        <item f="1" x="375"/>
        <item f="1" x="376"/>
        <item f="1" x="377"/>
        <item f="1" x="378"/>
        <item f="1" x="379"/>
        <item f="1" x="380"/>
        <item f="1" x="381"/>
        <item f="1" x="382"/>
        <item f="1" x="383"/>
        <item f="1" x="384"/>
        <item f="1" x="385"/>
        <item f="1" x="386"/>
        <item f="1" x="387"/>
        <item f="1" x="388"/>
        <item f="1" x="389"/>
        <item f="1" x="390"/>
        <item f="1" x="391"/>
        <item f="1" x="392"/>
        <item f="1" x="393"/>
        <item f="1" x="394"/>
        <item f="1" x="395"/>
        <item f="1" x="396"/>
        <item f="1" x="397"/>
        <item f="1" x="398"/>
        <item f="1" x="399"/>
        <item f="1" x="400"/>
        <item f="1" x="401"/>
        <item f="1" x="402"/>
        <item f="1" x="403"/>
        <item f="1" x="404"/>
        <item f="1" x="405"/>
        <item f="1" x="406"/>
        <item f="1" x="407"/>
        <item f="1" x="408"/>
        <item f="1" x="409"/>
        <item f="1" x="410"/>
        <item f="1" x="411"/>
        <item f="1" x="412"/>
        <item f="1" x="413"/>
        <item f="1" x="414"/>
        <item f="1" x="415"/>
        <item f="1" x="416"/>
        <item f="1" x="417"/>
        <item f="1" x="418"/>
        <item f="1" x="419"/>
        <item f="1" x="420"/>
        <item f="1" x="421"/>
        <item f="1" x="422"/>
        <item f="1" x="423"/>
        <item f="1" x="424"/>
        <item f="1" x="425"/>
        <item f="1" x="426"/>
        <item f="1" x="427"/>
        <item f="1" x="428"/>
        <item f="1" x="429"/>
        <item f="1" x="430"/>
        <item f="1" x="431"/>
        <item f="1" x="432"/>
        <item f="1" x="433"/>
        <item f="1" x="434"/>
        <item f="1" x="435"/>
        <item f="1" x="436"/>
        <item f="1" x="437"/>
        <item f="1" x="438"/>
        <item f="1" x="439"/>
        <item f="1" x="440"/>
        <item f="1" x="441"/>
        <item f="1" x="442"/>
        <item f="1" x="443"/>
        <item f="1" x="444"/>
        <item f="1" x="445"/>
        <item f="1" x="446"/>
        <item f="1" x="447"/>
        <item f="1" x="448"/>
        <item f="1" x="449"/>
        <item f="1" x="450"/>
        <item f="1" x="451"/>
        <item f="1" x="452"/>
        <item f="1" x="453"/>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numFmtId="14" showAll="0"/>
    <pivotField showAll="0"/>
    <pivotField numFmtId="166" showAll="0"/>
    <pivotField numFmtId="4" showAll="0"/>
    <pivotField numFmtId="4" showAll="0"/>
    <pivotField numFmtId="10" showAll="0"/>
    <pivotField showAll="0"/>
  </pivotFields>
  <rowFields count="3">
    <field x="7"/>
    <field x="5"/>
    <field x="6"/>
  </rowFields>
  <rowItems count="124">
    <i>
      <x/>
    </i>
    <i r="1">
      <x/>
    </i>
    <i r="2">
      <x v="8"/>
    </i>
    <i>
      <x v="1"/>
    </i>
    <i r="1">
      <x v="1"/>
    </i>
    <i r="2">
      <x v="11"/>
    </i>
    <i>
      <x v="2"/>
    </i>
    <i r="1">
      <x v="2"/>
    </i>
    <i r="2">
      <x v="2"/>
    </i>
    <i>
      <x v="3"/>
    </i>
    <i r="1">
      <x v="2"/>
    </i>
    <i r="2">
      <x v="5"/>
    </i>
    <i>
      <x v="4"/>
    </i>
    <i r="1">
      <x v="3"/>
    </i>
    <i r="2">
      <x v="4"/>
    </i>
    <i>
      <x v="5"/>
    </i>
    <i r="1">
      <x v="3"/>
    </i>
    <i r="2">
      <x v="10"/>
    </i>
    <i>
      <x v="6"/>
    </i>
    <i r="1">
      <x v="1"/>
    </i>
    <i r="2">
      <x/>
    </i>
    <i>
      <x v="7"/>
    </i>
    <i r="1">
      <x/>
    </i>
    <i r="2">
      <x v="9"/>
    </i>
    <i>
      <x v="8"/>
    </i>
    <i r="1">
      <x v="1"/>
    </i>
    <i r="2">
      <x v="11"/>
    </i>
    <i>
      <x v="9"/>
    </i>
    <i r="1">
      <x v="2"/>
    </i>
    <i r="2">
      <x v="5"/>
    </i>
    <i>
      <x v="10"/>
    </i>
    <i r="1">
      <x/>
    </i>
    <i r="2">
      <x v="9"/>
    </i>
    <i>
      <x v="11"/>
    </i>
    <i r="1">
      <x v="3"/>
    </i>
    <i r="2">
      <x v="4"/>
    </i>
    <i>
      <x v="12"/>
    </i>
    <i r="1">
      <x v="2"/>
    </i>
    <i r="2">
      <x v="5"/>
    </i>
    <i>
      <x v="13"/>
    </i>
    <i r="1">
      <x/>
    </i>
    <i r="2">
      <x v="9"/>
    </i>
    <i>
      <x v="14"/>
    </i>
    <i r="1">
      <x/>
    </i>
    <i r="2">
      <x v="7"/>
    </i>
    <i>
      <x v="15"/>
    </i>
    <i r="1">
      <x/>
    </i>
    <i r="2">
      <x v="8"/>
    </i>
    <i>
      <x v="16"/>
    </i>
    <i r="1">
      <x v="3"/>
    </i>
    <i r="2">
      <x v="10"/>
    </i>
    <i>
      <x v="17"/>
    </i>
    <i r="1">
      <x v="3"/>
    </i>
    <i r="2">
      <x v="3"/>
    </i>
    <i>
      <x v="18"/>
    </i>
    <i r="1">
      <x v="3"/>
    </i>
    <i r="2">
      <x v="10"/>
    </i>
    <i>
      <x v="19"/>
    </i>
    <i r="1">
      <x v="3"/>
    </i>
    <i r="2">
      <x v="3"/>
    </i>
    <i>
      <x v="20"/>
    </i>
    <i r="1">
      <x/>
    </i>
    <i r="2">
      <x v="7"/>
    </i>
    <i>
      <x v="21"/>
    </i>
    <i r="1">
      <x v="1"/>
    </i>
    <i r="2">
      <x v="1"/>
    </i>
    <i>
      <x v="22"/>
    </i>
    <i r="1">
      <x v="2"/>
    </i>
    <i r="2">
      <x v="5"/>
    </i>
    <i>
      <x v="23"/>
    </i>
    <i r="1">
      <x v="3"/>
    </i>
    <i r="2">
      <x v="4"/>
    </i>
    <i>
      <x v="24"/>
    </i>
    <i r="1">
      <x v="2"/>
    </i>
    <i r="2">
      <x v="6"/>
    </i>
    <i>
      <x v="25"/>
    </i>
    <i r="1">
      <x/>
    </i>
    <i r="2">
      <x v="7"/>
    </i>
    <i>
      <x v="26"/>
    </i>
    <i r="1">
      <x/>
    </i>
    <i r="2">
      <x v="7"/>
    </i>
    <i>
      <x v="27"/>
    </i>
    <i r="1">
      <x v="1"/>
    </i>
    <i r="2">
      <x v="11"/>
    </i>
    <i>
      <x v="28"/>
    </i>
    <i r="1">
      <x v="2"/>
    </i>
    <i r="2">
      <x v="6"/>
    </i>
    <i>
      <x v="29"/>
    </i>
    <i r="1">
      <x v="3"/>
    </i>
    <i r="2">
      <x v="3"/>
    </i>
    <i>
      <x v="30"/>
    </i>
    <i r="1">
      <x/>
    </i>
    <i r="2">
      <x v="8"/>
    </i>
    <i>
      <x v="31"/>
    </i>
    <i r="1">
      <x v="1"/>
    </i>
    <i r="2">
      <x/>
    </i>
    <i>
      <x v="32"/>
    </i>
    <i r="1">
      <x v="1"/>
    </i>
    <i r="2">
      <x v="11"/>
    </i>
    <i>
      <x v="33"/>
    </i>
    <i r="1">
      <x v="1"/>
    </i>
    <i r="2">
      <x/>
    </i>
    <i>
      <x v="34"/>
    </i>
    <i r="1">
      <x v="2"/>
    </i>
    <i r="2">
      <x v="2"/>
    </i>
    <i>
      <x v="35"/>
    </i>
    <i r="1">
      <x v="2"/>
    </i>
    <i r="2">
      <x v="2"/>
    </i>
    <i>
      <x v="36"/>
    </i>
    <i r="1">
      <x v="2"/>
    </i>
    <i r="2">
      <x v="6"/>
    </i>
    <i>
      <x v="37"/>
    </i>
    <i r="1">
      <x v="1"/>
    </i>
    <i r="2">
      <x v="1"/>
    </i>
    <i>
      <x v="38"/>
    </i>
    <i r="1">
      <x v="1"/>
    </i>
    <i r="2">
      <x v="1"/>
    </i>
    <i>
      <x v="39"/>
    </i>
    <i r="1">
      <x v="1"/>
    </i>
    <i r="2">
      <x/>
    </i>
    <i r="1">
      <x v="2"/>
    </i>
    <i r="2">
      <x v="2"/>
    </i>
    <i r="2">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ED2DEB-EBD7-4799-80C6-EE6B120B2C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7" firstHeaderRow="1" firstDataRow="1" firstDataCol="1"/>
  <pivotFields count="30">
    <pivotField showAll="0"/>
    <pivotField numFmtId="164" showAll="0"/>
    <pivotField axis="axisRow" showAll="0">
      <items count="34">
        <item x="11"/>
        <item x="20"/>
        <item x="17"/>
        <item x="25"/>
        <item x="22"/>
        <item x="28"/>
        <item x="4"/>
        <item x="6"/>
        <item x="2"/>
        <item x="30"/>
        <item x="26"/>
        <item x="5"/>
        <item x="9"/>
        <item x="10"/>
        <item x="23"/>
        <item x="16"/>
        <item x="18"/>
        <item x="21"/>
        <item x="15"/>
        <item x="14"/>
        <item x="19"/>
        <item x="0"/>
        <item x="3"/>
        <item x="13"/>
        <item x="7"/>
        <item x="8"/>
        <item x="29"/>
        <item x="24"/>
        <item x="32"/>
        <item x="1"/>
        <item x="27"/>
        <item x="31"/>
        <item x="12"/>
        <item t="default"/>
      </items>
    </pivotField>
    <pivotField showAll="0"/>
    <pivotField numFmtId="164"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f="1" x="227"/>
        <item f="1" x="228"/>
        <item f="1" x="229"/>
        <item f="1" x="230"/>
        <item f="1" x="231"/>
        <item f="1" x="232"/>
        <item f="1" x="233"/>
        <item f="1" x="234"/>
        <item f="1" x="235"/>
        <item f="1" x="236"/>
        <item f="1" x="237"/>
        <item f="1" x="238"/>
        <item f="1" x="239"/>
        <item f="1" x="240"/>
        <item f="1" x="241"/>
        <item f="1" x="242"/>
        <item f="1" x="243"/>
        <item f="1" x="244"/>
        <item f="1" x="245"/>
        <item f="1" x="246"/>
        <item f="1" x="247"/>
        <item f="1" x="248"/>
        <item f="1" x="249"/>
        <item f="1" x="250"/>
        <item f="1" x="251"/>
        <item f="1" x="252"/>
        <item f="1" x="253"/>
        <item f="1" x="254"/>
        <item f="1" x="255"/>
        <item f="1" x="256"/>
        <item f="1" x="257"/>
        <item f="1" x="258"/>
        <item f="1" x="259"/>
        <item f="1" x="260"/>
        <item f="1" x="261"/>
        <item f="1" x="262"/>
        <item f="1" x="263"/>
        <item f="1" x="264"/>
        <item f="1" x="265"/>
        <item f="1" x="266"/>
        <item f="1" x="267"/>
        <item f="1" x="268"/>
        <item f="1" x="269"/>
        <item f="1" x="270"/>
        <item f="1" x="271"/>
        <item f="1" x="272"/>
        <item f="1" x="273"/>
        <item f="1" x="274"/>
        <item f="1" x="275"/>
        <item f="1" x="276"/>
        <item f="1" x="277"/>
        <item f="1" x="278"/>
        <item f="1" x="279"/>
        <item f="1" x="280"/>
        <item f="1" x="281"/>
        <item f="1" x="282"/>
        <item f="1" x="283"/>
        <item f="1" x="284"/>
        <item f="1" x="285"/>
        <item f="1" x="286"/>
        <item f="1" x="287"/>
        <item f="1" x="288"/>
        <item f="1" x="289"/>
        <item f="1" x="290"/>
        <item f="1" x="291"/>
        <item f="1" x="292"/>
        <item f="1" x="293"/>
        <item f="1" x="294"/>
        <item f="1" x="295"/>
        <item f="1" x="296"/>
        <item f="1" x="297"/>
        <item f="1" x="298"/>
        <item f="1" x="299"/>
        <item f="1" x="300"/>
        <item f="1" x="301"/>
        <item f="1" x="302"/>
        <item f="1" x="303"/>
        <item f="1" x="304"/>
        <item f="1" x="305"/>
        <item f="1" x="306"/>
        <item f="1" x="307"/>
        <item f="1" x="308"/>
        <item f="1" x="309"/>
        <item f="1" x="310"/>
        <item f="1" x="311"/>
        <item f="1" x="312"/>
        <item f="1" x="313"/>
        <item f="1" x="314"/>
        <item f="1" x="315"/>
        <item f="1" x="316"/>
        <item f="1" x="317"/>
        <item f="1" x="318"/>
        <item f="1" x="319"/>
        <item f="1" x="320"/>
        <item f="1" x="321"/>
        <item f="1" x="322"/>
        <item f="1" x="323"/>
        <item f="1" x="324"/>
        <item f="1" x="325"/>
        <item f="1" x="326"/>
        <item f="1" x="327"/>
        <item f="1" x="328"/>
        <item f="1" x="329"/>
        <item f="1" x="330"/>
        <item f="1" x="331"/>
        <item f="1" x="332"/>
        <item f="1" x="333"/>
        <item f="1" x="334"/>
        <item f="1" x="335"/>
        <item f="1" x="336"/>
        <item f="1" x="337"/>
        <item f="1" x="338"/>
        <item f="1" x="339"/>
        <item f="1" x="340"/>
        <item f="1" x="341"/>
        <item f="1" x="342"/>
        <item f="1" x="343"/>
        <item f="1" x="344"/>
        <item f="1" x="345"/>
        <item f="1" x="346"/>
        <item f="1" x="347"/>
        <item f="1" x="348"/>
        <item f="1" x="349"/>
        <item f="1" x="350"/>
        <item f="1" x="351"/>
        <item f="1" x="352"/>
        <item f="1" x="353"/>
        <item f="1" x="354"/>
        <item f="1" x="355"/>
        <item f="1" x="356"/>
        <item f="1" x="357"/>
        <item f="1" x="358"/>
        <item f="1" x="359"/>
        <item f="1" x="360"/>
        <item f="1" x="361"/>
        <item f="1" x="362"/>
        <item f="1" x="363"/>
        <item f="1" x="364"/>
        <item f="1" x="365"/>
        <item f="1" x="366"/>
        <item f="1" x="367"/>
        <item f="1" x="368"/>
        <item f="1" x="369"/>
        <item f="1" x="370"/>
        <item f="1" x="371"/>
        <item f="1" x="372"/>
        <item f="1" x="373"/>
        <item f="1" x="374"/>
        <item f="1" x="375"/>
        <item f="1" x="376"/>
        <item f="1" x="377"/>
        <item f="1" x="378"/>
        <item f="1" x="379"/>
        <item f="1" x="380"/>
        <item f="1" x="381"/>
        <item f="1" x="382"/>
        <item f="1" x="383"/>
        <item f="1" x="384"/>
        <item f="1" x="385"/>
        <item f="1" x="386"/>
        <item f="1" x="387"/>
        <item f="1" x="388"/>
        <item f="1" x="389"/>
        <item f="1" x="390"/>
        <item f="1" x="391"/>
        <item f="1" x="392"/>
        <item f="1" x="393"/>
        <item f="1" x="394"/>
        <item f="1" x="395"/>
        <item f="1" x="396"/>
        <item f="1" x="397"/>
        <item f="1" x="398"/>
        <item f="1" x="399"/>
        <item f="1" x="400"/>
        <item f="1" x="401"/>
        <item f="1" x="402"/>
        <item f="1" x="403"/>
        <item f="1" x="404"/>
        <item f="1" x="405"/>
        <item f="1" x="406"/>
        <item f="1" x="407"/>
        <item f="1" x="408"/>
        <item f="1" x="409"/>
        <item f="1" x="410"/>
        <item f="1" x="411"/>
        <item f="1" x="412"/>
        <item f="1" x="413"/>
        <item f="1" x="414"/>
        <item f="1" x="415"/>
        <item f="1" x="416"/>
        <item f="1" x="417"/>
        <item f="1" x="418"/>
        <item f="1" x="419"/>
        <item f="1" x="420"/>
        <item f="1" x="421"/>
        <item f="1" x="422"/>
        <item f="1" x="423"/>
        <item f="1" x="424"/>
        <item f="1" x="425"/>
        <item f="1" x="426"/>
        <item f="1" x="427"/>
        <item f="1" x="428"/>
        <item f="1" x="429"/>
        <item f="1" x="430"/>
        <item f="1" x="431"/>
        <item f="1" x="432"/>
        <item f="1" x="433"/>
        <item f="1" x="434"/>
        <item f="1" x="435"/>
        <item f="1" x="436"/>
        <item f="1" x="437"/>
        <item f="1" x="438"/>
        <item f="1" x="439"/>
        <item f="1" x="440"/>
        <item f="1" x="441"/>
        <item f="1" x="442"/>
        <item f="1" x="443"/>
        <item f="1" x="444"/>
        <item f="1" x="445"/>
        <item f="1" x="446"/>
        <item f="1" x="447"/>
        <item f="1" x="448"/>
        <item f="1" x="449"/>
        <item f="1" x="450"/>
        <item f="1" x="451"/>
        <item f="1" x="452"/>
        <item f="1" x="453"/>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numFmtId="14" showAll="0"/>
    <pivotField showAll="0"/>
    <pivotField dataField="1" numFmtId="166" showAll="0"/>
    <pivotField numFmtId="4" showAll="0"/>
    <pivotField numFmtId="4" showAll="0"/>
    <pivotField numFmtId="10" showAll="0"/>
    <pivotField showAll="0"/>
  </pivotFields>
  <rowFields count="2">
    <field x="6"/>
    <field x="2"/>
  </rowFields>
  <rowItems count="194">
    <i>
      <x/>
    </i>
    <i r="1">
      <x v="1"/>
    </i>
    <i r="1">
      <x v="2"/>
    </i>
    <i r="1">
      <x v="3"/>
    </i>
    <i r="1">
      <x v="4"/>
    </i>
    <i r="1">
      <x v="6"/>
    </i>
    <i r="1">
      <x v="8"/>
    </i>
    <i r="1">
      <x v="9"/>
    </i>
    <i r="1">
      <x v="10"/>
    </i>
    <i r="1">
      <x v="14"/>
    </i>
    <i r="1">
      <x v="17"/>
    </i>
    <i r="1">
      <x v="18"/>
    </i>
    <i r="1">
      <x v="20"/>
    </i>
    <i r="1">
      <x v="22"/>
    </i>
    <i r="1">
      <x v="25"/>
    </i>
    <i r="1">
      <x v="27"/>
    </i>
    <i r="1">
      <x v="31"/>
    </i>
    <i r="1">
      <x v="32"/>
    </i>
    <i>
      <x v="1"/>
    </i>
    <i r="1">
      <x/>
    </i>
    <i r="1">
      <x v="3"/>
    </i>
    <i r="1">
      <x v="7"/>
    </i>
    <i r="1">
      <x v="8"/>
    </i>
    <i r="1">
      <x v="9"/>
    </i>
    <i r="1">
      <x v="11"/>
    </i>
    <i r="1">
      <x v="14"/>
    </i>
    <i r="1">
      <x v="16"/>
    </i>
    <i r="1">
      <x v="17"/>
    </i>
    <i r="1">
      <x v="18"/>
    </i>
    <i r="1">
      <x v="19"/>
    </i>
    <i r="1">
      <x v="21"/>
    </i>
    <i r="1">
      <x v="24"/>
    </i>
    <i r="1">
      <x v="25"/>
    </i>
    <i r="1">
      <x v="27"/>
    </i>
    <i r="1">
      <x v="30"/>
    </i>
    <i r="1">
      <x v="31"/>
    </i>
    <i>
      <x v="2"/>
    </i>
    <i r="1">
      <x/>
    </i>
    <i r="1">
      <x v="1"/>
    </i>
    <i r="1">
      <x v="5"/>
    </i>
    <i r="1">
      <x v="7"/>
    </i>
    <i r="1">
      <x v="9"/>
    </i>
    <i r="1">
      <x v="16"/>
    </i>
    <i r="1">
      <x v="17"/>
    </i>
    <i r="1">
      <x v="18"/>
    </i>
    <i r="1">
      <x v="19"/>
    </i>
    <i r="1">
      <x v="20"/>
    </i>
    <i r="1">
      <x v="21"/>
    </i>
    <i r="1">
      <x v="22"/>
    </i>
    <i r="1">
      <x v="23"/>
    </i>
    <i r="1">
      <x v="25"/>
    </i>
    <i r="1">
      <x v="28"/>
    </i>
    <i r="1">
      <x v="29"/>
    </i>
    <i r="1">
      <x v="31"/>
    </i>
    <i>
      <x v="3"/>
    </i>
    <i r="1">
      <x v="1"/>
    </i>
    <i r="1">
      <x v="2"/>
    </i>
    <i r="1">
      <x v="6"/>
    </i>
    <i r="1">
      <x v="7"/>
    </i>
    <i r="1">
      <x v="8"/>
    </i>
    <i r="1">
      <x v="9"/>
    </i>
    <i r="1">
      <x v="13"/>
    </i>
    <i r="1">
      <x v="14"/>
    </i>
    <i r="1">
      <x v="19"/>
    </i>
    <i r="1">
      <x v="21"/>
    </i>
    <i r="1">
      <x v="24"/>
    </i>
    <i r="1">
      <x v="26"/>
    </i>
    <i r="1">
      <x v="27"/>
    </i>
    <i r="1">
      <x v="28"/>
    </i>
    <i>
      <x v="4"/>
    </i>
    <i r="1">
      <x/>
    </i>
    <i r="1">
      <x v="3"/>
    </i>
    <i r="1">
      <x v="4"/>
    </i>
    <i r="1">
      <x v="6"/>
    </i>
    <i r="1">
      <x v="7"/>
    </i>
    <i r="1">
      <x v="8"/>
    </i>
    <i r="1">
      <x v="9"/>
    </i>
    <i r="1">
      <x v="10"/>
    </i>
    <i r="1">
      <x v="12"/>
    </i>
    <i r="1">
      <x v="18"/>
    </i>
    <i r="1">
      <x v="19"/>
    </i>
    <i r="1">
      <x v="21"/>
    </i>
    <i r="1">
      <x v="22"/>
    </i>
    <i r="1">
      <x v="24"/>
    </i>
    <i r="1">
      <x v="25"/>
    </i>
    <i>
      <x v="5"/>
    </i>
    <i r="1">
      <x/>
    </i>
    <i r="1">
      <x v="2"/>
    </i>
    <i r="1">
      <x v="3"/>
    </i>
    <i r="1">
      <x v="4"/>
    </i>
    <i r="1">
      <x v="6"/>
    </i>
    <i r="1">
      <x v="7"/>
    </i>
    <i r="1">
      <x v="9"/>
    </i>
    <i r="1">
      <x v="10"/>
    </i>
    <i r="1">
      <x v="11"/>
    </i>
    <i r="1">
      <x v="12"/>
    </i>
    <i r="1">
      <x v="14"/>
    </i>
    <i r="1">
      <x v="20"/>
    </i>
    <i r="1">
      <x v="23"/>
    </i>
    <i r="1">
      <x v="26"/>
    </i>
    <i r="1">
      <x v="27"/>
    </i>
    <i r="1">
      <x v="28"/>
    </i>
    <i r="1">
      <x v="29"/>
    </i>
    <i r="1">
      <x v="30"/>
    </i>
    <i>
      <x v="6"/>
    </i>
    <i r="1">
      <x v="2"/>
    </i>
    <i r="1">
      <x v="6"/>
    </i>
    <i r="1">
      <x v="9"/>
    </i>
    <i r="1">
      <x v="10"/>
    </i>
    <i r="1">
      <x v="13"/>
    </i>
    <i r="1">
      <x v="17"/>
    </i>
    <i r="1">
      <x v="22"/>
    </i>
    <i r="1">
      <x v="23"/>
    </i>
    <i r="1">
      <x v="24"/>
    </i>
    <i r="1">
      <x v="25"/>
    </i>
    <i r="1">
      <x v="32"/>
    </i>
    <i>
      <x v="7"/>
    </i>
    <i r="1">
      <x/>
    </i>
    <i r="1">
      <x v="5"/>
    </i>
    <i r="1">
      <x v="6"/>
    </i>
    <i r="1">
      <x v="8"/>
    </i>
    <i r="1">
      <x v="9"/>
    </i>
    <i r="1">
      <x v="13"/>
    </i>
    <i r="1">
      <x v="14"/>
    </i>
    <i r="1">
      <x v="15"/>
    </i>
    <i r="1">
      <x v="18"/>
    </i>
    <i r="1">
      <x v="20"/>
    </i>
    <i r="1">
      <x v="21"/>
    </i>
    <i r="1">
      <x v="23"/>
    </i>
    <i r="1">
      <x v="25"/>
    </i>
    <i r="1">
      <x v="29"/>
    </i>
    <i r="1">
      <x v="32"/>
    </i>
    <i>
      <x v="8"/>
    </i>
    <i r="1">
      <x v="1"/>
    </i>
    <i r="1">
      <x v="11"/>
    </i>
    <i r="1">
      <x v="14"/>
    </i>
    <i r="1">
      <x v="19"/>
    </i>
    <i r="1">
      <x v="21"/>
    </i>
    <i r="1">
      <x v="22"/>
    </i>
    <i r="1">
      <x v="24"/>
    </i>
    <i r="1">
      <x v="29"/>
    </i>
    <i r="1">
      <x v="31"/>
    </i>
    <i>
      <x v="9"/>
    </i>
    <i r="1">
      <x v="1"/>
    </i>
    <i r="1">
      <x v="2"/>
    </i>
    <i r="1">
      <x v="3"/>
    </i>
    <i r="1">
      <x v="6"/>
    </i>
    <i r="1">
      <x v="8"/>
    </i>
    <i r="1">
      <x v="14"/>
    </i>
    <i r="1">
      <x v="16"/>
    </i>
    <i r="1">
      <x v="18"/>
    </i>
    <i r="1">
      <x v="19"/>
    </i>
    <i r="1">
      <x v="22"/>
    </i>
    <i r="1">
      <x v="23"/>
    </i>
    <i r="1">
      <x v="24"/>
    </i>
    <i r="1">
      <x v="25"/>
    </i>
    <i r="1">
      <x v="26"/>
    </i>
    <i r="1">
      <x v="29"/>
    </i>
    <i r="1">
      <x v="32"/>
    </i>
    <i>
      <x v="10"/>
    </i>
    <i r="1">
      <x/>
    </i>
    <i r="1">
      <x v="3"/>
    </i>
    <i r="1">
      <x v="4"/>
    </i>
    <i r="1">
      <x v="5"/>
    </i>
    <i r="1">
      <x v="10"/>
    </i>
    <i r="1">
      <x v="11"/>
    </i>
    <i r="1">
      <x v="13"/>
    </i>
    <i r="1">
      <x v="17"/>
    </i>
    <i r="1">
      <x v="18"/>
    </i>
    <i r="1">
      <x v="20"/>
    </i>
    <i r="1">
      <x v="22"/>
    </i>
    <i r="1">
      <x v="25"/>
    </i>
    <i r="1">
      <x v="26"/>
    </i>
    <i r="1">
      <x v="28"/>
    </i>
    <i r="1">
      <x v="32"/>
    </i>
    <i>
      <x v="11"/>
    </i>
    <i r="1">
      <x/>
    </i>
    <i r="1">
      <x v="2"/>
    </i>
    <i r="1">
      <x v="4"/>
    </i>
    <i r="1">
      <x v="7"/>
    </i>
    <i r="1">
      <x v="10"/>
    </i>
    <i r="1">
      <x v="11"/>
    </i>
    <i r="1">
      <x v="12"/>
    </i>
    <i r="1">
      <x v="13"/>
    </i>
    <i r="1">
      <x v="14"/>
    </i>
    <i r="1">
      <x v="15"/>
    </i>
    <i r="1">
      <x v="17"/>
    </i>
    <i r="1">
      <x v="21"/>
    </i>
    <i r="1">
      <x v="23"/>
    </i>
    <i r="1">
      <x v="24"/>
    </i>
    <i r="1">
      <x v="25"/>
    </i>
    <i r="1">
      <x v="28"/>
    </i>
    <i r="1">
      <x v="30"/>
    </i>
    <i t="grand">
      <x/>
    </i>
  </rowItems>
  <colItems count="1">
    <i/>
  </colItems>
  <dataFields count="1">
    <dataField name="Sum of GrossRevenue" fld="2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785FD8-28A5-44C1-A468-03EBC48CA7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8" firstHeaderRow="1" firstDataRow="1" firstDataCol="1"/>
  <pivotFields count="30">
    <pivotField showAll="0"/>
    <pivotField numFmtId="164" showAll="0"/>
    <pivotField showAll="0"/>
    <pivotField showAll="0"/>
    <pivotField numFmtId="164" showAll="0"/>
    <pivotField showAll="0"/>
    <pivotField showAll="0"/>
    <pivotField showAll="0"/>
    <pivotField showAll="0"/>
    <pivotField showAll="0"/>
    <pivotField showAll="0"/>
    <pivotField axis="axisRow" showAll="0" sortType="descending">
      <items count="8">
        <item x="6"/>
        <item x="0"/>
        <item x="4"/>
        <item x="5"/>
        <item x="2"/>
        <item x="3"/>
        <item x="1"/>
        <item t="default"/>
      </items>
      <autoSortScope>
        <pivotArea dataOnly="0" outline="0" fieldPosition="0">
          <references count="1">
            <reference field="4294967294" count="1" selected="0">
              <x v="0"/>
            </reference>
          </references>
        </pivotArea>
      </autoSortScope>
    </pivotField>
    <pivotField axis="axisRow"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h="1" f="1" x="227"/>
        <item h="1" f="1" x="236"/>
        <item h="1" f="1" x="326"/>
        <item h="1" f="1" x="327"/>
        <item h="1" f="1" x="328"/>
        <item h="1" f="1" x="329"/>
        <item h="1" f="1" x="330"/>
        <item h="1" f="1" x="331"/>
        <item h="1" f="1" x="332"/>
        <item h="1" f="1" x="333"/>
        <item h="1" f="1" x="334"/>
        <item h="1" f="1" x="335"/>
        <item h="1" f="1" x="237"/>
        <item h="1" f="1" x="336"/>
        <item h="1" f="1" x="337"/>
        <item h="1" f="1" x="338"/>
        <item h="1" f="1" x="339"/>
        <item h="1" f="1" x="340"/>
        <item h="1" f="1" x="341"/>
        <item h="1" f="1" x="342"/>
        <item h="1" f="1" x="343"/>
        <item h="1" f="1" x="344"/>
        <item h="1" f="1" x="345"/>
        <item h="1" f="1" x="238"/>
        <item h="1" f="1" x="346"/>
        <item h="1" f="1" x="347"/>
        <item h="1" f="1" x="348"/>
        <item h="1" f="1" x="349"/>
        <item h="1" f="1" x="350"/>
        <item h="1" f="1" x="351"/>
        <item h="1" f="1" x="352"/>
        <item h="1" f="1" x="353"/>
        <item h="1" f="1" x="354"/>
        <item h="1" f="1" x="355"/>
        <item h="1" f="1" x="239"/>
        <item h="1" f="1" x="356"/>
        <item h="1" f="1" x="357"/>
        <item h="1" f="1" x="358"/>
        <item h="1" f="1" x="359"/>
        <item h="1" f="1" x="360"/>
        <item h="1" f="1" x="361"/>
        <item h="1" f="1" x="362"/>
        <item h="1" f="1" x="363"/>
        <item h="1" f="1" x="364"/>
        <item h="1" f="1" x="365"/>
        <item h="1" f="1" x="240"/>
        <item h="1" f="1" x="366"/>
        <item h="1" f="1" x="367"/>
        <item h="1" f="1" x="368"/>
        <item h="1" f="1" x="369"/>
        <item h="1" f="1" x="370"/>
        <item h="1" f="1" x="371"/>
        <item h="1" f="1" x="372"/>
        <item h="1" f="1" x="373"/>
        <item h="1" f="1" x="374"/>
        <item h="1" f="1" x="375"/>
        <item h="1" f="1" x="241"/>
        <item h="1" f="1" x="376"/>
        <item h="1" f="1" x="377"/>
        <item h="1" f="1" x="378"/>
        <item h="1" f="1" x="379"/>
        <item h="1" f="1" x="380"/>
        <item h="1" f="1" x="381"/>
        <item h="1" f="1" x="382"/>
        <item h="1" f="1" x="383"/>
        <item h="1" f="1" x="384"/>
        <item h="1" f="1" x="385"/>
        <item h="1" f="1" x="242"/>
        <item h="1" f="1" x="386"/>
        <item h="1" f="1" x="387"/>
        <item h="1" f="1" x="388"/>
        <item h="1" f="1" x="389"/>
        <item h="1" f="1" x="390"/>
        <item h="1" f="1" x="391"/>
        <item h="1" f="1" x="392"/>
        <item h="1" f="1" x="393"/>
        <item h="1" f="1" x="394"/>
        <item h="1" f="1" x="395"/>
        <item h="1" f="1" x="243"/>
        <item h="1" f="1" x="396"/>
        <item h="1" f="1" x="397"/>
        <item h="1" f="1" x="398"/>
        <item h="1" f="1" x="399"/>
        <item h="1" f="1" x="400"/>
        <item h="1" f="1" x="401"/>
        <item h="1" f="1" x="402"/>
        <item h="1" f="1" x="403"/>
        <item h="1" f="1" x="404"/>
        <item h="1" f="1" x="405"/>
        <item h="1" f="1" x="244"/>
        <item h="1" f="1" x="406"/>
        <item h="1" f="1" x="407"/>
        <item h="1" f="1" x="408"/>
        <item h="1" f="1" x="409"/>
        <item h="1" f="1" x="410"/>
        <item h="1" f="1" x="411"/>
        <item h="1" f="1" x="412"/>
        <item h="1" f="1" x="413"/>
        <item h="1" f="1" x="414"/>
        <item h="1" f="1" x="415"/>
        <item h="1" f="1" x="245"/>
        <item h="1" f="1" x="416"/>
        <item h="1" f="1" x="417"/>
        <item h="1" f="1" x="418"/>
        <item h="1" f="1" x="419"/>
        <item h="1" f="1" x="420"/>
        <item h="1" f="1" x="421"/>
        <item h="1" f="1" x="422"/>
        <item h="1" f="1" x="423"/>
        <item h="1" f="1" x="424"/>
        <item h="1" f="1" x="425"/>
        <item h="1" f="1" x="228"/>
        <item h="1" f="1" x="246"/>
        <item h="1" f="1" x="426"/>
        <item h="1" f="1" x="427"/>
        <item h="1" f="1" x="428"/>
        <item h="1" f="1" x="429"/>
        <item h="1" f="1" x="430"/>
        <item h="1" f="1" x="431"/>
        <item h="1" f="1" x="432"/>
        <item h="1" f="1" x="433"/>
        <item h="1" f="1" x="434"/>
        <item h="1" f="1" x="435"/>
        <item h="1" f="1" x="247"/>
        <item h="1" f="1" x="436"/>
        <item h="1" f="1" x="437"/>
        <item h="1" f="1" x="438"/>
        <item h="1" f="1" x="439"/>
        <item h="1" f="1" x="440"/>
        <item h="1" f="1" x="441"/>
        <item h="1" f="1" x="442"/>
        <item h="1" f="1" x="443"/>
        <item h="1" f="1" x="444"/>
        <item h="1" f="1" x="445"/>
        <item h="1" f="1" x="248"/>
        <item h="1" f="1" x="446"/>
        <item h="1" f="1" x="447"/>
        <item h="1" f="1" x="448"/>
        <item h="1" f="1" x="449"/>
        <item h="1" f="1" x="450"/>
        <item h="1" f="1" x="451"/>
        <item h="1" f="1" x="452"/>
        <item h="1" f="1" x="453"/>
        <item h="1" f="1" x="249"/>
        <item h="1" f="1" x="250"/>
        <item h="1" f="1" x="251"/>
        <item h="1" f="1" x="252"/>
        <item h="1" f="1" x="253"/>
        <item h="1" f="1" x="254"/>
        <item h="1" f="1" x="255"/>
        <item h="1" f="1" x="229"/>
        <item h="1" f="1" x="256"/>
        <item h="1" f="1" x="257"/>
        <item h="1" f="1" x="258"/>
        <item h="1" f="1" x="259"/>
        <item h="1" f="1" x="260"/>
        <item h="1" f="1" x="261"/>
        <item h="1" f="1" x="262"/>
        <item h="1" f="1" x="263"/>
        <item h="1" f="1" x="264"/>
        <item h="1" f="1" x="265"/>
        <item h="1" f="1" x="230"/>
        <item h="1" f="1" x="266"/>
        <item h="1" f="1" x="267"/>
        <item h="1" f="1" x="268"/>
        <item h="1" f="1" x="269"/>
        <item h="1" f="1" x="270"/>
        <item h="1" f="1" x="271"/>
        <item h="1" f="1" x="272"/>
        <item h="1" f="1" x="273"/>
        <item h="1" f="1" x="274"/>
        <item h="1" f="1" x="275"/>
        <item h="1" f="1" x="231"/>
        <item h="1" f="1" x="276"/>
        <item h="1" f="1" x="277"/>
        <item h="1" f="1" x="278"/>
        <item h="1" f="1" x="279"/>
        <item h="1" f="1" x="280"/>
        <item h="1" f="1" x="281"/>
        <item h="1" f="1" x="282"/>
        <item h="1" f="1" x="283"/>
        <item h="1" f="1" x="284"/>
        <item h="1" f="1" x="285"/>
        <item h="1" f="1" x="232"/>
        <item h="1" f="1" x="286"/>
        <item h="1" f="1" x="287"/>
        <item h="1" f="1" x="288"/>
        <item h="1" f="1" x="289"/>
        <item h="1" f="1" x="290"/>
        <item h="1" f="1" x="291"/>
        <item h="1" f="1" x="292"/>
        <item h="1" f="1" x="293"/>
        <item h="1" f="1" x="294"/>
        <item h="1" f="1" x="295"/>
        <item h="1" f="1" x="233"/>
        <item h="1" f="1" x="296"/>
        <item h="1" f="1" x="297"/>
        <item h="1" f="1" x="298"/>
        <item h="1" f="1" x="299"/>
        <item h="1" f="1" x="300"/>
        <item h="1" f="1" x="301"/>
        <item h="1" f="1" x="302"/>
        <item h="1" f="1" x="303"/>
        <item h="1" f="1" x="304"/>
        <item h="1" f="1" x="305"/>
        <item h="1" f="1" x="234"/>
        <item h="1" f="1" x="306"/>
        <item h="1" f="1" x="307"/>
        <item h="1" f="1" x="308"/>
        <item h="1" f="1" x="309"/>
        <item h="1" f="1" x="310"/>
        <item h="1" f="1" x="311"/>
        <item h="1" f="1" x="312"/>
        <item h="1" f="1" x="313"/>
        <item h="1" f="1" x="314"/>
        <item h="1" f="1" x="315"/>
        <item h="1" f="1" x="235"/>
        <item h="1" f="1" x="316"/>
        <item h="1" f="1" x="317"/>
        <item h="1" f="1" x="318"/>
        <item h="1" f="1" x="319"/>
        <item h="1" f="1" x="320"/>
        <item h="1" f="1" x="321"/>
        <item h="1" f="1" x="322"/>
        <item h="1" f="1" x="323"/>
        <item h="1" f="1" x="324"/>
        <item h="1" f="1" x="325"/>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numFmtId="14" showAll="0"/>
    <pivotField showAll="0"/>
    <pivotField dataField="1" numFmtId="166" showAll="0"/>
    <pivotField numFmtId="4" showAll="0"/>
    <pivotField numFmtId="4" showAll="0"/>
    <pivotField numFmtId="10" showAll="0"/>
    <pivotField showAll="0"/>
  </pivotFields>
  <rowFields count="2">
    <field x="11"/>
    <field x="12"/>
  </rowFields>
  <rowItems count="235">
    <i>
      <x v="1"/>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x v="6"/>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x v="3"/>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x v="4"/>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x v="5"/>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x v="2"/>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t="grand">
      <x/>
    </i>
  </rowItems>
  <colItems count="1">
    <i/>
  </colItems>
  <dataFields count="1">
    <dataField name="Sum of GrossRevenue" fld="25" baseField="11"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387003-F5BF-49EE-953A-5F725EEB6FE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0" firstHeaderRow="0" firstDataRow="1" firstDataCol="1"/>
  <pivotFields count="30">
    <pivotField dataField="1" showAll="0">
      <items count="228">
        <item x="210"/>
        <item x="7"/>
        <item x="191"/>
        <item x="172"/>
        <item x="207"/>
        <item x="115"/>
        <item x="64"/>
        <item x="211"/>
        <item x="91"/>
        <item x="178"/>
        <item x="208"/>
        <item x="158"/>
        <item x="41"/>
        <item x="50"/>
        <item x="81"/>
        <item x="72"/>
        <item x="184"/>
        <item x="20"/>
        <item x="62"/>
        <item x="38"/>
        <item x="142"/>
        <item x="36"/>
        <item x="104"/>
        <item x="65"/>
        <item x="168"/>
        <item x="197"/>
        <item x="155"/>
        <item x="2"/>
        <item x="73"/>
        <item x="162"/>
        <item x="59"/>
        <item x="190"/>
        <item x="133"/>
        <item x="88"/>
        <item x="97"/>
        <item x="138"/>
        <item x="224"/>
        <item x="187"/>
        <item x="49"/>
        <item x="221"/>
        <item x="107"/>
        <item x="146"/>
        <item x="95"/>
        <item x="51"/>
        <item x="25"/>
        <item x="90"/>
        <item x="216"/>
        <item x="100"/>
        <item x="220"/>
        <item x="153"/>
        <item x="31"/>
        <item x="182"/>
        <item x="119"/>
        <item x="161"/>
        <item x="196"/>
        <item x="130"/>
        <item x="141"/>
        <item x="60"/>
        <item x="5"/>
        <item x="53"/>
        <item x="185"/>
        <item x="54"/>
        <item x="192"/>
        <item x="4"/>
        <item x="183"/>
        <item x="105"/>
        <item x="68"/>
        <item x="200"/>
        <item x="27"/>
        <item x="17"/>
        <item x="76"/>
        <item x="86"/>
        <item x="114"/>
        <item x="171"/>
        <item x="166"/>
        <item x="102"/>
        <item x="218"/>
        <item x="215"/>
        <item x="13"/>
        <item x="177"/>
        <item x="226"/>
        <item x="145"/>
        <item x="121"/>
        <item x="181"/>
        <item x="113"/>
        <item x="173"/>
        <item x="80"/>
        <item x="98"/>
        <item x="83"/>
        <item x="24"/>
        <item x="63"/>
        <item x="137"/>
        <item x="14"/>
        <item x="10"/>
        <item x="127"/>
        <item x="21"/>
        <item x="112"/>
        <item x="151"/>
        <item x="84"/>
        <item x="101"/>
        <item x="48"/>
        <item x="40"/>
        <item x="0"/>
        <item x="82"/>
        <item x="55"/>
        <item x="152"/>
        <item x="116"/>
        <item x="180"/>
        <item x="6"/>
        <item x="189"/>
        <item x="52"/>
        <item x="1"/>
        <item x="103"/>
        <item x="35"/>
        <item x="201"/>
        <item x="143"/>
        <item x="106"/>
        <item x="128"/>
        <item x="61"/>
        <item x="39"/>
        <item x="79"/>
        <item x="19"/>
        <item x="188"/>
        <item x="150"/>
        <item x="109"/>
        <item x="206"/>
        <item x="93"/>
        <item x="92"/>
        <item x="8"/>
        <item x="69"/>
        <item x="30"/>
        <item x="71"/>
        <item x="32"/>
        <item x="125"/>
        <item x="186"/>
        <item x="135"/>
        <item x="193"/>
        <item x="28"/>
        <item x="139"/>
        <item x="203"/>
        <item x="108"/>
        <item x="140"/>
        <item x="58"/>
        <item x="170"/>
        <item x="156"/>
        <item x="99"/>
        <item x="78"/>
        <item x="149"/>
        <item x="22"/>
        <item x="148"/>
        <item x="45"/>
        <item x="85"/>
        <item x="57"/>
        <item x="157"/>
        <item x="120"/>
        <item x="37"/>
        <item x="129"/>
        <item x="118"/>
        <item x="136"/>
        <item x="205"/>
        <item x="74"/>
        <item x="33"/>
        <item x="131"/>
        <item x="144"/>
        <item x="134"/>
        <item x="3"/>
        <item x="195"/>
        <item x="202"/>
        <item x="167"/>
        <item x="15"/>
        <item x="223"/>
        <item x="204"/>
        <item x="212"/>
        <item x="219"/>
        <item x="179"/>
        <item x="67"/>
        <item x="165"/>
        <item x="111"/>
        <item x="209"/>
        <item x="26"/>
        <item x="154"/>
        <item x="198"/>
        <item x="163"/>
        <item x="12"/>
        <item x="66"/>
        <item x="147"/>
        <item x="11"/>
        <item x="47"/>
        <item x="225"/>
        <item x="94"/>
        <item x="77"/>
        <item x="126"/>
        <item x="23"/>
        <item x="18"/>
        <item x="199"/>
        <item x="43"/>
        <item x="56"/>
        <item x="96"/>
        <item x="122"/>
        <item x="175"/>
        <item x="123"/>
        <item x="159"/>
        <item x="87"/>
        <item x="117"/>
        <item x="29"/>
        <item x="75"/>
        <item x="176"/>
        <item x="16"/>
        <item x="160"/>
        <item x="44"/>
        <item x="110"/>
        <item x="174"/>
        <item x="46"/>
        <item x="213"/>
        <item x="34"/>
        <item x="217"/>
        <item x="169"/>
        <item x="70"/>
        <item x="222"/>
        <item x="124"/>
        <item x="194"/>
        <item x="42"/>
        <item x="164"/>
        <item x="214"/>
        <item x="89"/>
        <item x="132"/>
        <item x="9"/>
        <item t="default"/>
      </items>
    </pivotField>
    <pivotField numFmtId="164" showAll="0"/>
    <pivotField showAll="0"/>
    <pivotField showAll="0"/>
    <pivotField numFmtId="164" showAll="0"/>
    <pivotField showAll="0"/>
    <pivotField showAll="0"/>
    <pivotField showAll="0"/>
    <pivotField showAll="0"/>
    <pivotField showAll="0"/>
    <pivotField axis="axisRow" showAll="0">
      <items count="17">
        <item x="8"/>
        <item x="5"/>
        <item x="0"/>
        <item x="14"/>
        <item x="6"/>
        <item x="9"/>
        <item x="3"/>
        <item x="12"/>
        <item x="2"/>
        <item x="1"/>
        <item x="10"/>
        <item x="4"/>
        <item x="11"/>
        <item x="13"/>
        <item x="7"/>
        <item x="15"/>
        <item t="default"/>
      </items>
    </pivotField>
    <pivotField showAll="0"/>
    <pivotField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f="1" x="227"/>
        <item f="1" x="236"/>
        <item f="1" x="326"/>
        <item f="1" x="327"/>
        <item f="1" x="328"/>
        <item f="1" x="329"/>
        <item f="1" x="330"/>
        <item f="1" x="331"/>
        <item f="1" x="332"/>
        <item f="1" x="333"/>
        <item f="1" x="334"/>
        <item f="1" x="335"/>
        <item f="1" x="237"/>
        <item f="1" x="336"/>
        <item f="1" x="337"/>
        <item f="1" x="338"/>
        <item f="1" x="339"/>
        <item f="1" x="340"/>
        <item f="1" x="341"/>
        <item f="1" x="342"/>
        <item f="1" x="343"/>
        <item f="1" x="344"/>
        <item f="1" x="345"/>
        <item f="1" x="238"/>
        <item f="1" x="346"/>
        <item f="1" x="347"/>
        <item f="1" x="348"/>
        <item f="1" x="349"/>
        <item f="1" x="350"/>
        <item f="1" x="351"/>
        <item f="1" x="352"/>
        <item f="1" x="353"/>
        <item f="1" x="354"/>
        <item f="1" x="355"/>
        <item f="1" x="239"/>
        <item f="1" x="356"/>
        <item f="1" x="357"/>
        <item f="1" x="358"/>
        <item f="1" x="359"/>
        <item f="1" x="360"/>
        <item f="1" x="361"/>
        <item f="1" x="362"/>
        <item f="1" x="363"/>
        <item f="1" x="364"/>
        <item f="1" x="365"/>
        <item f="1" x="240"/>
        <item f="1" x="366"/>
        <item f="1" x="367"/>
        <item f="1" x="368"/>
        <item f="1" x="369"/>
        <item f="1" x="370"/>
        <item f="1" x="371"/>
        <item f="1" x="372"/>
        <item f="1" x="373"/>
        <item f="1" x="374"/>
        <item f="1" x="375"/>
        <item f="1" x="241"/>
        <item f="1" x="376"/>
        <item f="1" x="377"/>
        <item f="1" x="378"/>
        <item f="1" x="379"/>
        <item f="1" x="380"/>
        <item f="1" x="381"/>
        <item f="1" x="382"/>
        <item f="1" x="383"/>
        <item f="1" x="384"/>
        <item f="1" x="385"/>
        <item f="1" x="242"/>
        <item f="1" x="386"/>
        <item f="1" x="387"/>
        <item f="1" x="388"/>
        <item f="1" x="389"/>
        <item f="1" x="390"/>
        <item f="1" x="391"/>
        <item f="1" x="392"/>
        <item f="1" x="393"/>
        <item f="1" x="394"/>
        <item f="1" x="395"/>
        <item f="1" x="243"/>
        <item f="1" x="396"/>
        <item f="1" x="397"/>
        <item f="1" x="398"/>
        <item f="1" x="399"/>
        <item f="1" x="400"/>
        <item f="1" x="401"/>
        <item f="1" x="402"/>
        <item f="1" x="403"/>
        <item f="1" x="404"/>
        <item f="1" x="405"/>
        <item f="1" x="244"/>
        <item f="1" x="406"/>
        <item f="1" x="407"/>
        <item f="1" x="408"/>
        <item f="1" x="409"/>
        <item f="1" x="410"/>
        <item f="1" x="411"/>
        <item f="1" x="412"/>
        <item f="1" x="413"/>
        <item f="1" x="414"/>
        <item f="1" x="415"/>
        <item f="1" x="245"/>
        <item f="1" x="416"/>
        <item f="1" x="417"/>
        <item f="1" x="418"/>
        <item f="1" x="419"/>
        <item f="1" x="420"/>
        <item f="1" x="421"/>
        <item f="1" x="422"/>
        <item f="1" x="423"/>
        <item f="1" x="424"/>
        <item f="1" x="425"/>
        <item f="1" x="228"/>
        <item f="1" x="246"/>
        <item f="1" x="426"/>
        <item f="1" x="427"/>
        <item f="1" x="428"/>
        <item f="1" x="429"/>
        <item f="1" x="430"/>
        <item f="1" x="431"/>
        <item f="1" x="432"/>
        <item f="1" x="433"/>
        <item f="1" x="434"/>
        <item f="1" x="435"/>
        <item f="1" x="247"/>
        <item f="1" x="436"/>
        <item f="1" x="437"/>
        <item f="1" x="438"/>
        <item f="1" x="439"/>
        <item f="1" x="440"/>
        <item f="1" x="441"/>
        <item f="1" x="442"/>
        <item f="1" x="443"/>
        <item f="1" x="444"/>
        <item f="1" x="445"/>
        <item f="1" x="248"/>
        <item f="1" x="446"/>
        <item f="1" x="447"/>
        <item f="1" x="448"/>
        <item f="1" x="449"/>
        <item f="1" x="450"/>
        <item f="1" x="451"/>
        <item f="1" x="452"/>
        <item f="1" x="453"/>
        <item f="1" x="249"/>
        <item f="1" x="250"/>
        <item f="1" x="251"/>
        <item f="1" x="252"/>
        <item f="1" x="253"/>
        <item f="1" x="254"/>
        <item f="1" x="255"/>
        <item f="1" x="229"/>
        <item f="1" x="256"/>
        <item f="1" x="257"/>
        <item f="1" x="258"/>
        <item f="1" x="259"/>
        <item f="1" x="260"/>
        <item f="1" x="261"/>
        <item f="1" x="262"/>
        <item f="1" x="263"/>
        <item f="1" x="264"/>
        <item f="1" x="265"/>
        <item f="1" x="230"/>
        <item f="1" x="266"/>
        <item f="1" x="267"/>
        <item f="1" x="268"/>
        <item f="1" x="269"/>
        <item f="1" x="270"/>
        <item f="1" x="271"/>
        <item f="1" x="272"/>
        <item f="1" x="273"/>
        <item f="1" x="274"/>
        <item f="1" x="275"/>
        <item f="1" x="231"/>
        <item f="1" x="276"/>
        <item f="1" x="277"/>
        <item f="1" x="278"/>
        <item f="1" x="279"/>
        <item f="1" x="280"/>
        <item f="1" x="281"/>
        <item f="1" x="282"/>
        <item f="1" x="283"/>
        <item f="1" x="284"/>
        <item f="1" x="285"/>
        <item f="1" x="232"/>
        <item f="1" x="286"/>
        <item f="1" x="287"/>
        <item f="1" x="288"/>
        <item f="1" x="289"/>
        <item f="1" x="290"/>
        <item f="1" x="291"/>
        <item f="1" x="292"/>
        <item f="1" x="293"/>
        <item f="1" x="294"/>
        <item f="1" x="295"/>
        <item f="1" x="233"/>
        <item f="1" x="296"/>
        <item f="1" x="297"/>
        <item f="1" x="298"/>
        <item f="1" x="299"/>
        <item f="1" x="300"/>
        <item f="1" x="301"/>
        <item f="1" x="302"/>
        <item f="1" x="303"/>
        <item f="1" x="304"/>
        <item f="1" x="305"/>
        <item f="1" x="234"/>
        <item f="1" x="306"/>
        <item f="1" x="307"/>
        <item f="1" x="308"/>
        <item f="1" x="309"/>
        <item f="1" x="310"/>
        <item f="1" x="311"/>
        <item f="1" x="312"/>
        <item f="1" x="313"/>
        <item f="1" x="314"/>
        <item f="1" x="315"/>
        <item f="1" x="235"/>
        <item f="1" x="316"/>
        <item f="1" x="317"/>
        <item f="1" x="318"/>
        <item f="1" x="319"/>
        <item f="1" x="320"/>
        <item f="1" x="321"/>
        <item f="1" x="322"/>
        <item f="1" x="323"/>
        <item f="1" x="324"/>
        <item f="1" x="325"/>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numFmtId="14" showAll="0"/>
    <pivotField showAll="0"/>
    <pivotField dataField="1" numFmtId="166" showAll="0"/>
    <pivotField numFmtId="4" showAll="0"/>
    <pivotField dataField="1" numFmtId="4" showAll="0"/>
    <pivotField numFmtId="10" showAll="0"/>
    <pivotField showAll="0"/>
  </pivotFields>
  <rowFields count="1">
    <field x="10"/>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Count of OrderID" fld="0" subtotal="count" baseField="10" baseItem="0"/>
    <dataField name="Sum of GrossRevenue" fld="25" baseField="0" baseItem="0" numFmtId="166"/>
    <dataField name="Sum of GrossProfit" fld="27" baseField="0" baseItem="0" numFmtId="4"/>
  </dataFields>
  <formats count="2">
    <format dxfId="33">
      <pivotArea field="10" type="button" dataOnly="0" labelOnly="1" outline="0" axis="axisRow" fieldPosition="0"/>
    </format>
    <format dxfId="3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CC919D-BBD9-490C-9B5C-D38B237FFCB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I21" firstHeaderRow="1" firstDataRow="2" firstDataCol="1"/>
  <pivotFields count="30">
    <pivotField dataField="1" showAll="0">
      <items count="228">
        <item x="210"/>
        <item x="7"/>
        <item x="191"/>
        <item x="172"/>
        <item x="207"/>
        <item x="115"/>
        <item x="64"/>
        <item x="211"/>
        <item x="91"/>
        <item x="178"/>
        <item x="208"/>
        <item x="158"/>
        <item x="41"/>
        <item x="50"/>
        <item x="81"/>
        <item x="72"/>
        <item x="184"/>
        <item x="20"/>
        <item x="62"/>
        <item x="38"/>
        <item x="142"/>
        <item x="36"/>
        <item x="104"/>
        <item x="65"/>
        <item x="168"/>
        <item x="197"/>
        <item x="155"/>
        <item x="2"/>
        <item x="73"/>
        <item x="162"/>
        <item x="59"/>
        <item x="190"/>
        <item x="133"/>
        <item x="88"/>
        <item x="97"/>
        <item x="138"/>
        <item x="224"/>
        <item x="187"/>
        <item x="49"/>
        <item x="221"/>
        <item x="107"/>
        <item x="146"/>
        <item x="95"/>
        <item x="51"/>
        <item x="25"/>
        <item x="90"/>
        <item x="216"/>
        <item x="100"/>
        <item x="220"/>
        <item x="153"/>
        <item x="31"/>
        <item x="182"/>
        <item x="119"/>
        <item x="161"/>
        <item x="196"/>
        <item x="130"/>
        <item x="141"/>
        <item x="60"/>
        <item x="5"/>
        <item x="53"/>
        <item x="185"/>
        <item x="54"/>
        <item x="192"/>
        <item x="4"/>
        <item x="183"/>
        <item x="105"/>
        <item x="68"/>
        <item x="200"/>
        <item x="27"/>
        <item x="17"/>
        <item x="76"/>
        <item x="86"/>
        <item x="114"/>
        <item x="171"/>
        <item x="166"/>
        <item x="102"/>
        <item x="218"/>
        <item x="215"/>
        <item x="13"/>
        <item x="177"/>
        <item x="226"/>
        <item x="145"/>
        <item x="121"/>
        <item x="181"/>
        <item x="113"/>
        <item x="173"/>
        <item x="80"/>
        <item x="98"/>
        <item x="83"/>
        <item x="24"/>
        <item x="63"/>
        <item x="137"/>
        <item x="14"/>
        <item x="10"/>
        <item x="127"/>
        <item x="21"/>
        <item x="112"/>
        <item x="151"/>
        <item x="84"/>
        <item x="101"/>
        <item x="48"/>
        <item x="40"/>
        <item x="0"/>
        <item x="82"/>
        <item x="55"/>
        <item x="152"/>
        <item x="116"/>
        <item x="180"/>
        <item x="6"/>
        <item x="189"/>
        <item x="52"/>
        <item x="1"/>
        <item x="103"/>
        <item x="35"/>
        <item x="201"/>
        <item x="143"/>
        <item x="106"/>
        <item x="128"/>
        <item x="61"/>
        <item x="39"/>
        <item x="79"/>
        <item x="19"/>
        <item x="188"/>
        <item x="150"/>
        <item x="109"/>
        <item x="206"/>
        <item x="93"/>
        <item x="92"/>
        <item x="8"/>
        <item x="69"/>
        <item x="30"/>
        <item x="71"/>
        <item x="32"/>
        <item x="125"/>
        <item x="186"/>
        <item x="135"/>
        <item x="193"/>
        <item x="28"/>
        <item x="139"/>
        <item x="203"/>
        <item x="108"/>
        <item x="140"/>
        <item x="58"/>
        <item x="170"/>
        <item x="156"/>
        <item x="99"/>
        <item x="78"/>
        <item x="149"/>
        <item x="22"/>
        <item x="148"/>
        <item x="45"/>
        <item x="85"/>
        <item x="57"/>
        <item x="157"/>
        <item x="120"/>
        <item x="37"/>
        <item x="129"/>
        <item x="118"/>
        <item x="136"/>
        <item x="205"/>
        <item x="74"/>
        <item x="33"/>
        <item x="131"/>
        <item x="144"/>
        <item x="134"/>
        <item x="3"/>
        <item x="195"/>
        <item x="202"/>
        <item x="167"/>
        <item x="15"/>
        <item x="223"/>
        <item x="204"/>
        <item x="212"/>
        <item x="219"/>
        <item x="179"/>
        <item x="67"/>
        <item x="165"/>
        <item x="111"/>
        <item x="209"/>
        <item x="26"/>
        <item x="154"/>
        <item x="198"/>
        <item x="163"/>
        <item x="12"/>
        <item x="66"/>
        <item x="147"/>
        <item x="11"/>
        <item x="47"/>
        <item x="225"/>
        <item x="94"/>
        <item x="77"/>
        <item x="126"/>
        <item x="23"/>
        <item x="18"/>
        <item x="199"/>
        <item x="43"/>
        <item x="56"/>
        <item x="96"/>
        <item x="122"/>
        <item x="175"/>
        <item x="123"/>
        <item x="159"/>
        <item x="87"/>
        <item x="117"/>
        <item x="29"/>
        <item x="75"/>
        <item x="176"/>
        <item x="16"/>
        <item x="160"/>
        <item x="44"/>
        <item x="110"/>
        <item x="174"/>
        <item x="46"/>
        <item x="213"/>
        <item x="34"/>
        <item x="217"/>
        <item x="169"/>
        <item x="70"/>
        <item x="222"/>
        <item x="124"/>
        <item x="194"/>
        <item x="42"/>
        <item x="164"/>
        <item x="214"/>
        <item x="89"/>
        <item x="132"/>
        <item x="9"/>
        <item t="default"/>
      </items>
    </pivotField>
    <pivotField numFmtId="164" showAll="0"/>
    <pivotField axis="axisCol" showAll="0">
      <items count="34">
        <item x="11"/>
        <item x="20"/>
        <item x="17"/>
        <item x="25"/>
        <item x="22"/>
        <item x="28"/>
        <item x="4"/>
        <item x="6"/>
        <item x="2"/>
        <item x="30"/>
        <item x="26"/>
        <item x="5"/>
        <item x="9"/>
        <item x="10"/>
        <item x="23"/>
        <item x="16"/>
        <item x="18"/>
        <item x="21"/>
        <item x="15"/>
        <item x="14"/>
        <item x="19"/>
        <item x="0"/>
        <item x="3"/>
        <item x="13"/>
        <item x="7"/>
        <item x="8"/>
        <item x="29"/>
        <item x="24"/>
        <item x="32"/>
        <item x="1"/>
        <item x="27"/>
        <item x="31"/>
        <item x="12"/>
        <item t="default"/>
      </items>
    </pivotField>
    <pivotField showAll="0"/>
    <pivotField numFmtId="164" showAll="0"/>
    <pivotField showAll="0"/>
    <pivotField showAll="0"/>
    <pivotField showAll="0"/>
    <pivotField showAll="0"/>
    <pivotField showAll="0"/>
    <pivotField axis="axisRow" showAll="0">
      <items count="17">
        <item x="8"/>
        <item x="5"/>
        <item x="0"/>
        <item x="14"/>
        <item x="6"/>
        <item x="9"/>
        <item x="3"/>
        <item x="12"/>
        <item x="2"/>
        <item x="1"/>
        <item x="10"/>
        <item x="4"/>
        <item x="11"/>
        <item x="13"/>
        <item x="7"/>
        <item x="15"/>
        <item t="default"/>
      </items>
    </pivotField>
    <pivotField showAll="0"/>
    <pivotField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f="1" x="227"/>
        <item f="1" x="236"/>
        <item f="1" x="326"/>
        <item f="1" x="327"/>
        <item f="1" x="328"/>
        <item f="1" x="329"/>
        <item f="1" x="330"/>
        <item f="1" x="331"/>
        <item f="1" x="332"/>
        <item f="1" x="333"/>
        <item f="1" x="334"/>
        <item f="1" x="335"/>
        <item f="1" x="237"/>
        <item f="1" x="336"/>
        <item f="1" x="337"/>
        <item f="1" x="338"/>
        <item f="1" x="339"/>
        <item f="1" x="340"/>
        <item f="1" x="341"/>
        <item f="1" x="342"/>
        <item f="1" x="343"/>
        <item f="1" x="344"/>
        <item f="1" x="345"/>
        <item f="1" x="238"/>
        <item f="1" x="346"/>
        <item f="1" x="347"/>
        <item f="1" x="348"/>
        <item f="1" x="349"/>
        <item f="1" x="350"/>
        <item f="1" x="351"/>
        <item f="1" x="352"/>
        <item f="1" x="353"/>
        <item f="1" x="354"/>
        <item f="1" x="355"/>
        <item f="1" x="239"/>
        <item f="1" x="356"/>
        <item f="1" x="357"/>
        <item f="1" x="358"/>
        <item f="1" x="359"/>
        <item f="1" x="360"/>
        <item f="1" x="361"/>
        <item f="1" x="362"/>
        <item f="1" x="363"/>
        <item f="1" x="364"/>
        <item f="1" x="365"/>
        <item f="1" x="240"/>
        <item f="1" x="366"/>
        <item f="1" x="367"/>
        <item f="1" x="368"/>
        <item f="1" x="369"/>
        <item f="1" x="370"/>
        <item f="1" x="371"/>
        <item f="1" x="372"/>
        <item f="1" x="373"/>
        <item f="1" x="374"/>
        <item f="1" x="375"/>
        <item f="1" x="241"/>
        <item f="1" x="376"/>
        <item f="1" x="377"/>
        <item f="1" x="378"/>
        <item f="1" x="379"/>
        <item f="1" x="380"/>
        <item f="1" x="381"/>
        <item f="1" x="382"/>
        <item f="1" x="383"/>
        <item f="1" x="384"/>
        <item f="1" x="385"/>
        <item f="1" x="242"/>
        <item f="1" x="386"/>
        <item f="1" x="387"/>
        <item f="1" x="388"/>
        <item f="1" x="389"/>
        <item f="1" x="390"/>
        <item f="1" x="391"/>
        <item f="1" x="392"/>
        <item f="1" x="393"/>
        <item f="1" x="394"/>
        <item f="1" x="395"/>
        <item f="1" x="243"/>
        <item f="1" x="396"/>
        <item f="1" x="397"/>
        <item f="1" x="398"/>
        <item f="1" x="399"/>
        <item f="1" x="400"/>
        <item f="1" x="401"/>
        <item f="1" x="402"/>
        <item f="1" x="403"/>
        <item f="1" x="404"/>
        <item f="1" x="405"/>
        <item f="1" x="244"/>
        <item f="1" x="406"/>
        <item f="1" x="407"/>
        <item f="1" x="408"/>
        <item f="1" x="409"/>
        <item f="1" x="410"/>
        <item f="1" x="411"/>
        <item f="1" x="412"/>
        <item f="1" x="413"/>
        <item f="1" x="414"/>
        <item f="1" x="415"/>
        <item f="1" x="245"/>
        <item f="1" x="416"/>
        <item f="1" x="417"/>
        <item f="1" x="418"/>
        <item f="1" x="419"/>
        <item f="1" x="420"/>
        <item f="1" x="421"/>
        <item f="1" x="422"/>
        <item f="1" x="423"/>
        <item f="1" x="424"/>
        <item f="1" x="425"/>
        <item f="1" x="228"/>
        <item f="1" x="246"/>
        <item f="1" x="426"/>
        <item f="1" x="427"/>
        <item f="1" x="428"/>
        <item f="1" x="429"/>
        <item f="1" x="430"/>
        <item f="1" x="431"/>
        <item f="1" x="432"/>
        <item f="1" x="433"/>
        <item f="1" x="434"/>
        <item f="1" x="435"/>
        <item f="1" x="247"/>
        <item f="1" x="436"/>
        <item f="1" x="437"/>
        <item f="1" x="438"/>
        <item f="1" x="439"/>
        <item f="1" x="440"/>
        <item f="1" x="441"/>
        <item f="1" x="442"/>
        <item f="1" x="443"/>
        <item f="1" x="444"/>
        <item f="1" x="445"/>
        <item f="1" x="248"/>
        <item f="1" x="446"/>
        <item f="1" x="447"/>
        <item f="1" x="448"/>
        <item f="1" x="449"/>
        <item f="1" x="450"/>
        <item f="1" x="451"/>
        <item f="1" x="452"/>
        <item f="1" x="453"/>
        <item f="1" x="249"/>
        <item f="1" x="250"/>
        <item f="1" x="251"/>
        <item f="1" x="252"/>
        <item f="1" x="253"/>
        <item f="1" x="254"/>
        <item f="1" x="255"/>
        <item f="1" x="229"/>
        <item f="1" x="256"/>
        <item f="1" x="257"/>
        <item f="1" x="258"/>
        <item f="1" x="259"/>
        <item f="1" x="260"/>
        <item f="1" x="261"/>
        <item f="1" x="262"/>
        <item f="1" x="263"/>
        <item f="1" x="264"/>
        <item f="1" x="265"/>
        <item f="1" x="230"/>
        <item f="1" x="266"/>
        <item f="1" x="267"/>
        <item f="1" x="268"/>
        <item f="1" x="269"/>
        <item f="1" x="270"/>
        <item f="1" x="271"/>
        <item f="1" x="272"/>
        <item f="1" x="273"/>
        <item f="1" x="274"/>
        <item f="1" x="275"/>
        <item f="1" x="231"/>
        <item f="1" x="276"/>
        <item f="1" x="277"/>
        <item f="1" x="278"/>
        <item f="1" x="279"/>
        <item f="1" x="280"/>
        <item f="1" x="281"/>
        <item f="1" x="282"/>
        <item f="1" x="283"/>
        <item f="1" x="284"/>
        <item f="1" x="285"/>
        <item f="1" x="232"/>
        <item f="1" x="286"/>
        <item f="1" x="287"/>
        <item f="1" x="288"/>
        <item f="1" x="289"/>
        <item f="1" x="290"/>
        <item f="1" x="291"/>
        <item f="1" x="292"/>
        <item f="1" x="293"/>
        <item f="1" x="294"/>
        <item f="1" x="295"/>
        <item f="1" x="233"/>
        <item f="1" x="296"/>
        <item f="1" x="297"/>
        <item f="1" x="298"/>
        <item f="1" x="299"/>
        <item f="1" x="300"/>
        <item f="1" x="301"/>
        <item f="1" x="302"/>
        <item f="1" x="303"/>
        <item f="1" x="304"/>
        <item f="1" x="305"/>
        <item f="1" x="234"/>
        <item f="1" x="306"/>
        <item f="1" x="307"/>
        <item f="1" x="308"/>
        <item f="1" x="309"/>
        <item f="1" x="310"/>
        <item f="1" x="311"/>
        <item f="1" x="312"/>
        <item f="1" x="313"/>
        <item f="1" x="314"/>
        <item f="1" x="315"/>
        <item f="1" x="235"/>
        <item f="1" x="316"/>
        <item f="1" x="317"/>
        <item f="1" x="318"/>
        <item f="1" x="319"/>
        <item f="1" x="320"/>
        <item f="1" x="321"/>
        <item f="1" x="322"/>
        <item f="1" x="323"/>
        <item f="1" x="324"/>
        <item f="1" x="325"/>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numFmtId="14" showAll="0"/>
    <pivotField showAll="0"/>
    <pivotField numFmtId="166" showAll="0"/>
    <pivotField numFmtId="4" showAll="0"/>
    <pivotField numFmtId="4" showAll="0"/>
    <pivotField numFmtId="10" showAll="0"/>
    <pivotField showAll="0"/>
  </pivotFields>
  <rowFields count="1">
    <field x="10"/>
  </rowFields>
  <rowItems count="17">
    <i>
      <x/>
    </i>
    <i>
      <x v="1"/>
    </i>
    <i>
      <x v="2"/>
    </i>
    <i>
      <x v="3"/>
    </i>
    <i>
      <x v="4"/>
    </i>
    <i>
      <x v="5"/>
    </i>
    <i>
      <x v="6"/>
    </i>
    <i>
      <x v="7"/>
    </i>
    <i>
      <x v="8"/>
    </i>
    <i>
      <x v="9"/>
    </i>
    <i>
      <x v="10"/>
    </i>
    <i>
      <x v="11"/>
    </i>
    <i>
      <x v="12"/>
    </i>
    <i>
      <x v="13"/>
    </i>
    <i>
      <x v="14"/>
    </i>
    <i>
      <x v="15"/>
    </i>
    <i t="grand">
      <x/>
    </i>
  </rowItems>
  <colFields count="1">
    <field x="2"/>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dataFields count="1">
    <dataField name="Count of OrderID" fld="0" subtotal="count" baseField="10" baseItem="0"/>
  </dataFields>
  <conditionalFormats count="2">
    <conditionalFormat scope="field" type="all" priority="1">
      <pivotAreas count="1">
        <pivotArea outline="0" collapsedLevelsAreSubtotals="1" fieldPosition="0">
          <references count="3">
            <reference field="4294967294" count="1" selected="0">
              <x v="0"/>
            </reference>
            <reference field="2" count="0" selected="0"/>
            <reference field="10" count="0" selected="0"/>
          </references>
        </pivotArea>
      </pivotAreas>
    </conditionalFormat>
    <conditionalFormat type="all" priority="2">
      <pivotAreas count="1">
        <pivotArea type="data" collapsedLevelsAreSubtotals="1" fieldPosition="0">
          <references count="3">
            <reference field="4294967294" count="1" selected="0">
              <x v="0"/>
            </reference>
            <reference field="2" count="1" selected="0">
              <x v="0"/>
            </reference>
            <reference field="10"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B8EAAA-F8DD-425E-A61D-4751080BE5D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9" firstHeaderRow="1" firstDataRow="2" firstDataCol="1"/>
  <pivotFields count="30">
    <pivotField showAll="0"/>
    <pivotField numFmtId="164" showAll="0"/>
    <pivotField showAll="0"/>
    <pivotField showAll="0"/>
    <pivotField numFmtId="164" showAll="0"/>
    <pivotField axis="axisRow" showAll="0">
      <items count="5">
        <item x="0"/>
        <item x="2"/>
        <item x="1"/>
        <item x="3"/>
        <item t="default"/>
      </items>
    </pivotField>
    <pivotField showAll="0"/>
    <pivotField showAll="0"/>
    <pivotField showAll="0"/>
    <pivotField axis="axisCol" showAll="0">
      <items count="7">
        <item x="4"/>
        <item x="3"/>
        <item x="2"/>
        <item x="1"/>
        <item x="0"/>
        <item x="5"/>
        <item t="default"/>
      </items>
    </pivotField>
    <pivotField showAll="0"/>
    <pivotField showAll="0"/>
    <pivotField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f="1" x="227"/>
        <item f="1" x="236"/>
        <item f="1" x="326"/>
        <item f="1" x="327"/>
        <item f="1" x="328"/>
        <item f="1" x="329"/>
        <item f="1" x="330"/>
        <item f="1" x="331"/>
        <item f="1" x="332"/>
        <item f="1" x="333"/>
        <item f="1" x="334"/>
        <item f="1" x="335"/>
        <item f="1" x="237"/>
        <item f="1" x="336"/>
        <item f="1" x="337"/>
        <item f="1" x="338"/>
        <item f="1" x="339"/>
        <item f="1" x="340"/>
        <item f="1" x="341"/>
        <item f="1" x="342"/>
        <item f="1" x="343"/>
        <item f="1" x="344"/>
        <item f="1" x="345"/>
        <item f="1" x="238"/>
        <item f="1" x="346"/>
        <item f="1" x="347"/>
        <item f="1" x="348"/>
        <item f="1" x="349"/>
        <item f="1" x="350"/>
        <item f="1" x="351"/>
        <item f="1" x="352"/>
        <item f="1" x="353"/>
        <item f="1" x="354"/>
        <item f="1" x="355"/>
        <item f="1" x="239"/>
        <item f="1" x="356"/>
        <item f="1" x="357"/>
        <item f="1" x="358"/>
        <item f="1" x="359"/>
        <item f="1" x="360"/>
        <item f="1" x="361"/>
        <item f="1" x="362"/>
        <item f="1" x="363"/>
        <item f="1" x="364"/>
        <item f="1" x="365"/>
        <item f="1" x="240"/>
        <item f="1" x="366"/>
        <item f="1" x="367"/>
        <item f="1" x="368"/>
        <item f="1" x="369"/>
        <item f="1" x="370"/>
        <item f="1" x="371"/>
        <item f="1" x="372"/>
        <item f="1" x="373"/>
        <item f="1" x="374"/>
        <item f="1" x="375"/>
        <item f="1" x="241"/>
        <item f="1" x="376"/>
        <item f="1" x="377"/>
        <item f="1" x="378"/>
        <item f="1" x="379"/>
        <item f="1" x="380"/>
        <item f="1" x="381"/>
        <item f="1" x="382"/>
        <item f="1" x="383"/>
        <item f="1" x="384"/>
        <item f="1" x="385"/>
        <item f="1" x="242"/>
        <item f="1" x="386"/>
        <item f="1" x="387"/>
        <item f="1" x="388"/>
        <item f="1" x="389"/>
        <item f="1" x="390"/>
        <item f="1" x="391"/>
        <item f="1" x="392"/>
        <item f="1" x="393"/>
        <item f="1" x="394"/>
        <item f="1" x="395"/>
        <item f="1" x="243"/>
        <item f="1" x="396"/>
        <item f="1" x="397"/>
        <item f="1" x="398"/>
        <item f="1" x="399"/>
        <item f="1" x="400"/>
        <item f="1" x="401"/>
        <item f="1" x="402"/>
        <item f="1" x="403"/>
        <item f="1" x="404"/>
        <item f="1" x="405"/>
        <item f="1" x="244"/>
        <item f="1" x="406"/>
        <item f="1" x="407"/>
        <item f="1" x="408"/>
        <item f="1" x="409"/>
        <item f="1" x="410"/>
        <item f="1" x="411"/>
        <item f="1" x="412"/>
        <item f="1" x="413"/>
        <item f="1" x="414"/>
        <item f="1" x="415"/>
        <item f="1" x="245"/>
        <item f="1" x="416"/>
        <item f="1" x="417"/>
        <item f="1" x="418"/>
        <item f="1" x="419"/>
        <item f="1" x="420"/>
        <item f="1" x="421"/>
        <item f="1" x="422"/>
        <item f="1" x="423"/>
        <item f="1" x="424"/>
        <item f="1" x="425"/>
        <item f="1" x="228"/>
        <item f="1" x="246"/>
        <item f="1" x="426"/>
        <item f="1" x="427"/>
        <item f="1" x="428"/>
        <item f="1" x="429"/>
        <item f="1" x="430"/>
        <item f="1" x="431"/>
        <item f="1" x="432"/>
        <item f="1" x="433"/>
        <item f="1" x="434"/>
        <item f="1" x="435"/>
        <item f="1" x="247"/>
        <item f="1" x="436"/>
        <item f="1" x="437"/>
        <item f="1" x="438"/>
        <item f="1" x="439"/>
        <item f="1" x="440"/>
        <item f="1" x="441"/>
        <item f="1" x="442"/>
        <item f="1" x="443"/>
        <item f="1" x="444"/>
        <item f="1" x="445"/>
        <item f="1" x="248"/>
        <item f="1" x="446"/>
        <item f="1" x="447"/>
        <item f="1" x="448"/>
        <item f="1" x="449"/>
        <item f="1" x="450"/>
        <item f="1" x="451"/>
        <item f="1" x="452"/>
        <item f="1" x="453"/>
        <item f="1" x="249"/>
        <item f="1" x="250"/>
        <item f="1" x="251"/>
        <item f="1" x="252"/>
        <item f="1" x="253"/>
        <item f="1" x="254"/>
        <item f="1" x="255"/>
        <item f="1" x="229"/>
        <item f="1" x="256"/>
        <item f="1" x="257"/>
        <item f="1" x="258"/>
        <item f="1" x="259"/>
        <item f="1" x="260"/>
        <item f="1" x="261"/>
        <item f="1" x="262"/>
        <item f="1" x="263"/>
        <item f="1" x="264"/>
        <item f="1" x="265"/>
        <item f="1" x="230"/>
        <item f="1" x="266"/>
        <item f="1" x="267"/>
        <item f="1" x="268"/>
        <item f="1" x="269"/>
        <item f="1" x="270"/>
        <item f="1" x="271"/>
        <item f="1" x="272"/>
        <item f="1" x="273"/>
        <item f="1" x="274"/>
        <item f="1" x="275"/>
        <item f="1" x="231"/>
        <item f="1" x="276"/>
        <item f="1" x="277"/>
        <item f="1" x="278"/>
        <item f="1" x="279"/>
        <item f="1" x="280"/>
        <item f="1" x="281"/>
        <item f="1" x="282"/>
        <item f="1" x="283"/>
        <item f="1" x="284"/>
        <item f="1" x="285"/>
        <item f="1" x="232"/>
        <item f="1" x="286"/>
        <item f="1" x="287"/>
        <item f="1" x="288"/>
        <item f="1" x="289"/>
        <item f="1" x="290"/>
        <item f="1" x="291"/>
        <item f="1" x="292"/>
        <item f="1" x="293"/>
        <item f="1" x="294"/>
        <item f="1" x="295"/>
        <item f="1" x="233"/>
        <item f="1" x="296"/>
        <item f="1" x="297"/>
        <item f="1" x="298"/>
        <item f="1" x="299"/>
        <item f="1" x="300"/>
        <item f="1" x="301"/>
        <item f="1" x="302"/>
        <item f="1" x="303"/>
        <item f="1" x="304"/>
        <item f="1" x="305"/>
        <item f="1" x="234"/>
        <item f="1" x="306"/>
        <item f="1" x="307"/>
        <item f="1" x="308"/>
        <item f="1" x="309"/>
        <item f="1" x="310"/>
        <item f="1" x="311"/>
        <item f="1" x="312"/>
        <item f="1" x="313"/>
        <item f="1" x="314"/>
        <item f="1" x="315"/>
        <item f="1" x="235"/>
        <item f="1" x="316"/>
        <item f="1" x="317"/>
        <item f="1" x="318"/>
        <item f="1" x="319"/>
        <item f="1" x="320"/>
        <item f="1" x="321"/>
        <item f="1" x="322"/>
        <item f="1" x="323"/>
        <item f="1" x="324"/>
        <item f="1" x="325"/>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numFmtId="14" showAll="0"/>
    <pivotField showAll="0"/>
    <pivotField dataField="1" numFmtId="166" showAll="0"/>
    <pivotField numFmtId="4" showAll="0"/>
    <pivotField numFmtId="4" showAll="0"/>
    <pivotField numFmtId="10" showAll="0"/>
    <pivotField showAll="0"/>
  </pivotFields>
  <rowFields count="1">
    <field x="5"/>
  </rowFields>
  <rowItems count="5">
    <i>
      <x/>
    </i>
    <i>
      <x v="1"/>
    </i>
    <i>
      <x v="2"/>
    </i>
    <i>
      <x v="3"/>
    </i>
    <i t="grand">
      <x/>
    </i>
  </rowItems>
  <colFields count="1">
    <field x="9"/>
  </colFields>
  <colItems count="7">
    <i>
      <x/>
    </i>
    <i>
      <x v="1"/>
    </i>
    <i>
      <x v="2"/>
    </i>
    <i>
      <x v="3"/>
    </i>
    <i>
      <x v="4"/>
    </i>
    <i>
      <x v="5"/>
    </i>
    <i t="grand">
      <x/>
    </i>
  </colItems>
  <dataFields count="1">
    <dataField name="Sum of GrossRevenue" fld="25" showDataAs="percentOfRow"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960C89-FB80-4EEA-9E8A-BBCFF387411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outh Africa">
  <location ref="A3:B93" firstHeaderRow="1" firstDataRow="1" firstDataCol="1"/>
  <pivotFields count="30">
    <pivotField showAll="0"/>
    <pivotField numFmtId="164" showAll="0"/>
    <pivotField showAll="0"/>
    <pivotField showAll="0"/>
    <pivotField numFmtId="164" showAll="0"/>
    <pivotField showAll="0"/>
    <pivotField axis="axisRow" showAll="0">
      <items count="13">
        <item x="5"/>
        <item x="3"/>
        <item x="9"/>
        <item x="7"/>
        <item x="6"/>
        <item x="4"/>
        <item x="2"/>
        <item x="0"/>
        <item x="1"/>
        <item x="11"/>
        <item x="8"/>
        <item x="10"/>
        <item t="default"/>
      </items>
    </pivotField>
    <pivotField showAll="0"/>
    <pivotField showAll="0"/>
    <pivotField showAll="0"/>
    <pivotField showAll="0"/>
    <pivotField axis="axisRow" showAll="0">
      <items count="8">
        <item x="6"/>
        <item x="0"/>
        <item x="4"/>
        <item x="5"/>
        <item x="2"/>
        <item x="3"/>
        <item x="1"/>
        <item t="default"/>
      </items>
    </pivotField>
    <pivotField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f="1" x="227"/>
        <item f="1" x="236"/>
        <item f="1" x="326"/>
        <item f="1" x="327"/>
        <item f="1" x="328"/>
        <item f="1" x="329"/>
        <item f="1" x="330"/>
        <item f="1" x="331"/>
        <item f="1" x="332"/>
        <item f="1" x="333"/>
        <item f="1" x="334"/>
        <item f="1" x="335"/>
        <item f="1" x="237"/>
        <item f="1" x="336"/>
        <item f="1" x="337"/>
        <item f="1" x="338"/>
        <item f="1" x="339"/>
        <item f="1" x="340"/>
        <item f="1" x="341"/>
        <item f="1" x="342"/>
        <item f="1" x="343"/>
        <item f="1" x="344"/>
        <item f="1" x="345"/>
        <item f="1" x="238"/>
        <item f="1" x="346"/>
        <item f="1" x="347"/>
        <item f="1" x="348"/>
        <item f="1" x="349"/>
        <item f="1" x="350"/>
        <item f="1" x="351"/>
        <item f="1" x="352"/>
        <item f="1" x="353"/>
        <item f="1" x="354"/>
        <item f="1" x="355"/>
        <item f="1" x="239"/>
        <item f="1" x="356"/>
        <item f="1" x="357"/>
        <item f="1" x="358"/>
        <item f="1" x="359"/>
        <item f="1" x="360"/>
        <item f="1" x="361"/>
        <item f="1" x="362"/>
        <item f="1" x="363"/>
        <item f="1" x="364"/>
        <item f="1" x="365"/>
        <item f="1" x="240"/>
        <item f="1" x="366"/>
        <item f="1" x="367"/>
        <item f="1" x="368"/>
        <item f="1" x="369"/>
        <item f="1" x="370"/>
        <item f="1" x="371"/>
        <item f="1" x="372"/>
        <item f="1" x="373"/>
        <item f="1" x="374"/>
        <item f="1" x="375"/>
        <item f="1" x="241"/>
        <item f="1" x="376"/>
        <item f="1" x="377"/>
        <item f="1" x="378"/>
        <item f="1" x="379"/>
        <item f="1" x="380"/>
        <item f="1" x="381"/>
        <item f="1" x="382"/>
        <item f="1" x="383"/>
        <item f="1" x="384"/>
        <item f="1" x="385"/>
        <item f="1" x="242"/>
        <item f="1" x="386"/>
        <item f="1" x="387"/>
        <item f="1" x="388"/>
        <item f="1" x="389"/>
        <item f="1" x="390"/>
        <item f="1" x="391"/>
        <item f="1" x="392"/>
        <item f="1" x="393"/>
        <item f="1" x="394"/>
        <item f="1" x="395"/>
        <item f="1" x="243"/>
        <item f="1" x="396"/>
        <item f="1" x="397"/>
        <item f="1" x="398"/>
        <item f="1" x="399"/>
        <item f="1" x="400"/>
        <item f="1" x="401"/>
        <item f="1" x="402"/>
        <item f="1" x="403"/>
        <item f="1" x="404"/>
        <item f="1" x="405"/>
        <item f="1" x="244"/>
        <item f="1" x="406"/>
        <item f="1" x="407"/>
        <item f="1" x="408"/>
        <item f="1" x="409"/>
        <item f="1" x="410"/>
        <item f="1" x="411"/>
        <item f="1" x="412"/>
        <item f="1" x="413"/>
        <item f="1" x="414"/>
        <item f="1" x="415"/>
        <item f="1" x="245"/>
        <item f="1" x="416"/>
        <item f="1" x="417"/>
        <item f="1" x="418"/>
        <item f="1" x="419"/>
        <item f="1" x="420"/>
        <item f="1" x="421"/>
        <item f="1" x="422"/>
        <item f="1" x="423"/>
        <item f="1" x="424"/>
        <item f="1" x="425"/>
        <item f="1" x="228"/>
        <item f="1" x="246"/>
        <item f="1" x="426"/>
        <item f="1" x="427"/>
        <item f="1" x="428"/>
        <item f="1" x="429"/>
        <item f="1" x="430"/>
        <item f="1" x="431"/>
        <item f="1" x="432"/>
        <item f="1" x="433"/>
        <item f="1" x="434"/>
        <item f="1" x="435"/>
        <item f="1" x="247"/>
        <item f="1" x="436"/>
        <item f="1" x="437"/>
        <item f="1" x="438"/>
        <item f="1" x="439"/>
        <item f="1" x="440"/>
        <item f="1" x="441"/>
        <item f="1" x="442"/>
        <item f="1" x="443"/>
        <item f="1" x="444"/>
        <item f="1" x="445"/>
        <item f="1" x="248"/>
        <item f="1" x="446"/>
        <item f="1" x="447"/>
        <item f="1" x="448"/>
        <item f="1" x="449"/>
        <item f="1" x="450"/>
        <item f="1" x="451"/>
        <item f="1" x="452"/>
        <item f="1" x="453"/>
        <item f="1" x="249"/>
        <item f="1" x="250"/>
        <item f="1" x="251"/>
        <item f="1" x="252"/>
        <item f="1" x="253"/>
        <item f="1" x="254"/>
        <item f="1" x="255"/>
        <item f="1" x="229"/>
        <item f="1" x="256"/>
        <item f="1" x="257"/>
        <item f="1" x="258"/>
        <item f="1" x="259"/>
        <item f="1" x="260"/>
        <item f="1" x="261"/>
        <item f="1" x="262"/>
        <item f="1" x="263"/>
        <item f="1" x="264"/>
        <item f="1" x="265"/>
        <item f="1" x="230"/>
        <item f="1" x="266"/>
        <item f="1" x="267"/>
        <item f="1" x="268"/>
        <item f="1" x="269"/>
        <item f="1" x="270"/>
        <item f="1" x="271"/>
        <item f="1" x="272"/>
        <item f="1" x="273"/>
        <item f="1" x="274"/>
        <item f="1" x="275"/>
        <item f="1" x="231"/>
        <item f="1" x="276"/>
        <item f="1" x="277"/>
        <item f="1" x="278"/>
        <item f="1" x="279"/>
        <item f="1" x="280"/>
        <item f="1" x="281"/>
        <item f="1" x="282"/>
        <item f="1" x="283"/>
        <item f="1" x="284"/>
        <item f="1" x="285"/>
        <item f="1" x="232"/>
        <item f="1" x="286"/>
        <item f="1" x="287"/>
        <item f="1" x="288"/>
        <item f="1" x="289"/>
        <item f="1" x="290"/>
        <item f="1" x="291"/>
        <item f="1" x="292"/>
        <item f="1" x="293"/>
        <item f="1" x="294"/>
        <item f="1" x="295"/>
        <item f="1" x="233"/>
        <item f="1" x="296"/>
        <item f="1" x="297"/>
        <item f="1" x="298"/>
        <item f="1" x="299"/>
        <item f="1" x="300"/>
        <item f="1" x="301"/>
        <item f="1" x="302"/>
        <item f="1" x="303"/>
        <item f="1" x="304"/>
        <item f="1" x="305"/>
        <item f="1" x="234"/>
        <item f="1" x="306"/>
        <item f="1" x="307"/>
        <item f="1" x="308"/>
        <item f="1" x="309"/>
        <item f="1" x="310"/>
        <item f="1" x="311"/>
        <item f="1" x="312"/>
        <item f="1" x="313"/>
        <item f="1" x="314"/>
        <item f="1" x="315"/>
        <item f="1" x="235"/>
        <item f="1" x="316"/>
        <item f="1" x="317"/>
        <item f="1" x="318"/>
        <item f="1" x="319"/>
        <item f="1" x="320"/>
        <item f="1" x="321"/>
        <item f="1" x="322"/>
        <item f="1" x="323"/>
        <item f="1" x="324"/>
        <item f="1" x="325"/>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numFmtId="14" showAll="0"/>
    <pivotField dataField="1" showAll="0">
      <items count="32">
        <item x="15"/>
        <item x="28"/>
        <item x="22"/>
        <item x="4"/>
        <item x="3"/>
        <item x="13"/>
        <item x="29"/>
        <item x="1"/>
        <item x="10"/>
        <item x="23"/>
        <item x="30"/>
        <item x="21"/>
        <item x="7"/>
        <item x="17"/>
        <item x="14"/>
        <item x="12"/>
        <item x="18"/>
        <item x="11"/>
        <item x="5"/>
        <item x="6"/>
        <item x="8"/>
        <item x="25"/>
        <item x="20"/>
        <item x="19"/>
        <item x="27"/>
        <item x="2"/>
        <item x="0"/>
        <item x="26"/>
        <item x="24"/>
        <item x="9"/>
        <item x="16"/>
        <item t="default"/>
      </items>
    </pivotField>
    <pivotField numFmtId="166" showAll="0"/>
    <pivotField numFmtId="4" showAll="0"/>
    <pivotField numFmtId="4" showAll="0"/>
    <pivotField numFmtId="10" showAll="0"/>
    <pivotField showAll="0"/>
  </pivotFields>
  <rowFields count="2">
    <field x="6"/>
    <field x="11"/>
  </rowFields>
  <rowItems count="90">
    <i>
      <x/>
    </i>
    <i r="1">
      <x/>
    </i>
    <i r="1">
      <x v="1"/>
    </i>
    <i r="1">
      <x v="2"/>
    </i>
    <i r="1">
      <x v="3"/>
    </i>
    <i r="1">
      <x v="4"/>
    </i>
    <i r="1">
      <x v="5"/>
    </i>
    <i r="1">
      <x v="6"/>
    </i>
    <i>
      <x v="1"/>
    </i>
    <i r="1">
      <x/>
    </i>
    <i r="1">
      <x v="1"/>
    </i>
    <i r="1">
      <x v="2"/>
    </i>
    <i r="1">
      <x v="3"/>
    </i>
    <i r="1">
      <x v="5"/>
    </i>
    <i r="1">
      <x v="6"/>
    </i>
    <i>
      <x v="2"/>
    </i>
    <i r="1">
      <x/>
    </i>
    <i r="1">
      <x v="1"/>
    </i>
    <i r="1">
      <x v="2"/>
    </i>
    <i r="1">
      <x v="3"/>
    </i>
    <i r="1">
      <x v="4"/>
    </i>
    <i r="1">
      <x v="5"/>
    </i>
    <i r="1">
      <x v="6"/>
    </i>
    <i>
      <x v="3"/>
    </i>
    <i r="1">
      <x/>
    </i>
    <i r="1">
      <x v="1"/>
    </i>
    <i r="1">
      <x v="2"/>
    </i>
    <i r="1">
      <x v="3"/>
    </i>
    <i r="1">
      <x v="4"/>
    </i>
    <i r="1">
      <x v="5"/>
    </i>
    <i r="1">
      <x v="6"/>
    </i>
    <i>
      <x v="4"/>
    </i>
    <i r="1">
      <x/>
    </i>
    <i r="1">
      <x v="1"/>
    </i>
    <i r="1">
      <x v="3"/>
    </i>
    <i r="1">
      <x v="4"/>
    </i>
    <i r="1">
      <x v="5"/>
    </i>
    <i r="1">
      <x v="6"/>
    </i>
    <i>
      <x v="5"/>
    </i>
    <i r="1">
      <x/>
    </i>
    <i r="1">
      <x v="1"/>
    </i>
    <i r="1">
      <x v="2"/>
    </i>
    <i r="1">
      <x v="3"/>
    </i>
    <i r="1">
      <x v="4"/>
    </i>
    <i r="1">
      <x v="5"/>
    </i>
    <i r="1">
      <x v="6"/>
    </i>
    <i>
      <x v="6"/>
    </i>
    <i r="1">
      <x/>
    </i>
    <i r="1">
      <x v="1"/>
    </i>
    <i r="1">
      <x v="3"/>
    </i>
    <i r="1">
      <x v="4"/>
    </i>
    <i r="1">
      <x v="5"/>
    </i>
    <i r="1">
      <x v="6"/>
    </i>
    <i>
      <x v="7"/>
    </i>
    <i r="1">
      <x/>
    </i>
    <i r="1">
      <x v="1"/>
    </i>
    <i r="1">
      <x v="2"/>
    </i>
    <i r="1">
      <x v="4"/>
    </i>
    <i r="1">
      <x v="5"/>
    </i>
    <i r="1">
      <x v="6"/>
    </i>
    <i>
      <x v="8"/>
    </i>
    <i r="1">
      <x/>
    </i>
    <i r="1">
      <x v="3"/>
    </i>
    <i r="1">
      <x v="4"/>
    </i>
    <i r="1">
      <x v="5"/>
    </i>
    <i r="1">
      <x v="6"/>
    </i>
    <i>
      <x v="9"/>
    </i>
    <i r="1">
      <x/>
    </i>
    <i r="1">
      <x v="1"/>
    </i>
    <i r="1">
      <x v="2"/>
    </i>
    <i r="1">
      <x v="3"/>
    </i>
    <i r="1">
      <x v="4"/>
    </i>
    <i r="1">
      <x v="5"/>
    </i>
    <i r="1">
      <x v="6"/>
    </i>
    <i>
      <x v="10"/>
    </i>
    <i r="1">
      <x/>
    </i>
    <i r="1">
      <x v="1"/>
    </i>
    <i r="1">
      <x v="2"/>
    </i>
    <i r="1">
      <x v="3"/>
    </i>
    <i r="1">
      <x v="4"/>
    </i>
    <i r="1">
      <x v="5"/>
    </i>
    <i r="1">
      <x v="6"/>
    </i>
    <i>
      <x v="11"/>
    </i>
    <i r="1">
      <x/>
    </i>
    <i r="1">
      <x v="2"/>
    </i>
    <i r="1">
      <x v="3"/>
    </i>
    <i r="1">
      <x v="4"/>
    </i>
    <i r="1">
      <x v="5"/>
    </i>
    <i r="1">
      <x v="6"/>
    </i>
    <i t="grand">
      <x/>
    </i>
  </rowItems>
  <colItems count="1">
    <i/>
  </colItems>
  <dataFields count="1">
    <dataField name="Sum of LeadTimeDays" fld="24" showDataAs="percent"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2A41BC-9A1C-488A-A554-39CE4750864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9" firstHeaderRow="1" firstDataRow="1" firstDataCol="1"/>
  <pivotFields count="30">
    <pivotField showAll="0"/>
    <pivotField numFmtId="164" showAll="0"/>
    <pivotField showAll="0"/>
    <pivotField showAll="0"/>
    <pivotField numFmtId="164" showAll="0"/>
    <pivotField axis="axisRow" showAll="0">
      <items count="5">
        <item x="0"/>
        <item x="2"/>
        <item x="1"/>
        <item x="3"/>
        <item t="default"/>
      </items>
    </pivotField>
    <pivotField showAll="0"/>
    <pivotField showAll="0"/>
    <pivotField showAll="0"/>
    <pivotField showAll="0"/>
    <pivotField axis="axisRow" showAll="0">
      <items count="17">
        <item x="8"/>
        <item x="5"/>
        <item x="0"/>
        <item x="14"/>
        <item x="6"/>
        <item x="9"/>
        <item x="3"/>
        <item x="12"/>
        <item x="2"/>
        <item x="1"/>
        <item x="10"/>
        <item x="4"/>
        <item x="11"/>
        <item x="13"/>
        <item x="7"/>
        <item x="15"/>
        <item t="default"/>
      </items>
    </pivotField>
    <pivotField showAll="0"/>
    <pivotField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f="1" x="227"/>
        <item f="1" x="236"/>
        <item f="1" x="326"/>
        <item f="1" x="327"/>
        <item f="1" x="328"/>
        <item f="1" x="329"/>
        <item f="1" x="330"/>
        <item f="1" x="331"/>
        <item f="1" x="332"/>
        <item f="1" x="333"/>
        <item f="1" x="334"/>
        <item f="1" x="335"/>
        <item f="1" x="237"/>
        <item f="1" x="336"/>
        <item f="1" x="337"/>
        <item f="1" x="338"/>
        <item f="1" x="339"/>
        <item f="1" x="340"/>
        <item f="1" x="341"/>
        <item f="1" x="342"/>
        <item f="1" x="343"/>
        <item f="1" x="344"/>
        <item f="1" x="345"/>
        <item f="1" x="238"/>
        <item f="1" x="346"/>
        <item f="1" x="347"/>
        <item f="1" x="348"/>
        <item f="1" x="349"/>
        <item f="1" x="350"/>
        <item f="1" x="351"/>
        <item f="1" x="352"/>
        <item f="1" x="353"/>
        <item f="1" x="354"/>
        <item f="1" x="355"/>
        <item f="1" x="239"/>
        <item f="1" x="356"/>
        <item f="1" x="357"/>
        <item f="1" x="358"/>
        <item f="1" x="359"/>
        <item f="1" x="360"/>
        <item f="1" x="361"/>
        <item f="1" x="362"/>
        <item f="1" x="363"/>
        <item f="1" x="364"/>
        <item f="1" x="365"/>
        <item f="1" x="240"/>
        <item f="1" x="366"/>
        <item f="1" x="367"/>
        <item f="1" x="368"/>
        <item f="1" x="369"/>
        <item f="1" x="370"/>
        <item f="1" x="371"/>
        <item f="1" x="372"/>
        <item f="1" x="373"/>
        <item f="1" x="374"/>
        <item f="1" x="375"/>
        <item f="1" x="241"/>
        <item f="1" x="376"/>
        <item f="1" x="377"/>
        <item f="1" x="378"/>
        <item f="1" x="379"/>
        <item f="1" x="380"/>
        <item f="1" x="381"/>
        <item f="1" x="382"/>
        <item f="1" x="383"/>
        <item f="1" x="384"/>
        <item f="1" x="385"/>
        <item f="1" x="242"/>
        <item f="1" x="386"/>
        <item f="1" x="387"/>
        <item f="1" x="388"/>
        <item f="1" x="389"/>
        <item f="1" x="390"/>
        <item f="1" x="391"/>
        <item f="1" x="392"/>
        <item f="1" x="393"/>
        <item f="1" x="394"/>
        <item f="1" x="395"/>
        <item f="1" x="243"/>
        <item f="1" x="396"/>
        <item f="1" x="397"/>
        <item f="1" x="398"/>
        <item f="1" x="399"/>
        <item f="1" x="400"/>
        <item f="1" x="401"/>
        <item f="1" x="402"/>
        <item f="1" x="403"/>
        <item f="1" x="404"/>
        <item f="1" x="405"/>
        <item f="1" x="244"/>
        <item f="1" x="406"/>
        <item f="1" x="407"/>
        <item f="1" x="408"/>
        <item f="1" x="409"/>
        <item f="1" x="410"/>
        <item f="1" x="411"/>
        <item f="1" x="412"/>
        <item f="1" x="413"/>
        <item f="1" x="414"/>
        <item f="1" x="415"/>
        <item f="1" x="245"/>
        <item f="1" x="416"/>
        <item f="1" x="417"/>
        <item f="1" x="418"/>
        <item f="1" x="419"/>
        <item f="1" x="420"/>
        <item f="1" x="421"/>
        <item f="1" x="422"/>
        <item f="1" x="423"/>
        <item f="1" x="424"/>
        <item f="1" x="425"/>
        <item f="1" x="228"/>
        <item f="1" x="246"/>
        <item f="1" x="426"/>
        <item f="1" x="427"/>
        <item f="1" x="428"/>
        <item f="1" x="429"/>
        <item f="1" x="430"/>
        <item f="1" x="431"/>
        <item f="1" x="432"/>
        <item f="1" x="433"/>
        <item f="1" x="434"/>
        <item f="1" x="435"/>
        <item f="1" x="247"/>
        <item f="1" x="436"/>
        <item f="1" x="437"/>
        <item f="1" x="438"/>
        <item f="1" x="439"/>
        <item f="1" x="440"/>
        <item f="1" x="441"/>
        <item f="1" x="442"/>
        <item f="1" x="443"/>
        <item f="1" x="444"/>
        <item f="1" x="445"/>
        <item f="1" x="248"/>
        <item f="1" x="446"/>
        <item f="1" x="447"/>
        <item f="1" x="448"/>
        <item f="1" x="449"/>
        <item f="1" x="450"/>
        <item f="1" x="451"/>
        <item f="1" x="452"/>
        <item f="1" x="453"/>
        <item f="1" x="249"/>
        <item f="1" x="250"/>
        <item f="1" x="251"/>
        <item f="1" x="252"/>
        <item f="1" x="253"/>
        <item f="1" x="254"/>
        <item f="1" x="255"/>
        <item f="1" x="229"/>
        <item f="1" x="256"/>
        <item f="1" x="257"/>
        <item f="1" x="258"/>
        <item f="1" x="259"/>
        <item f="1" x="260"/>
        <item f="1" x="261"/>
        <item f="1" x="262"/>
        <item f="1" x="263"/>
        <item f="1" x="264"/>
        <item f="1" x="265"/>
        <item f="1" x="230"/>
        <item f="1" x="266"/>
        <item f="1" x="267"/>
        <item f="1" x="268"/>
        <item f="1" x="269"/>
        <item f="1" x="270"/>
        <item f="1" x="271"/>
        <item f="1" x="272"/>
        <item f="1" x="273"/>
        <item f="1" x="274"/>
        <item f="1" x="275"/>
        <item f="1" x="231"/>
        <item f="1" x="276"/>
        <item f="1" x="277"/>
        <item f="1" x="278"/>
        <item f="1" x="279"/>
        <item f="1" x="280"/>
        <item f="1" x="281"/>
        <item f="1" x="282"/>
        <item f="1" x="283"/>
        <item f="1" x="284"/>
        <item f="1" x="285"/>
        <item f="1" x="232"/>
        <item f="1" x="286"/>
        <item f="1" x="287"/>
        <item f="1" x="288"/>
        <item f="1" x="289"/>
        <item f="1" x="290"/>
        <item f="1" x="291"/>
        <item f="1" x="292"/>
        <item f="1" x="293"/>
        <item f="1" x="294"/>
        <item f="1" x="295"/>
        <item f="1" x="233"/>
        <item f="1" x="296"/>
        <item f="1" x="297"/>
        <item f="1" x="298"/>
        <item f="1" x="299"/>
        <item f="1" x="300"/>
        <item f="1" x="301"/>
        <item f="1" x="302"/>
        <item f="1" x="303"/>
        <item f="1" x="304"/>
        <item f="1" x="305"/>
        <item f="1" x="234"/>
        <item f="1" x="306"/>
        <item f="1" x="307"/>
        <item f="1" x="308"/>
        <item f="1" x="309"/>
        <item f="1" x="310"/>
        <item f="1" x="311"/>
        <item f="1" x="312"/>
        <item f="1" x="313"/>
        <item f="1" x="314"/>
        <item f="1" x="315"/>
        <item f="1" x="235"/>
        <item f="1" x="316"/>
        <item f="1" x="317"/>
        <item f="1" x="318"/>
        <item f="1" x="319"/>
        <item f="1" x="320"/>
        <item f="1" x="321"/>
        <item f="1" x="322"/>
        <item f="1" x="323"/>
        <item f="1" x="324"/>
        <item f="1" x="325"/>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t="default"/>
      </items>
    </pivotField>
    <pivotField numFmtId="165" showAll="0"/>
    <pivotField numFmtId="165" showAll="0"/>
    <pivotField numFmtId="165" showAll="0"/>
    <pivotField numFmtId="165" showAll="0"/>
    <pivotField showAll="0"/>
    <pivotField showAll="0"/>
    <pivotField showAll="0"/>
    <pivotField showAll="0"/>
    <pivotField dataField="1" showAll="0">
      <items count="223">
        <item x="5"/>
        <item x="139"/>
        <item x="10"/>
        <item x="20"/>
        <item x="98"/>
        <item x="19"/>
        <item x="83"/>
        <item x="168"/>
        <item x="206"/>
        <item x="107"/>
        <item x="200"/>
        <item x="112"/>
        <item x="105"/>
        <item x="117"/>
        <item x="108"/>
        <item x="176"/>
        <item x="133"/>
        <item x="70"/>
        <item x="8"/>
        <item x="191"/>
        <item x="75"/>
        <item x="42"/>
        <item x="32"/>
        <item x="16"/>
        <item x="184"/>
        <item x="202"/>
        <item x="172"/>
        <item x="88"/>
        <item x="215"/>
        <item x="106"/>
        <item x="209"/>
        <item x="58"/>
        <item x="210"/>
        <item x="54"/>
        <item x="129"/>
        <item x="113"/>
        <item x="217"/>
        <item x="132"/>
        <item x="120"/>
        <item x="91"/>
        <item x="189"/>
        <item x="161"/>
        <item x="221"/>
        <item x="95"/>
        <item x="196"/>
        <item x="173"/>
        <item x="71"/>
        <item x="142"/>
        <item x="55"/>
        <item x="89"/>
        <item x="67"/>
        <item x="87"/>
        <item x="3"/>
        <item x="92"/>
        <item x="13"/>
        <item x="43"/>
        <item x="169"/>
        <item x="197"/>
        <item x="116"/>
        <item x="162"/>
        <item x="220"/>
        <item x="103"/>
        <item x="195"/>
        <item x="26"/>
        <item x="146"/>
        <item x="24"/>
        <item x="165"/>
        <item x="25"/>
        <item x="166"/>
        <item x="118"/>
        <item x="76"/>
        <item x="141"/>
        <item x="12"/>
        <item x="147"/>
        <item x="72"/>
        <item x="218"/>
        <item x="194"/>
        <item x="73"/>
        <item x="163"/>
        <item x="27"/>
        <item x="4"/>
        <item x="170"/>
        <item x="66"/>
        <item x="52"/>
        <item x="188"/>
        <item x="104"/>
        <item x="85"/>
        <item x="14"/>
        <item x="46"/>
        <item x="94"/>
        <item x="0"/>
        <item x="138"/>
        <item x="59"/>
        <item x="157"/>
        <item x="143"/>
        <item x="84"/>
        <item x="45"/>
        <item x="18"/>
        <item x="171"/>
        <item x="152"/>
        <item x="81"/>
        <item x="207"/>
        <item x="22"/>
        <item x="38"/>
        <item x="109"/>
        <item x="136"/>
        <item x="31"/>
        <item x="49"/>
        <item x="2"/>
        <item x="187"/>
        <item x="111"/>
        <item x="60"/>
        <item x="156"/>
        <item x="29"/>
        <item x="80"/>
        <item x="158"/>
        <item x="23"/>
        <item x="77"/>
        <item x="167"/>
        <item x="56"/>
        <item x="17"/>
        <item x="41"/>
        <item x="177"/>
        <item x="34"/>
        <item x="6"/>
        <item x="134"/>
        <item x="9"/>
        <item x="203"/>
        <item x="101"/>
        <item x="135"/>
        <item x="124"/>
        <item x="68"/>
        <item x="130"/>
        <item x="159"/>
        <item x="86"/>
        <item x="178"/>
        <item x="128"/>
        <item x="74"/>
        <item x="63"/>
        <item x="192"/>
        <item x="155"/>
        <item x="205"/>
        <item x="149"/>
        <item x="21"/>
        <item x="36"/>
        <item x="185"/>
        <item x="219"/>
        <item x="144"/>
        <item x="121"/>
        <item x="154"/>
        <item x="30"/>
        <item x="164"/>
        <item x="119"/>
        <item x="93"/>
        <item x="78"/>
        <item x="110"/>
        <item x="35"/>
        <item x="15"/>
        <item x="50"/>
        <item x="57"/>
        <item x="62"/>
        <item x="37"/>
        <item x="69"/>
        <item x="51"/>
        <item x="193"/>
        <item x="97"/>
        <item x="7"/>
        <item x="123"/>
        <item x="114"/>
        <item x="47"/>
        <item x="137"/>
        <item x="90"/>
        <item x="53"/>
        <item x="44"/>
        <item x="160"/>
        <item x="216"/>
        <item x="213"/>
        <item x="179"/>
        <item x="125"/>
        <item x="122"/>
        <item x="201"/>
        <item x="65"/>
        <item x="153"/>
        <item x="198"/>
        <item x="212"/>
        <item x="96"/>
        <item x="211"/>
        <item x="151"/>
        <item x="199"/>
        <item x="82"/>
        <item x="208"/>
        <item x="126"/>
        <item x="145"/>
        <item x="127"/>
        <item x="1"/>
        <item x="148"/>
        <item x="174"/>
        <item x="180"/>
        <item x="64"/>
        <item x="28"/>
        <item x="102"/>
        <item x="214"/>
        <item x="11"/>
        <item x="115"/>
        <item x="48"/>
        <item x="190"/>
        <item x="61"/>
        <item x="131"/>
        <item x="100"/>
        <item x="183"/>
        <item x="150"/>
        <item x="99"/>
        <item x="140"/>
        <item x="175"/>
        <item x="186"/>
        <item x="79"/>
        <item x="182"/>
        <item x="39"/>
        <item x="204"/>
        <item x="40"/>
        <item x="181"/>
        <item x="33"/>
        <item t="default"/>
      </items>
    </pivotField>
    <pivotField showAll="0"/>
    <pivotField numFmtId="14" showAll="0"/>
    <pivotField showAll="0"/>
    <pivotField numFmtId="166" showAll="0"/>
    <pivotField numFmtId="4" showAll="0"/>
    <pivotField numFmtId="4" showAll="0"/>
    <pivotField numFmtId="10" showAll="0"/>
    <pivotField showAll="0"/>
  </pivotFields>
  <rowFields count="2">
    <field x="5"/>
    <field x="10"/>
  </rowFields>
  <rowItems count="66">
    <i>
      <x/>
    </i>
    <i r="1">
      <x/>
    </i>
    <i r="1">
      <x v="1"/>
    </i>
    <i r="1">
      <x v="2"/>
    </i>
    <i r="1">
      <x v="3"/>
    </i>
    <i r="1">
      <x v="4"/>
    </i>
    <i r="1">
      <x v="5"/>
    </i>
    <i r="1">
      <x v="6"/>
    </i>
    <i r="1">
      <x v="7"/>
    </i>
    <i r="1">
      <x v="8"/>
    </i>
    <i r="1">
      <x v="9"/>
    </i>
    <i r="1">
      <x v="10"/>
    </i>
    <i r="1">
      <x v="11"/>
    </i>
    <i r="1">
      <x v="12"/>
    </i>
    <i r="1">
      <x v="13"/>
    </i>
    <i r="1">
      <x v="14"/>
    </i>
    <i r="1">
      <x v="15"/>
    </i>
    <i>
      <x v="1"/>
    </i>
    <i r="1">
      <x/>
    </i>
    <i r="1">
      <x v="1"/>
    </i>
    <i r="1">
      <x v="2"/>
    </i>
    <i r="1">
      <x v="3"/>
    </i>
    <i r="1">
      <x v="4"/>
    </i>
    <i r="1">
      <x v="5"/>
    </i>
    <i r="1">
      <x v="6"/>
    </i>
    <i r="1">
      <x v="7"/>
    </i>
    <i r="1">
      <x v="8"/>
    </i>
    <i r="1">
      <x v="9"/>
    </i>
    <i r="1">
      <x v="10"/>
    </i>
    <i r="1">
      <x v="11"/>
    </i>
    <i r="1">
      <x v="12"/>
    </i>
    <i r="1">
      <x v="13"/>
    </i>
    <i r="1">
      <x v="14"/>
    </i>
    <i r="1">
      <x v="15"/>
    </i>
    <i>
      <x v="2"/>
    </i>
    <i r="1">
      <x/>
    </i>
    <i r="1">
      <x v="1"/>
    </i>
    <i r="1">
      <x v="2"/>
    </i>
    <i r="1">
      <x v="3"/>
    </i>
    <i r="1">
      <x v="4"/>
    </i>
    <i r="1">
      <x v="5"/>
    </i>
    <i r="1">
      <x v="6"/>
    </i>
    <i r="1">
      <x v="7"/>
    </i>
    <i r="1">
      <x v="8"/>
    </i>
    <i r="1">
      <x v="9"/>
    </i>
    <i r="1">
      <x v="10"/>
    </i>
    <i r="1">
      <x v="11"/>
    </i>
    <i r="1">
      <x v="12"/>
    </i>
    <i r="1">
      <x v="13"/>
    </i>
    <i r="1">
      <x v="14"/>
    </i>
    <i>
      <x v="3"/>
    </i>
    <i r="1">
      <x/>
    </i>
    <i r="1">
      <x v="1"/>
    </i>
    <i r="1">
      <x v="2"/>
    </i>
    <i r="1">
      <x v="3"/>
    </i>
    <i r="1">
      <x v="4"/>
    </i>
    <i r="1">
      <x v="6"/>
    </i>
    <i r="1">
      <x v="7"/>
    </i>
    <i r="1">
      <x v="8"/>
    </i>
    <i r="1">
      <x v="9"/>
    </i>
    <i r="1">
      <x v="10"/>
    </i>
    <i r="1">
      <x v="11"/>
    </i>
    <i r="1">
      <x v="12"/>
    </i>
    <i r="1">
      <x v="13"/>
    </i>
    <i r="1">
      <x v="14"/>
    </i>
    <i t="grand">
      <x/>
    </i>
  </rowItems>
  <colItems count="1">
    <i/>
  </colItems>
  <dataFields count="1">
    <dataField name="Sum of CappedDiscountCustom"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AAE38C-677D-43DD-B345-D9D45E6DC4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8" firstHeaderRow="1" firstDataRow="1" firstDataCol="1"/>
  <pivotFields count="30">
    <pivotField showAll="0"/>
    <pivotField numFmtId="164" showAll="0"/>
    <pivotField showAll="0"/>
    <pivotField showAll="0"/>
    <pivotField numFmtId="164" showAll="0"/>
    <pivotField axis="axisRow" showAll="0">
      <items count="5">
        <item h="1" x="0"/>
        <item h="1" x="2"/>
        <item h="1" x="1"/>
        <item x="3"/>
        <item t="default"/>
      </items>
    </pivotField>
    <pivotField axis="axisRow" showAll="0">
      <items count="13">
        <item x="5"/>
        <item x="3"/>
        <item x="9"/>
        <item x="7"/>
        <item x="6"/>
        <item x="4"/>
        <item x="2"/>
        <item x="0"/>
        <item x="1"/>
        <item x="11"/>
        <item x="8"/>
        <item x="10"/>
        <item t="default"/>
      </items>
    </pivotField>
    <pivotField showAll="0"/>
    <pivotField showAll="0"/>
    <pivotField showAll="0"/>
    <pivotField showAll="0"/>
    <pivotField showAll="0"/>
    <pivotField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f="1" x="227"/>
        <item f="1" x="236"/>
        <item f="1" x="326"/>
        <item f="1" x="327"/>
        <item f="1" x="328"/>
        <item f="1" x="329"/>
        <item f="1" x="330"/>
        <item f="1" x="331"/>
        <item f="1" x="332"/>
        <item f="1" x="333"/>
        <item f="1" x="334"/>
        <item f="1" x="335"/>
        <item f="1" x="237"/>
        <item f="1" x="336"/>
        <item f="1" x="337"/>
        <item f="1" x="338"/>
        <item f="1" x="339"/>
        <item f="1" x="340"/>
        <item f="1" x="341"/>
        <item f="1" x="342"/>
        <item f="1" x="343"/>
        <item f="1" x="344"/>
        <item f="1" x="345"/>
        <item f="1" x="238"/>
        <item f="1" x="346"/>
        <item f="1" x="347"/>
        <item f="1" x="348"/>
        <item f="1" x="349"/>
        <item f="1" x="350"/>
        <item f="1" x="351"/>
        <item f="1" x="352"/>
        <item f="1" x="353"/>
        <item f="1" x="354"/>
        <item f="1" x="355"/>
        <item f="1" x="239"/>
        <item f="1" x="356"/>
        <item f="1" x="357"/>
        <item f="1" x="358"/>
        <item f="1" x="359"/>
        <item f="1" x="360"/>
        <item f="1" x="361"/>
        <item f="1" x="362"/>
        <item f="1" x="363"/>
        <item f="1" x="364"/>
        <item f="1" x="365"/>
        <item f="1" x="240"/>
        <item f="1" x="366"/>
        <item f="1" x="367"/>
        <item f="1" x="368"/>
        <item f="1" x="369"/>
        <item f="1" x="370"/>
        <item f="1" x="371"/>
        <item f="1" x="372"/>
        <item f="1" x="373"/>
        <item f="1" x="374"/>
        <item f="1" x="375"/>
        <item f="1" x="241"/>
        <item f="1" x="376"/>
        <item f="1" x="377"/>
        <item f="1" x="378"/>
        <item f="1" x="379"/>
        <item f="1" x="380"/>
        <item f="1" x="381"/>
        <item f="1" x="382"/>
        <item f="1" x="383"/>
        <item f="1" x="384"/>
        <item f="1" x="385"/>
        <item f="1" x="242"/>
        <item f="1" x="386"/>
        <item f="1" x="387"/>
        <item f="1" x="388"/>
        <item f="1" x="389"/>
        <item f="1" x="390"/>
        <item f="1" x="391"/>
        <item f="1" x="392"/>
        <item f="1" x="393"/>
        <item f="1" x="394"/>
        <item f="1" x="395"/>
        <item f="1" x="243"/>
        <item f="1" x="396"/>
        <item f="1" x="397"/>
        <item f="1" x="398"/>
        <item f="1" x="399"/>
        <item f="1" x="400"/>
        <item f="1" x="401"/>
        <item f="1" x="402"/>
        <item f="1" x="403"/>
        <item f="1" x="404"/>
        <item f="1" x="405"/>
        <item f="1" x="244"/>
        <item f="1" x="406"/>
        <item f="1" x="407"/>
        <item f="1" x="408"/>
        <item f="1" x="409"/>
        <item f="1" x="410"/>
        <item f="1" x="411"/>
        <item f="1" x="412"/>
        <item f="1" x="413"/>
        <item f="1" x="414"/>
        <item f="1" x="415"/>
        <item f="1" x="245"/>
        <item f="1" x="416"/>
        <item f="1" x="417"/>
        <item f="1" x="418"/>
        <item f="1" x="419"/>
        <item f="1" x="420"/>
        <item f="1" x="421"/>
        <item f="1" x="422"/>
        <item f="1" x="423"/>
        <item f="1" x="424"/>
        <item f="1" x="425"/>
        <item f="1" x="228"/>
        <item f="1" x="246"/>
        <item f="1" x="426"/>
        <item f="1" x="427"/>
        <item f="1" x="428"/>
        <item f="1" x="429"/>
        <item f="1" x="430"/>
        <item f="1" x="431"/>
        <item f="1" x="432"/>
        <item f="1" x="433"/>
        <item f="1" x="434"/>
        <item f="1" x="435"/>
        <item f="1" x="247"/>
        <item f="1" x="436"/>
        <item f="1" x="437"/>
        <item f="1" x="438"/>
        <item f="1" x="439"/>
        <item f="1" x="440"/>
        <item f="1" x="441"/>
        <item f="1" x="442"/>
        <item f="1" x="443"/>
        <item f="1" x="444"/>
        <item f="1" x="445"/>
        <item f="1" x="248"/>
        <item f="1" x="446"/>
        <item f="1" x="447"/>
        <item f="1" x="448"/>
        <item f="1" x="449"/>
        <item f="1" x="450"/>
        <item f="1" x="451"/>
        <item f="1" x="452"/>
        <item f="1" x="453"/>
        <item f="1" x="249"/>
        <item f="1" x="250"/>
        <item f="1" x="251"/>
        <item f="1" x="252"/>
        <item f="1" x="253"/>
        <item f="1" x="254"/>
        <item f="1" x="255"/>
        <item f="1" x="229"/>
        <item f="1" x="256"/>
        <item f="1" x="257"/>
        <item f="1" x="258"/>
        <item f="1" x="259"/>
        <item f="1" x="260"/>
        <item f="1" x="261"/>
        <item f="1" x="262"/>
        <item f="1" x="263"/>
        <item f="1" x="264"/>
        <item f="1" x="265"/>
        <item f="1" x="230"/>
        <item f="1" x="266"/>
        <item f="1" x="267"/>
        <item f="1" x="268"/>
        <item f="1" x="269"/>
        <item f="1" x="270"/>
        <item f="1" x="271"/>
        <item f="1" x="272"/>
        <item f="1" x="273"/>
        <item f="1" x="274"/>
        <item f="1" x="275"/>
        <item f="1" x="231"/>
        <item f="1" x="276"/>
        <item f="1" x="277"/>
        <item f="1" x="278"/>
        <item f="1" x="279"/>
        <item f="1" x="280"/>
        <item f="1" x="281"/>
        <item f="1" x="282"/>
        <item f="1" x="283"/>
        <item f="1" x="284"/>
        <item f="1" x="285"/>
        <item f="1" x="232"/>
        <item f="1" x="286"/>
        <item f="1" x="287"/>
        <item f="1" x="288"/>
        <item f="1" x="289"/>
        <item f="1" x="290"/>
        <item f="1" x="291"/>
        <item f="1" x="292"/>
        <item f="1" x="293"/>
        <item f="1" x="294"/>
        <item f="1" x="295"/>
        <item f="1" x="233"/>
        <item f="1" x="296"/>
        <item f="1" x="297"/>
        <item f="1" x="298"/>
        <item f="1" x="299"/>
        <item f="1" x="300"/>
        <item f="1" x="301"/>
        <item f="1" x="302"/>
        <item f="1" x="303"/>
        <item f="1" x="304"/>
        <item f="1" x="305"/>
        <item f="1" x="234"/>
        <item f="1" x="306"/>
        <item f="1" x="307"/>
        <item f="1" x="308"/>
        <item f="1" x="309"/>
        <item f="1" x="310"/>
        <item f="1" x="311"/>
        <item f="1" x="312"/>
        <item f="1" x="313"/>
        <item f="1" x="314"/>
        <item f="1" x="315"/>
        <item f="1" x="235"/>
        <item f="1" x="316"/>
        <item f="1" x="317"/>
        <item f="1" x="318"/>
        <item f="1" x="319"/>
        <item f="1" x="320"/>
        <item f="1" x="321"/>
        <item f="1" x="322"/>
        <item f="1" x="323"/>
        <item f="1" x="324"/>
        <item f="1" x="325"/>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numFmtId="14" showAll="0"/>
    <pivotField showAll="0"/>
    <pivotField dataField="1" numFmtId="166" showAll="0"/>
    <pivotField numFmtId="4" showAll="0"/>
    <pivotField numFmtId="4" showAll="0"/>
    <pivotField numFmtId="10" showAll="0"/>
    <pivotField showAll="0"/>
  </pivotFields>
  <rowFields count="2">
    <field x="5"/>
    <field x="6"/>
  </rowFields>
  <rowItems count="5">
    <i>
      <x v="3"/>
    </i>
    <i r="1">
      <x v="3"/>
    </i>
    <i r="1">
      <x v="4"/>
    </i>
    <i r="1">
      <x v="10"/>
    </i>
    <i t="grand">
      <x/>
    </i>
  </rowItems>
  <colItems count="1">
    <i/>
  </colItems>
  <dataFields count="1">
    <dataField name="Sum of GrossRevenue" fld="25" baseField="0" baseItem="0" numFmtId="166"/>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99DA7A-F0BC-4582-A5B3-46998508CC7B}" name="Sale Trend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31" firstHeaderRow="1" firstDataRow="1" firstDataCol="1"/>
  <pivotFields count="30">
    <pivotField showAll="0"/>
    <pivotField numFmtId="164" showAll="0"/>
    <pivotField axis="axisRow" showAll="0">
      <items count="34">
        <item x="11"/>
        <item x="20"/>
        <item x="17"/>
        <item x="25"/>
        <item x="22"/>
        <item x="28"/>
        <item x="4"/>
        <item x="6"/>
        <item x="2"/>
        <item x="30"/>
        <item x="26"/>
        <item x="5"/>
        <item x="9"/>
        <item x="10"/>
        <item x="23"/>
        <item x="16"/>
        <item x="18"/>
        <item x="21"/>
        <item x="15"/>
        <item x="14"/>
        <item x="19"/>
        <item x="0"/>
        <item x="3"/>
        <item x="13"/>
        <item x="7"/>
        <item x="8"/>
        <item x="29"/>
        <item x="24"/>
        <item x="32"/>
        <item x="1"/>
        <item x="27"/>
        <item x="31"/>
        <item x="12"/>
        <item t="default"/>
      </items>
    </pivotField>
    <pivotField showAll="0">
      <items count="12">
        <item x="2"/>
        <item x="0"/>
        <item x="3"/>
        <item x="7"/>
        <item x="5"/>
        <item x="6"/>
        <item x="10"/>
        <item x="9"/>
        <item x="8"/>
        <item x="4"/>
        <item x="1"/>
        <item t="default"/>
      </items>
    </pivotField>
    <pivotField numFmtId="164" showAll="0"/>
    <pivotField showAll="0">
      <items count="5">
        <item h="1" x="0"/>
        <item h="1" x="2"/>
        <item h="1" x="1"/>
        <item x="3"/>
        <item t="default"/>
      </items>
    </pivotField>
    <pivotField showAll="0">
      <items count="13">
        <item x="5"/>
        <item x="3"/>
        <item x="9"/>
        <item x="7"/>
        <item x="6"/>
        <item x="4"/>
        <item x="2"/>
        <item x="0"/>
        <item x="1"/>
        <item x="11"/>
        <item x="8"/>
        <item x="10"/>
        <item t="default"/>
      </items>
    </pivotField>
    <pivotField showAll="0"/>
    <pivotField showAll="0">
      <items count="7">
        <item x="3"/>
        <item x="0"/>
        <item x="1"/>
        <item x="5"/>
        <item x="2"/>
        <item x="4"/>
        <item t="default"/>
      </items>
    </pivotField>
    <pivotField showAll="0">
      <items count="7">
        <item x="4"/>
        <item x="3"/>
        <item x="2"/>
        <item x="1"/>
        <item x="0"/>
        <item x="5"/>
        <item t="default"/>
      </items>
    </pivotField>
    <pivotField showAll="0">
      <items count="17">
        <item x="8"/>
        <item x="5"/>
        <item x="0"/>
        <item x="14"/>
        <item x="6"/>
        <item x="9"/>
        <item x="3"/>
        <item x="12"/>
        <item x="2"/>
        <item x="1"/>
        <item x="10"/>
        <item x="4"/>
        <item x="11"/>
        <item x="13"/>
        <item x="7"/>
        <item x="15"/>
        <item t="default"/>
      </items>
    </pivotField>
    <pivotField showAll="0">
      <items count="8">
        <item x="6"/>
        <item x="0"/>
        <item x="4"/>
        <item x="5"/>
        <item x="2"/>
        <item x="3"/>
        <item x="1"/>
        <item t="default"/>
      </items>
    </pivotField>
    <pivotField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f="1" x="227"/>
        <item f="1" x="236"/>
        <item f="1" x="326"/>
        <item f="1" x="327"/>
        <item f="1" x="328"/>
        <item f="1" x="329"/>
        <item f="1" x="330"/>
        <item f="1" x="331"/>
        <item f="1" x="332"/>
        <item f="1" x="333"/>
        <item f="1" x="334"/>
        <item f="1" x="335"/>
        <item f="1" x="237"/>
        <item f="1" x="336"/>
        <item f="1" x="337"/>
        <item f="1" x="338"/>
        <item f="1" x="339"/>
        <item f="1" x="340"/>
        <item f="1" x="341"/>
        <item f="1" x="342"/>
        <item f="1" x="343"/>
        <item f="1" x="344"/>
        <item f="1" x="345"/>
        <item f="1" x="238"/>
        <item f="1" x="346"/>
        <item f="1" x="347"/>
        <item f="1" x="348"/>
        <item f="1" x="349"/>
        <item f="1" x="350"/>
        <item f="1" x="351"/>
        <item f="1" x="352"/>
        <item f="1" x="353"/>
        <item f="1" x="354"/>
        <item f="1" x="355"/>
        <item f="1" x="239"/>
        <item f="1" x="356"/>
        <item f="1" x="357"/>
        <item f="1" x="358"/>
        <item f="1" x="359"/>
        <item f="1" x="360"/>
        <item f="1" x="361"/>
        <item f="1" x="362"/>
        <item f="1" x="363"/>
        <item f="1" x="364"/>
        <item f="1" x="365"/>
        <item f="1" x="240"/>
        <item f="1" x="366"/>
        <item f="1" x="367"/>
        <item f="1" x="368"/>
        <item f="1" x="369"/>
        <item f="1" x="370"/>
        <item f="1" x="371"/>
        <item f="1" x="372"/>
        <item f="1" x="373"/>
        <item f="1" x="374"/>
        <item f="1" x="375"/>
        <item f="1" x="241"/>
        <item f="1" x="376"/>
        <item f="1" x="377"/>
        <item f="1" x="378"/>
        <item f="1" x="379"/>
        <item f="1" x="380"/>
        <item f="1" x="381"/>
        <item f="1" x="382"/>
        <item f="1" x="383"/>
        <item f="1" x="384"/>
        <item f="1" x="385"/>
        <item f="1" x="242"/>
        <item f="1" x="386"/>
        <item f="1" x="387"/>
        <item f="1" x="388"/>
        <item f="1" x="389"/>
        <item f="1" x="390"/>
        <item f="1" x="391"/>
        <item f="1" x="392"/>
        <item f="1" x="393"/>
        <item f="1" x="394"/>
        <item f="1" x="395"/>
        <item f="1" x="243"/>
        <item f="1" x="396"/>
        <item f="1" x="397"/>
        <item f="1" x="398"/>
        <item f="1" x="399"/>
        <item f="1" x="400"/>
        <item f="1" x="401"/>
        <item f="1" x="402"/>
        <item f="1" x="403"/>
        <item f="1" x="404"/>
        <item f="1" x="405"/>
        <item f="1" x="244"/>
        <item f="1" x="406"/>
        <item f="1" x="407"/>
        <item f="1" x="408"/>
        <item f="1" x="409"/>
        <item f="1" x="410"/>
        <item f="1" x="411"/>
        <item f="1" x="412"/>
        <item f="1" x="413"/>
        <item f="1" x="414"/>
        <item f="1" x="415"/>
        <item f="1" x="245"/>
        <item f="1" x="416"/>
        <item f="1" x="417"/>
        <item f="1" x="418"/>
        <item f="1" x="419"/>
        <item f="1" x="420"/>
        <item f="1" x="421"/>
        <item f="1" x="422"/>
        <item f="1" x="423"/>
        <item f="1" x="424"/>
        <item f="1" x="425"/>
        <item f="1" x="228"/>
        <item f="1" x="246"/>
        <item f="1" x="426"/>
        <item f="1" x="427"/>
        <item f="1" x="428"/>
        <item f="1" x="429"/>
        <item f="1" x="430"/>
        <item f="1" x="431"/>
        <item f="1" x="432"/>
        <item f="1" x="433"/>
        <item f="1" x="434"/>
        <item f="1" x="435"/>
        <item f="1" x="247"/>
        <item f="1" x="436"/>
        <item f="1" x="437"/>
        <item f="1" x="438"/>
        <item f="1" x="439"/>
        <item f="1" x="440"/>
        <item f="1" x="441"/>
        <item f="1" x="442"/>
        <item f="1" x="443"/>
        <item f="1" x="444"/>
        <item f="1" x="445"/>
        <item f="1" x="248"/>
        <item f="1" x="446"/>
        <item f="1" x="447"/>
        <item f="1" x="448"/>
        <item f="1" x="449"/>
        <item f="1" x="450"/>
        <item f="1" x="451"/>
        <item f="1" x="452"/>
        <item f="1" x="453"/>
        <item f="1" x="249"/>
        <item f="1" x="250"/>
        <item f="1" x="251"/>
        <item f="1" x="252"/>
        <item f="1" x="253"/>
        <item f="1" x="254"/>
        <item f="1" x="255"/>
        <item f="1" x="229"/>
        <item f="1" x="256"/>
        <item f="1" x="257"/>
        <item f="1" x="258"/>
        <item f="1" x="259"/>
        <item f="1" x="260"/>
        <item f="1" x="261"/>
        <item f="1" x="262"/>
        <item f="1" x="263"/>
        <item f="1" x="264"/>
        <item f="1" x="265"/>
        <item f="1" x="230"/>
        <item f="1" x="266"/>
        <item f="1" x="267"/>
        <item f="1" x="268"/>
        <item f="1" x="269"/>
        <item f="1" x="270"/>
        <item f="1" x="271"/>
        <item f="1" x="272"/>
        <item f="1" x="273"/>
        <item f="1" x="274"/>
        <item f="1" x="275"/>
        <item f="1" x="231"/>
        <item f="1" x="276"/>
        <item f="1" x="277"/>
        <item f="1" x="278"/>
        <item f="1" x="279"/>
        <item f="1" x="280"/>
        <item f="1" x="281"/>
        <item f="1" x="282"/>
        <item f="1" x="283"/>
        <item f="1" x="284"/>
        <item f="1" x="285"/>
        <item f="1" x="232"/>
        <item f="1" x="286"/>
        <item f="1" x="287"/>
        <item f="1" x="288"/>
        <item f="1" x="289"/>
        <item f="1" x="290"/>
        <item f="1" x="291"/>
        <item f="1" x="292"/>
        <item f="1" x="293"/>
        <item f="1" x="294"/>
        <item f="1" x="295"/>
        <item f="1" x="233"/>
        <item f="1" x="296"/>
        <item f="1" x="297"/>
        <item f="1" x="298"/>
        <item f="1" x="299"/>
        <item f="1" x="300"/>
        <item f="1" x="301"/>
        <item f="1" x="302"/>
        <item f="1" x="303"/>
        <item f="1" x="304"/>
        <item f="1" x="305"/>
        <item f="1" x="234"/>
        <item f="1" x="306"/>
        <item f="1" x="307"/>
        <item f="1" x="308"/>
        <item f="1" x="309"/>
        <item f="1" x="310"/>
        <item f="1" x="311"/>
        <item f="1" x="312"/>
        <item f="1" x="313"/>
        <item f="1" x="314"/>
        <item f="1" x="315"/>
        <item f="1" x="235"/>
        <item f="1" x="316"/>
        <item f="1" x="317"/>
        <item f="1" x="318"/>
        <item f="1" x="319"/>
        <item f="1" x="320"/>
        <item f="1" x="321"/>
        <item f="1" x="322"/>
        <item f="1" x="323"/>
        <item f="1" x="324"/>
        <item f="1" x="325"/>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numFmtId="14" showAll="0"/>
    <pivotField showAll="0"/>
    <pivotField dataField="1" numFmtId="166" showAll="0"/>
    <pivotField numFmtId="4" showAll="0"/>
    <pivotField numFmtId="4" showAll="0"/>
    <pivotField numFmtId="10" showAll="0"/>
    <pivotField showAll="0"/>
  </pivotFields>
  <rowFields count="1">
    <field x="2"/>
  </rowFields>
  <rowItems count="28">
    <i>
      <x/>
    </i>
    <i>
      <x v="1"/>
    </i>
    <i>
      <x v="2"/>
    </i>
    <i>
      <x v="3"/>
    </i>
    <i>
      <x v="4"/>
    </i>
    <i>
      <x v="5"/>
    </i>
    <i>
      <x v="6"/>
    </i>
    <i>
      <x v="7"/>
    </i>
    <i>
      <x v="8"/>
    </i>
    <i>
      <x v="9"/>
    </i>
    <i>
      <x v="10"/>
    </i>
    <i>
      <x v="11"/>
    </i>
    <i>
      <x v="12"/>
    </i>
    <i>
      <x v="13"/>
    </i>
    <i>
      <x v="14"/>
    </i>
    <i>
      <x v="17"/>
    </i>
    <i>
      <x v="18"/>
    </i>
    <i>
      <x v="19"/>
    </i>
    <i>
      <x v="20"/>
    </i>
    <i>
      <x v="21"/>
    </i>
    <i>
      <x v="22"/>
    </i>
    <i>
      <x v="24"/>
    </i>
    <i>
      <x v="25"/>
    </i>
    <i>
      <x v="26"/>
    </i>
    <i>
      <x v="27"/>
    </i>
    <i>
      <x v="28"/>
    </i>
    <i>
      <x v="32"/>
    </i>
    <i t="grand">
      <x/>
    </i>
  </rowItems>
  <colItems count="1">
    <i/>
  </colItems>
  <dataFields count="1">
    <dataField name="Sum of GrossRevenue" fld="25" baseField="2" baseItem="5" numFmtId="166"/>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9BC3AD-1FF9-4A48-8539-EBAC9DF11D4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5:J30" firstHeaderRow="1" firstDataRow="1" firstDataCol="1"/>
  <pivotFields count="30">
    <pivotField showAll="0"/>
    <pivotField numFmtId="164" showAll="0"/>
    <pivotField showAll="0"/>
    <pivotField showAll="0"/>
    <pivotField numFmtId="164" showAll="0"/>
    <pivotField showAll="0">
      <items count="5">
        <item h="1" x="0"/>
        <item h="1" x="2"/>
        <item h="1" x="1"/>
        <item x="3"/>
        <item t="default"/>
      </items>
    </pivotField>
    <pivotField showAll="0"/>
    <pivotField showAll="0"/>
    <pivotField showAll="0"/>
    <pivotField showAll="0"/>
    <pivotField axis="axisRow" showAll="0">
      <items count="17">
        <item x="8"/>
        <item x="5"/>
        <item x="0"/>
        <item x="14"/>
        <item x="6"/>
        <item x="9"/>
        <item x="3"/>
        <item x="12"/>
        <item x="2"/>
        <item x="1"/>
        <item x="10"/>
        <item x="4"/>
        <item x="11"/>
        <item x="13"/>
        <item x="7"/>
        <item x="15"/>
        <item t="default"/>
      </items>
    </pivotField>
    <pivotField showAll="0"/>
    <pivotField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f="1" x="227"/>
        <item f="1" x="236"/>
        <item f="1" x="326"/>
        <item f="1" x="327"/>
        <item f="1" x="328"/>
        <item f="1" x="329"/>
        <item f="1" x="330"/>
        <item f="1" x="331"/>
        <item f="1" x="332"/>
        <item f="1" x="333"/>
        <item f="1" x="334"/>
        <item f="1" x="335"/>
        <item f="1" x="237"/>
        <item f="1" x="336"/>
        <item f="1" x="337"/>
        <item f="1" x="338"/>
        <item f="1" x="339"/>
        <item f="1" x="340"/>
        <item f="1" x="341"/>
        <item f="1" x="342"/>
        <item f="1" x="343"/>
        <item f="1" x="344"/>
        <item f="1" x="345"/>
        <item f="1" x="238"/>
        <item f="1" x="346"/>
        <item f="1" x="347"/>
        <item f="1" x="348"/>
        <item f="1" x="349"/>
        <item f="1" x="350"/>
        <item f="1" x="351"/>
        <item f="1" x="352"/>
        <item f="1" x="353"/>
        <item f="1" x="354"/>
        <item f="1" x="355"/>
        <item f="1" x="239"/>
        <item f="1" x="356"/>
        <item f="1" x="357"/>
        <item f="1" x="358"/>
        <item f="1" x="359"/>
        <item f="1" x="360"/>
        <item f="1" x="361"/>
        <item f="1" x="362"/>
        <item f="1" x="363"/>
        <item f="1" x="364"/>
        <item f="1" x="365"/>
        <item f="1" x="240"/>
        <item f="1" x="366"/>
        <item f="1" x="367"/>
        <item f="1" x="368"/>
        <item f="1" x="369"/>
        <item f="1" x="370"/>
        <item f="1" x="371"/>
        <item f="1" x="372"/>
        <item f="1" x="373"/>
        <item f="1" x="374"/>
        <item f="1" x="375"/>
        <item f="1" x="241"/>
        <item f="1" x="376"/>
        <item f="1" x="377"/>
        <item f="1" x="378"/>
        <item f="1" x="379"/>
        <item f="1" x="380"/>
        <item f="1" x="381"/>
        <item f="1" x="382"/>
        <item f="1" x="383"/>
        <item f="1" x="384"/>
        <item f="1" x="385"/>
        <item f="1" x="242"/>
        <item f="1" x="386"/>
        <item f="1" x="387"/>
        <item f="1" x="388"/>
        <item f="1" x="389"/>
        <item f="1" x="390"/>
        <item f="1" x="391"/>
        <item f="1" x="392"/>
        <item f="1" x="393"/>
        <item f="1" x="394"/>
        <item f="1" x="395"/>
        <item f="1" x="243"/>
        <item f="1" x="396"/>
        <item f="1" x="397"/>
        <item f="1" x="398"/>
        <item f="1" x="399"/>
        <item f="1" x="400"/>
        <item f="1" x="401"/>
        <item f="1" x="402"/>
        <item f="1" x="403"/>
        <item f="1" x="404"/>
        <item f="1" x="405"/>
        <item f="1" x="244"/>
        <item f="1" x="406"/>
        <item f="1" x="407"/>
        <item f="1" x="408"/>
        <item f="1" x="409"/>
        <item f="1" x="410"/>
        <item f="1" x="411"/>
        <item f="1" x="412"/>
        <item f="1" x="413"/>
        <item f="1" x="414"/>
        <item f="1" x="415"/>
        <item f="1" x="245"/>
        <item f="1" x="416"/>
        <item f="1" x="417"/>
        <item f="1" x="418"/>
        <item f="1" x="419"/>
        <item f="1" x="420"/>
        <item f="1" x="421"/>
        <item f="1" x="422"/>
        <item f="1" x="423"/>
        <item f="1" x="424"/>
        <item f="1" x="425"/>
        <item f="1" x="228"/>
        <item f="1" x="246"/>
        <item f="1" x="426"/>
        <item f="1" x="427"/>
        <item f="1" x="428"/>
        <item f="1" x="429"/>
        <item f="1" x="430"/>
        <item f="1" x="431"/>
        <item f="1" x="432"/>
        <item f="1" x="433"/>
        <item f="1" x="434"/>
        <item f="1" x="435"/>
        <item f="1" x="247"/>
        <item f="1" x="436"/>
        <item f="1" x="437"/>
        <item f="1" x="438"/>
        <item f="1" x="439"/>
        <item f="1" x="440"/>
        <item f="1" x="441"/>
        <item f="1" x="442"/>
        <item f="1" x="443"/>
        <item f="1" x="444"/>
        <item f="1" x="445"/>
        <item f="1" x="248"/>
        <item f="1" x="446"/>
        <item f="1" x="447"/>
        <item f="1" x="448"/>
        <item f="1" x="449"/>
        <item f="1" x="450"/>
        <item f="1" x="451"/>
        <item f="1" x="452"/>
        <item f="1" x="453"/>
        <item f="1" x="249"/>
        <item f="1" x="250"/>
        <item f="1" x="251"/>
        <item f="1" x="252"/>
        <item f="1" x="253"/>
        <item f="1" x="254"/>
        <item f="1" x="255"/>
        <item f="1" x="229"/>
        <item f="1" x="256"/>
        <item f="1" x="257"/>
        <item f="1" x="258"/>
        <item f="1" x="259"/>
        <item f="1" x="260"/>
        <item f="1" x="261"/>
        <item f="1" x="262"/>
        <item f="1" x="263"/>
        <item f="1" x="264"/>
        <item f="1" x="265"/>
        <item f="1" x="230"/>
        <item f="1" x="266"/>
        <item f="1" x="267"/>
        <item f="1" x="268"/>
        <item f="1" x="269"/>
        <item f="1" x="270"/>
        <item f="1" x="271"/>
        <item f="1" x="272"/>
        <item f="1" x="273"/>
        <item f="1" x="274"/>
        <item f="1" x="275"/>
        <item f="1" x="231"/>
        <item f="1" x="276"/>
        <item f="1" x="277"/>
        <item f="1" x="278"/>
        <item f="1" x="279"/>
        <item f="1" x="280"/>
        <item f="1" x="281"/>
        <item f="1" x="282"/>
        <item f="1" x="283"/>
        <item f="1" x="284"/>
        <item f="1" x="285"/>
        <item f="1" x="232"/>
        <item f="1" x="286"/>
        <item f="1" x="287"/>
        <item f="1" x="288"/>
        <item f="1" x="289"/>
        <item f="1" x="290"/>
        <item f="1" x="291"/>
        <item f="1" x="292"/>
        <item f="1" x="293"/>
        <item f="1" x="294"/>
        <item f="1" x="295"/>
        <item f="1" x="233"/>
        <item f="1" x="296"/>
        <item f="1" x="297"/>
        <item f="1" x="298"/>
        <item f="1" x="299"/>
        <item f="1" x="300"/>
        <item f="1" x="301"/>
        <item f="1" x="302"/>
        <item f="1" x="303"/>
        <item f="1" x="304"/>
        <item f="1" x="305"/>
        <item f="1" x="234"/>
        <item f="1" x="306"/>
        <item f="1" x="307"/>
        <item f="1" x="308"/>
        <item f="1" x="309"/>
        <item f="1" x="310"/>
        <item f="1" x="311"/>
        <item f="1" x="312"/>
        <item f="1" x="313"/>
        <item f="1" x="314"/>
        <item f="1" x="315"/>
        <item f="1" x="235"/>
        <item f="1" x="316"/>
        <item f="1" x="317"/>
        <item f="1" x="318"/>
        <item f="1" x="319"/>
        <item f="1" x="320"/>
        <item f="1" x="321"/>
        <item f="1" x="322"/>
        <item f="1" x="323"/>
        <item f="1" x="324"/>
        <item f="1" x="325"/>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numFmtId="14" showAll="0"/>
    <pivotField showAll="0"/>
    <pivotField dataField="1" numFmtId="166" showAll="0"/>
    <pivotField numFmtId="4" showAll="0"/>
    <pivotField numFmtId="4" showAll="0"/>
    <pivotField numFmtId="10" showAll="0"/>
    <pivotField showAll="0"/>
  </pivotFields>
  <rowFields count="1">
    <field x="10"/>
  </rowFields>
  <rowItems count="15">
    <i>
      <x/>
    </i>
    <i>
      <x v="1"/>
    </i>
    <i>
      <x v="2"/>
    </i>
    <i>
      <x v="3"/>
    </i>
    <i>
      <x v="4"/>
    </i>
    <i>
      <x v="6"/>
    </i>
    <i>
      <x v="7"/>
    </i>
    <i>
      <x v="8"/>
    </i>
    <i>
      <x v="9"/>
    </i>
    <i>
      <x v="10"/>
    </i>
    <i>
      <x v="11"/>
    </i>
    <i>
      <x v="12"/>
    </i>
    <i>
      <x v="13"/>
    </i>
    <i>
      <x v="14"/>
    </i>
    <i t="grand">
      <x/>
    </i>
  </rowItems>
  <colItems count="1">
    <i/>
  </colItems>
  <dataFields count="1">
    <dataField name="Sum of GrossRevenue" fld="25"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B9B0BB0-11F6-449E-B842-44CDCCB80E6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J11" firstHeaderRow="1" firstDataRow="1" firstDataCol="1"/>
  <pivotFields count="30">
    <pivotField showAll="0"/>
    <pivotField numFmtId="164" showAll="0"/>
    <pivotField showAll="0"/>
    <pivotField showAll="0"/>
    <pivotField numFmtId="164" showAll="0"/>
    <pivotField showAll="0">
      <items count="5">
        <item h="1" x="0"/>
        <item h="1" x="2"/>
        <item h="1" x="1"/>
        <item x="3"/>
        <item t="default"/>
      </items>
    </pivotField>
    <pivotField showAll="0"/>
    <pivotField showAll="0"/>
    <pivotField showAll="0"/>
    <pivotField showAll="0"/>
    <pivotField showAll="0"/>
    <pivotField axis="axisRow" showAll="0">
      <items count="8">
        <item x="6"/>
        <item x="0"/>
        <item x="4"/>
        <item x="5"/>
        <item x="2"/>
        <item x="3"/>
        <item x="1"/>
        <item t="default"/>
      </items>
    </pivotField>
    <pivotField showAll="0">
      <items count="455">
        <item x="101"/>
        <item x="179"/>
        <item x="185"/>
        <item x="198"/>
        <item x="163"/>
        <item x="135"/>
        <item x="43"/>
        <item x="44"/>
        <item x="173"/>
        <item x="79"/>
        <item x="55"/>
        <item x="167"/>
        <item x="178"/>
        <item x="221"/>
        <item x="18"/>
        <item x="110"/>
        <item x="61"/>
        <item x="127"/>
        <item x="143"/>
        <item x="188"/>
        <item x="39"/>
        <item x="123"/>
        <item x="102"/>
        <item x="10"/>
        <item x="183"/>
        <item x="162"/>
        <item x="21"/>
        <item x="74"/>
        <item x="51"/>
        <item x="220"/>
        <item x="165"/>
        <item x="124"/>
        <item x="83"/>
        <item x="60"/>
        <item x="226"/>
        <item x="93"/>
        <item x="197"/>
        <item x="20"/>
        <item x="70"/>
        <item x="12"/>
        <item x="99"/>
        <item x="9"/>
        <item x="164"/>
        <item x="109"/>
        <item x="136"/>
        <item x="168"/>
        <item x="213"/>
        <item x="68"/>
        <item x="174"/>
        <item x="59"/>
        <item x="62"/>
        <item x="35"/>
        <item x="94"/>
        <item x="199"/>
        <item x="24"/>
        <item x="46"/>
        <item x="142"/>
        <item x="54"/>
        <item x="28"/>
        <item x="45"/>
        <item x="80"/>
        <item x="78"/>
        <item x="69"/>
        <item x="0"/>
        <item x="29"/>
        <item x="145"/>
        <item x="120"/>
        <item f="1" x="227"/>
        <item f="1" x="236"/>
        <item f="1" x="326"/>
        <item f="1" x="327"/>
        <item f="1" x="328"/>
        <item f="1" x="329"/>
        <item f="1" x="330"/>
        <item f="1" x="331"/>
        <item f="1" x="332"/>
        <item f="1" x="333"/>
        <item f="1" x="334"/>
        <item f="1" x="335"/>
        <item f="1" x="237"/>
        <item f="1" x="336"/>
        <item f="1" x="337"/>
        <item f="1" x="338"/>
        <item f="1" x="339"/>
        <item f="1" x="340"/>
        <item f="1" x="341"/>
        <item f="1" x="342"/>
        <item f="1" x="343"/>
        <item f="1" x="344"/>
        <item f="1" x="345"/>
        <item f="1" x="238"/>
        <item f="1" x="346"/>
        <item f="1" x="347"/>
        <item f="1" x="348"/>
        <item f="1" x="349"/>
        <item f="1" x="350"/>
        <item f="1" x="351"/>
        <item f="1" x="352"/>
        <item f="1" x="353"/>
        <item f="1" x="354"/>
        <item f="1" x="355"/>
        <item f="1" x="239"/>
        <item f="1" x="356"/>
        <item f="1" x="357"/>
        <item f="1" x="358"/>
        <item f="1" x="359"/>
        <item f="1" x="360"/>
        <item f="1" x="361"/>
        <item f="1" x="362"/>
        <item f="1" x="363"/>
        <item f="1" x="364"/>
        <item f="1" x="365"/>
        <item f="1" x="240"/>
        <item f="1" x="366"/>
        <item f="1" x="367"/>
        <item f="1" x="368"/>
        <item f="1" x="369"/>
        <item f="1" x="370"/>
        <item f="1" x="371"/>
        <item f="1" x="372"/>
        <item f="1" x="373"/>
        <item f="1" x="374"/>
        <item f="1" x="375"/>
        <item f="1" x="241"/>
        <item f="1" x="376"/>
        <item f="1" x="377"/>
        <item f="1" x="378"/>
        <item f="1" x="379"/>
        <item f="1" x="380"/>
        <item f="1" x="381"/>
        <item f="1" x="382"/>
        <item f="1" x="383"/>
        <item f="1" x="384"/>
        <item f="1" x="385"/>
        <item f="1" x="242"/>
        <item f="1" x="386"/>
        <item f="1" x="387"/>
        <item f="1" x="388"/>
        <item f="1" x="389"/>
        <item f="1" x="390"/>
        <item f="1" x="391"/>
        <item f="1" x="392"/>
        <item f="1" x="393"/>
        <item f="1" x="394"/>
        <item f="1" x="395"/>
        <item f="1" x="243"/>
        <item f="1" x="396"/>
        <item f="1" x="397"/>
        <item f="1" x="398"/>
        <item f="1" x="399"/>
        <item f="1" x="400"/>
        <item f="1" x="401"/>
        <item f="1" x="402"/>
        <item f="1" x="403"/>
        <item f="1" x="404"/>
        <item f="1" x="405"/>
        <item f="1" x="244"/>
        <item f="1" x="406"/>
        <item f="1" x="407"/>
        <item f="1" x="408"/>
        <item f="1" x="409"/>
        <item f="1" x="410"/>
        <item f="1" x="411"/>
        <item f="1" x="412"/>
        <item f="1" x="413"/>
        <item f="1" x="414"/>
        <item f="1" x="415"/>
        <item f="1" x="245"/>
        <item f="1" x="416"/>
        <item f="1" x="417"/>
        <item f="1" x="418"/>
        <item f="1" x="419"/>
        <item f="1" x="420"/>
        <item f="1" x="421"/>
        <item f="1" x="422"/>
        <item f="1" x="423"/>
        <item f="1" x="424"/>
        <item f="1" x="425"/>
        <item f="1" x="228"/>
        <item f="1" x="246"/>
        <item f="1" x="426"/>
        <item f="1" x="427"/>
        <item f="1" x="428"/>
        <item f="1" x="429"/>
        <item f="1" x="430"/>
        <item f="1" x="431"/>
        <item f="1" x="432"/>
        <item f="1" x="433"/>
        <item f="1" x="434"/>
        <item f="1" x="435"/>
        <item f="1" x="247"/>
        <item f="1" x="436"/>
        <item f="1" x="437"/>
        <item f="1" x="438"/>
        <item f="1" x="439"/>
        <item f="1" x="440"/>
        <item f="1" x="441"/>
        <item f="1" x="442"/>
        <item f="1" x="443"/>
        <item f="1" x="444"/>
        <item f="1" x="445"/>
        <item f="1" x="248"/>
        <item f="1" x="446"/>
        <item f="1" x="447"/>
        <item f="1" x="448"/>
        <item f="1" x="449"/>
        <item f="1" x="450"/>
        <item f="1" x="451"/>
        <item f="1" x="452"/>
        <item f="1" x="453"/>
        <item f="1" x="249"/>
        <item f="1" x="250"/>
        <item f="1" x="251"/>
        <item f="1" x="252"/>
        <item f="1" x="253"/>
        <item f="1" x="254"/>
        <item f="1" x="255"/>
        <item f="1" x="229"/>
        <item f="1" x="256"/>
        <item f="1" x="257"/>
        <item f="1" x="258"/>
        <item f="1" x="259"/>
        <item f="1" x="260"/>
        <item f="1" x="261"/>
        <item f="1" x="262"/>
        <item f="1" x="263"/>
        <item f="1" x="264"/>
        <item f="1" x="265"/>
        <item f="1" x="230"/>
        <item f="1" x="266"/>
        <item f="1" x="267"/>
        <item f="1" x="268"/>
        <item f="1" x="269"/>
        <item f="1" x="270"/>
        <item f="1" x="271"/>
        <item f="1" x="272"/>
        <item f="1" x="273"/>
        <item f="1" x="274"/>
        <item f="1" x="275"/>
        <item f="1" x="231"/>
        <item f="1" x="276"/>
        <item f="1" x="277"/>
        <item f="1" x="278"/>
        <item f="1" x="279"/>
        <item f="1" x="280"/>
        <item f="1" x="281"/>
        <item f="1" x="282"/>
        <item f="1" x="283"/>
        <item f="1" x="284"/>
        <item f="1" x="285"/>
        <item f="1" x="232"/>
        <item f="1" x="286"/>
        <item f="1" x="287"/>
        <item f="1" x="288"/>
        <item f="1" x="289"/>
        <item f="1" x="290"/>
        <item f="1" x="291"/>
        <item f="1" x="292"/>
        <item f="1" x="293"/>
        <item f="1" x="294"/>
        <item f="1" x="295"/>
        <item f="1" x="233"/>
        <item f="1" x="296"/>
        <item f="1" x="297"/>
        <item f="1" x="298"/>
        <item f="1" x="299"/>
        <item f="1" x="300"/>
        <item f="1" x="301"/>
        <item f="1" x="302"/>
        <item f="1" x="303"/>
        <item f="1" x="304"/>
        <item f="1" x="305"/>
        <item f="1" x="234"/>
        <item f="1" x="306"/>
        <item f="1" x="307"/>
        <item f="1" x="308"/>
        <item f="1" x="309"/>
        <item f="1" x="310"/>
        <item f="1" x="311"/>
        <item f="1" x="312"/>
        <item f="1" x="313"/>
        <item f="1" x="314"/>
        <item f="1" x="315"/>
        <item f="1" x="235"/>
        <item f="1" x="316"/>
        <item f="1" x="317"/>
        <item f="1" x="318"/>
        <item f="1" x="319"/>
        <item f="1" x="320"/>
        <item f="1" x="321"/>
        <item f="1" x="322"/>
        <item f="1" x="323"/>
        <item f="1" x="324"/>
        <item f="1" x="325"/>
        <item x="219"/>
        <item x="115"/>
        <item x="105"/>
        <item x="13"/>
        <item x="89"/>
        <item x="159"/>
        <item x="151"/>
        <item x="196"/>
        <item x="193"/>
        <item x="16"/>
        <item x="49"/>
        <item x="56"/>
        <item x="19"/>
        <item x="107"/>
        <item x="192"/>
        <item x="42"/>
        <item x="117"/>
        <item x="128"/>
        <item x="57"/>
        <item x="5"/>
        <item x="84"/>
        <item x="97"/>
        <item x="184"/>
        <item x="155"/>
        <item x="139"/>
        <item x="126"/>
        <item x="134"/>
        <item x="200"/>
        <item x="116"/>
        <item x="53"/>
        <item x="218"/>
        <item x="86"/>
        <item x="72"/>
        <item x="175"/>
        <item x="156"/>
        <item x="66"/>
        <item x="90"/>
        <item x="203"/>
        <item x="40"/>
        <item x="152"/>
        <item x="133"/>
        <item x="96"/>
        <item x="48"/>
        <item x="121"/>
        <item x="190"/>
        <item x="129"/>
        <item x="114"/>
        <item x="52"/>
        <item x="211"/>
        <item x="8"/>
        <item x="209"/>
        <item x="63"/>
        <item x="6"/>
        <item x="125"/>
        <item x="71"/>
        <item x="88"/>
        <item x="217"/>
        <item x="170"/>
        <item x="32"/>
        <item x="77"/>
        <item x="186"/>
        <item x="58"/>
        <item x="36"/>
        <item x="104"/>
        <item x="207"/>
        <item x="17"/>
        <item x="166"/>
        <item x="189"/>
        <item x="95"/>
        <item x="85"/>
        <item x="64"/>
        <item x="172"/>
        <item x="37"/>
        <item x="212"/>
        <item x="224"/>
        <item x="195"/>
        <item x="158"/>
        <item x="67"/>
        <item x="138"/>
        <item x="26"/>
        <item x="206"/>
        <item x="160"/>
        <item x="92"/>
        <item x="108"/>
        <item x="177"/>
        <item x="154"/>
        <item x="2"/>
        <item x="23"/>
        <item x="41"/>
        <item x="204"/>
        <item x="15"/>
        <item x="187"/>
        <item x="82"/>
        <item x="146"/>
        <item x="205"/>
        <item x="148"/>
        <item x="180"/>
        <item x="3"/>
        <item x="106"/>
        <item x="50"/>
        <item x="150"/>
        <item x="25"/>
        <item x="130"/>
        <item x="112"/>
        <item x="216"/>
        <item x="169"/>
        <item x="176"/>
        <item x="22"/>
        <item x="75"/>
        <item x="11"/>
        <item x="223"/>
        <item x="91"/>
        <item x="194"/>
        <item x="100"/>
        <item x="47"/>
        <item x="81"/>
        <item x="111"/>
        <item x="171"/>
        <item x="181"/>
        <item x="144"/>
        <item x="38"/>
        <item x="208"/>
        <item x="210"/>
        <item x="222"/>
        <item x="141"/>
        <item x="153"/>
        <item x="137"/>
        <item x="33"/>
        <item x="214"/>
        <item x="191"/>
        <item x="118"/>
        <item x="113"/>
        <item x="103"/>
        <item x="27"/>
        <item x="98"/>
        <item x="147"/>
        <item x="119"/>
        <item x="225"/>
        <item x="182"/>
        <item x="149"/>
        <item x="140"/>
        <item x="202"/>
        <item x="7"/>
        <item x="87"/>
        <item x="73"/>
        <item x="31"/>
        <item x="14"/>
        <item x="131"/>
        <item x="30"/>
        <item x="4"/>
        <item x="122"/>
        <item x="132"/>
        <item x="157"/>
        <item x="161"/>
        <item x="76"/>
        <item x="1"/>
        <item x="201"/>
        <item x="215"/>
        <item x="65"/>
        <item x="34"/>
        <item t="default"/>
      </items>
    </pivotField>
    <pivotField numFmtId="165" showAll="0"/>
    <pivotField numFmtId="165" showAll="0"/>
    <pivotField numFmtId="165" showAll="0"/>
    <pivotField numFmtId="165" showAll="0"/>
    <pivotField showAll="0"/>
    <pivotField showAll="0"/>
    <pivotField showAll="0"/>
    <pivotField showAll="0"/>
    <pivotField showAll="0"/>
    <pivotField showAll="0"/>
    <pivotField numFmtId="14" showAll="0"/>
    <pivotField showAll="0"/>
    <pivotField dataField="1" numFmtId="166" showAll="0"/>
    <pivotField numFmtId="4" showAll="0"/>
    <pivotField numFmtId="4" showAll="0"/>
    <pivotField numFmtId="10" showAll="0"/>
    <pivotField showAll="0"/>
  </pivotFields>
  <rowFields count="1">
    <field x="11"/>
  </rowFields>
  <rowItems count="8">
    <i>
      <x/>
    </i>
    <i>
      <x v="1"/>
    </i>
    <i>
      <x v="2"/>
    </i>
    <i>
      <x v="3"/>
    </i>
    <i>
      <x v="4"/>
    </i>
    <i>
      <x v="5"/>
    </i>
    <i>
      <x v="6"/>
    </i>
    <i t="grand">
      <x/>
    </i>
  </rowItems>
  <colItems count="1">
    <i/>
  </colItems>
  <dataFields count="1">
    <dataField name="Sum of GrossRevenue" fld="25" baseField="0" baseItem="0" numFmtId="166"/>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1" count="1" selected="0">
            <x v="0"/>
          </reference>
        </references>
      </pivotArea>
    </chartFormat>
    <chartFormat chart="3" format="2">
      <pivotArea type="data" outline="0" fieldPosition="0">
        <references count="2">
          <reference field="4294967294" count="1" selected="0">
            <x v="0"/>
          </reference>
          <reference field="11" count="1" selected="0">
            <x v="1"/>
          </reference>
        </references>
      </pivotArea>
    </chartFormat>
    <chartFormat chart="3" format="3">
      <pivotArea type="data" outline="0" fieldPosition="0">
        <references count="2">
          <reference field="4294967294" count="1" selected="0">
            <x v="0"/>
          </reference>
          <reference field="11" count="1" selected="0">
            <x v="2"/>
          </reference>
        </references>
      </pivotArea>
    </chartFormat>
    <chartFormat chart="3" format="4">
      <pivotArea type="data" outline="0" fieldPosition="0">
        <references count="2">
          <reference field="4294967294" count="1" selected="0">
            <x v="0"/>
          </reference>
          <reference field="11" count="1" selected="0">
            <x v="3"/>
          </reference>
        </references>
      </pivotArea>
    </chartFormat>
    <chartFormat chart="3" format="5">
      <pivotArea type="data" outline="0" fieldPosition="0">
        <references count="2">
          <reference field="4294967294" count="1" selected="0">
            <x v="0"/>
          </reference>
          <reference field="11" count="1" selected="0">
            <x v="4"/>
          </reference>
        </references>
      </pivotArea>
    </chartFormat>
    <chartFormat chart="3" format="6">
      <pivotArea type="data" outline="0" fieldPosition="0">
        <references count="2">
          <reference field="4294967294" count="1" selected="0">
            <x v="0"/>
          </reference>
          <reference field="11" count="1" selected="0">
            <x v="5"/>
          </reference>
        </references>
      </pivotArea>
    </chartFormat>
    <chartFormat chart="3" format="7">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A47FE6-DE89-49D3-B0CB-7B8FFDCAA036}" autoFormatId="16" applyNumberFormats="0" applyBorderFormats="0" applyFontFormats="0" applyPatternFormats="0" applyAlignmentFormats="0" applyWidthHeightFormats="0">
  <queryTableRefresh nextId="16">
    <queryTableFields count="15">
      <queryTableField id="1" name="OrderID" tableColumnId="1"/>
      <queryTableField id="2" name="OrderDate" tableColumnId="2"/>
      <queryTableField id="3" name="RequiredDate" tableColumnId="3"/>
      <queryTableField id="4" name="Region" tableColumnId="4"/>
      <queryTableField id="5" name="Country" tableColumnId="5"/>
      <queryTableField id="6" name="City" tableColumnId="6"/>
      <queryTableField id="7" name="CustomerSegment" tableColumnId="7"/>
      <queryTableField id="8" name="Channel" tableColumnId="8"/>
      <queryTableField id="9" name="Salesperson" tableColumnId="9"/>
      <queryTableField id="10" name="ProductCategory" tableColumnId="10"/>
      <queryTableField id="11" name="SKU" tableColumnId="11"/>
      <queryTableField id="12" name="UnitCost" tableColumnId="12"/>
      <queryTableField id="13" name="UnitPrice" tableColumnId="13"/>
      <queryTableField id="14" name="DiscountPct" tableColumnId="14"/>
      <queryTableField id="15" name="Quantity"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AD0EC3C-A7D5-40A2-8B19-668438C77C3A}" autoFormatId="16" applyNumberFormats="0" applyBorderFormats="0" applyFontFormats="0" applyPatternFormats="0" applyAlignmentFormats="0" applyWidthHeightFormats="0">
  <queryTableRefresh nextId="41" unboundColumnsRight="6">
    <queryTableFields count="35">
      <queryTableField id="1" name="OrderID" tableColumnId="1"/>
      <queryTableField id="2" name="OrderDate" tableColumnId="2"/>
      <queryTableField id="30" dataBound="0" tableColumnId="30"/>
      <queryTableField id="31" dataBound="0" tableColumnId="31"/>
      <queryTableField id="3" name="RequiredDate" tableColumnId="3"/>
      <queryTableField id="4" name="Region" tableColumnId="4"/>
      <queryTableField id="5" name="Country" tableColumnId="5"/>
      <queryTableField id="6" name="City" tableColumnId="6"/>
      <queryTableField id="7" name="CustomerSegment" tableColumnId="7"/>
      <queryTableField id="8" name="Channel" tableColumnId="8"/>
      <queryTableField id="9" name="Salesperson" tableColumnId="9"/>
      <queryTableField id="10" name="ProductCategory" tableColumnId="10"/>
      <queryTableField id="11" name="SKU" tableColumnId="11"/>
      <queryTableField id="12" name="UnitCost" tableColumnId="12"/>
      <queryTableField id="13" name="UnitPrice" tableColumnId="13"/>
      <queryTableField id="14" name="DiscountPct" tableColumnId="14"/>
      <queryTableField id="15" name="Quantity" tableColumnId="15"/>
      <queryTableField id="17" name="SalespersonCleaned" tableColumnId="17"/>
      <queryTableField id="18" name="CityCustomCleaned" tableColumnId="18"/>
      <queryTableField id="19" name="CleanedCustomChannel" tableColumnId="19"/>
      <queryTableField id="20" name="CorrectedUnitPriceCustom" tableColumnId="20"/>
      <queryTableField id="36" dataBound="0" tableColumnId="36"/>
      <queryTableField id="32" dataBound="0" tableColumnId="32"/>
      <queryTableField id="33" dataBound="0" tableColumnId="33"/>
      <queryTableField id="34" dataBound="0" tableColumnId="34"/>
      <queryTableField id="21" name="CappedDiscountCustom" tableColumnId="21"/>
      <queryTableField id="22" name="SuspiciousFlag" tableColumnId="22"/>
      <queryTableField id="23" name="CorrectedRequiredDate" tableColumnId="23"/>
      <queryTableField id="24" name="LeadTimeDays" tableColumnId="24"/>
      <queryTableField id="25" dataBound="0" tableColumnId="25"/>
      <queryTableField id="26" dataBound="0" tableColumnId="26"/>
      <queryTableField id="27" dataBound="0" tableColumnId="27"/>
      <queryTableField id="40" dataBound="0" tableColumnId="29"/>
      <queryTableField id="28" dataBound="0" tableColumnId="28"/>
      <queryTableField id="38" dataBound="0"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Quarter" xr10:uid="{83587768-8A2B-46A0-89FE-218BEE4654B6}" sourceName="OrderQuarter">
  <pivotTables>
    <pivotTable tabId="14" name="Sale Trends "/>
  </pivotTables>
  <data>
    <tabular pivotCacheId="751505730">
      <items count="11">
        <i x="2" s="1"/>
        <i x="0" s="1"/>
        <i x="3" s="1"/>
        <i x="7" s="1"/>
        <i x="5" s="1"/>
        <i x="6" s="1"/>
        <i x="10" s="1"/>
        <i x="9" s="1"/>
        <i x="8"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7A84B0-BE1E-4AD6-84EC-F25F9CDD2966}" sourceName="Region">
  <pivotTables>
    <pivotTable tabId="14" name="Sale Trends "/>
    <pivotTable tabId="14" name="PivotTable2"/>
    <pivotTable tabId="14" name="PivotTable3"/>
    <pivotTable tabId="14" name="PivotTable4"/>
  </pivotTables>
  <data>
    <tabular pivotCacheId="751505730">
      <items count="4">
        <i x="0"/>
        <i x="2"/>
        <i x="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egment" xr10:uid="{CF430F98-F36F-43CE-BCD6-3599D1BC408C}" sourceName="CustomerSegment">
  <pivotTables>
    <pivotTable tabId="14" name="Sale Trends "/>
  </pivotTables>
  <data>
    <tabular pivotCacheId="751505730">
      <items count="6">
        <i x="3" s="1"/>
        <i x="0" s="1"/>
        <i x="1" s="1"/>
        <i x="5"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Quarter" xr10:uid="{C5AA75F6-21D4-4D43-9918-438FD67E8864}" cache="Slicer_OrderQuarter" caption="OrderQuarter" rowHeight="241300"/>
  <slicer name="Region" xr10:uid="{2D0C9CC8-0D29-4916-99C8-0C1DC2AF38DB}" cache="Slicer_Region" caption="Region" rowHeight="241300"/>
  <slicer name="CustomerSegment" xr10:uid="{EB6D12E9-4500-4E26-B43C-9D7DFF52616F}" cache="Slicer_CustomerSegment" caption="Customer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32BFC4-A06E-4F52-8949-C5C429BB2E42}" name="Data" displayName="Data" ref="A1:O633" tableType="queryTable" totalsRowShown="0">
  <autoFilter ref="A1:O633" xr:uid="{D532BFC4-A06E-4F52-8949-C5C429BB2E42}"/>
  <tableColumns count="15">
    <tableColumn id="1" xr3:uid="{545328CB-C64D-48EC-BEA6-F1C245954F6D}" uniqueName="1" name="OrderID" queryTableFieldId="1" dataDxfId="44"/>
    <tableColumn id="2" xr3:uid="{A64BDAA4-15B6-4ED0-8EF4-B40461CCFBCA}" uniqueName="2" name="OrderDate" queryTableFieldId="2" dataDxfId="43"/>
    <tableColumn id="3" xr3:uid="{CF88D6E1-A290-4CC5-9A63-CA396226FE2C}" uniqueName="3" name="RequiredDate" queryTableFieldId="3" dataDxfId="42"/>
    <tableColumn id="4" xr3:uid="{0F71BE1A-72B7-4134-93B3-3DFDF6A833EB}" uniqueName="4" name="Region" queryTableFieldId="4" dataDxfId="41"/>
    <tableColumn id="5" xr3:uid="{7E0228FA-8379-4521-92D7-853E0F4255DC}" uniqueName="5" name="Country" queryTableFieldId="5" dataDxfId="40"/>
    <tableColumn id="6" xr3:uid="{010172AC-EF83-410B-B92E-00AB3696C8BC}" uniqueName="6" name="City" queryTableFieldId="6" dataDxfId="39"/>
    <tableColumn id="7" xr3:uid="{6756973C-2764-4C46-9050-19FFDAE4DE49}" uniqueName="7" name="CustomerSegment" queryTableFieldId="7" dataDxfId="38"/>
    <tableColumn id="8" xr3:uid="{ACDCCF1B-3297-4FF2-A867-5977E485A98D}" uniqueName="8" name="Channel" queryTableFieldId="8" dataDxfId="37"/>
    <tableColumn id="9" xr3:uid="{180BEEFC-2BB6-4C7C-B22F-2ABFE3D4CBBC}" uniqueName="9" name="Salesperson" queryTableFieldId="9" dataDxfId="36"/>
    <tableColumn id="10" xr3:uid="{C5D08C98-C2C1-4E08-8D89-BD14E2328A5C}" uniqueName="10" name="ProductCategory" queryTableFieldId="10" dataDxfId="35"/>
    <tableColumn id="11" xr3:uid="{094074CC-3926-40A6-BC28-42571D253F6F}" uniqueName="11" name="SKU" queryTableFieldId="11" dataDxfId="34"/>
    <tableColumn id="12" xr3:uid="{882FB06D-81EA-4C3D-A9B9-4A8286615EEC}" uniqueName="12" name="UnitCost" queryTableFieldId="12"/>
    <tableColumn id="13" xr3:uid="{50FFDC19-6D95-4A1A-810B-F5223BE97087}" uniqueName="13" name="UnitPrice" queryTableFieldId="13"/>
    <tableColumn id="14" xr3:uid="{9C27F398-DE01-4ABD-A9DB-A4F3BB37A19C}" uniqueName="14" name="DiscountPct" queryTableFieldId="14"/>
    <tableColumn id="15" xr3:uid="{44128CC5-4991-43CC-BE22-6CCDD9A6A15D}" uniqueName="15" name="Quantity" queryTableField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6EBFBC9-C164-4B2D-9D17-1F1E1FD7B2CF}" name="Data3" displayName="Data3" ref="A1:AI229" tableType="queryTable" totalsRowShown="0">
  <autoFilter ref="A1:AI229" xr:uid="{F6EBFBC9-C164-4B2D-9D17-1F1E1FD7B2CF}"/>
  <tableColumns count="35">
    <tableColumn id="1" xr3:uid="{758C15CF-123B-41F7-8EE4-4D0157172F8A}" uniqueName="1" name="OrderID" queryTableFieldId="1" dataDxfId="31"/>
    <tableColumn id="2" xr3:uid="{67E7CFF2-2323-4A68-9308-9C78FB52AFE6}" uniqueName="2" name="OrderDate" queryTableFieldId="2" dataDxfId="30"/>
    <tableColumn id="30" xr3:uid="{2A807719-5D19-4734-BECA-02A682D2A318}" uniqueName="30" name="OrderMonth" queryTableFieldId="30" dataDxfId="29">
      <calculatedColumnFormula>TEXT(Data3[[#This Row],[OrderDate]],"MMM-YYYY")</calculatedColumnFormula>
    </tableColumn>
    <tableColumn id="31" xr3:uid="{DCAE110A-CCC6-4CE0-85C7-CF6F685AB452}" uniqueName="31" name="OrderQuarter" queryTableFieldId="31" dataDxfId="28">
      <calculatedColumnFormula>"Q"&amp;INT((MONTH(Data3[[#This Row],[OrderDate]])-1)/3)+1&amp;"-"&amp;YEAR(Data3[[#This Row],[OrderDate]])</calculatedColumnFormula>
    </tableColumn>
    <tableColumn id="3" xr3:uid="{5DF5BD8B-E20A-4271-AA08-51F7E74861D2}" uniqueName="3" name="RequiredDate" queryTableFieldId="3" dataDxfId="27"/>
    <tableColumn id="4" xr3:uid="{9D165B28-0277-439A-B5CD-8BFC9708F4BD}" uniqueName="4" name="Region" queryTableFieldId="4" dataDxfId="26"/>
    <tableColumn id="5" xr3:uid="{DFA945D1-7B69-406A-AAC5-6140231853D8}" uniqueName="5" name="Country" queryTableFieldId="5" dataDxfId="25"/>
    <tableColumn id="6" xr3:uid="{B1CC3EE8-8747-4ED6-934C-CEE4C834CDF7}" uniqueName="6" name="City" queryTableFieldId="6" dataDxfId="24"/>
    <tableColumn id="7" xr3:uid="{165AC091-5622-4D7A-8CF8-65817E252BE0}" uniqueName="7" name="CustomerSegment" queryTableFieldId="7" dataDxfId="23"/>
    <tableColumn id="8" xr3:uid="{FFED9F0F-0A25-4D74-BF91-1F5991B93AF4}" uniqueName="8" name="Channel" queryTableFieldId="8" dataDxfId="22"/>
    <tableColumn id="9" xr3:uid="{C76643A1-689C-4389-89D4-DBDD97A09852}" uniqueName="9" name="Salesperson" queryTableFieldId="9" dataDxfId="21"/>
    <tableColumn id="10" xr3:uid="{569B7B36-6AED-4CBD-AE4C-BC0FA981DD12}" uniqueName="10" name="ProductCategory" queryTableFieldId="10" dataDxfId="20"/>
    <tableColumn id="11" xr3:uid="{69828337-4806-48FC-9638-9F401BDDA207}" uniqueName="11" name="SKU" queryTableFieldId="11" dataDxfId="19"/>
    <tableColumn id="12" xr3:uid="{A4AD070E-ED73-46BA-8362-0CE3F1DA79E4}" uniqueName="12" name="UnitCost" queryTableFieldId="12" dataDxfId="18"/>
    <tableColumn id="13" xr3:uid="{E4DA3917-4C75-4CE8-9095-B6222123908A}" uniqueName="13" name="UnitPrice" queryTableFieldId="13" dataDxfId="17"/>
    <tableColumn id="14" xr3:uid="{082146F8-70B5-46BA-85FB-1ACD00F40F70}" uniqueName="14" name="DiscountPct" queryTableFieldId="14" dataDxfId="16"/>
    <tableColumn id="15" xr3:uid="{69295536-D71D-401E-BAA2-EDC5B1E0CD32}" uniqueName="15" name="Quantity" queryTableFieldId="15" dataDxfId="15"/>
    <tableColumn id="17" xr3:uid="{3A1B8B4A-9E4C-4AA1-B8BB-D4BADCF7559C}" uniqueName="17" name="SalespersonCleaned" queryTableFieldId="17" dataDxfId="14"/>
    <tableColumn id="18" xr3:uid="{166C8201-CB70-4CE3-89EE-AC8DF8197350}" uniqueName="18" name="CityCustomCleaned" queryTableFieldId="18" dataDxfId="13"/>
    <tableColumn id="19" xr3:uid="{3F0E44C8-90DF-419D-AC71-B09A83764485}" uniqueName="19" name="CleanedCustomChannel" queryTableFieldId="19" dataDxfId="12"/>
    <tableColumn id="20" xr3:uid="{91BA3875-C8F2-4563-872A-17A575419144}" uniqueName="20" name="CorrectedUnitPriceCustom" queryTableFieldId="20"/>
    <tableColumn id="36" xr3:uid="{39A4DB2A-F229-4113-80F5-C67495653B33}" uniqueName="36" name="PriceBand" queryTableFieldId="36" dataDxfId="11">
      <calculatedColumnFormula array="1">_xlfn.IFS(Data3[[#This Row],[CorrectedUnitPriceCustom]]&lt;=$W$2, "Low",Data3[[#This Row],[CorrectedUnitPriceCustom]]&lt;=$Y$2, "Medium", TRUE, "High")</calculatedColumnFormula>
    </tableColumn>
    <tableColumn id="32" xr3:uid="{37192EC8-3F4E-4F7E-ACEC-01D0940B2E1F}" uniqueName="32" name="Percentile Q1" queryTableFieldId="32" dataDxfId="10">
      <calculatedColumnFormula>_xlfn.PERCENTILE.INC(U2:U229,0.25)</calculatedColumnFormula>
    </tableColumn>
    <tableColumn id="33" xr3:uid="{A10B8ED6-E7DE-4E72-BF54-08FD57398C74}" uniqueName="33" name="Percentile Q2" queryTableFieldId="33" dataDxfId="9">
      <calculatedColumnFormula>_xlfn.PERCENTILE.INC(U2:U229,0.5)</calculatedColumnFormula>
    </tableColumn>
    <tableColumn id="34" xr3:uid="{37C896AE-1ED1-4C49-9A73-146CD1D5219A}" uniqueName="34" name="Percentile Q3" queryTableFieldId="34" dataDxfId="8">
      <calculatedColumnFormula>_xlfn.PERCENTILE.INC(U2:U229,0.75)</calculatedColumnFormula>
    </tableColumn>
    <tableColumn id="21" xr3:uid="{DF524195-9602-4F20-8559-37B5E2C8043A}" uniqueName="21" name="CappedDiscountCustom" queryTableFieldId="21"/>
    <tableColumn id="22" xr3:uid="{2851DFFA-0520-4CFE-A15A-E172A3089B42}" uniqueName="22" name="SuspiciousFlag" queryTableFieldId="22" dataDxfId="7"/>
    <tableColumn id="23" xr3:uid="{2DFD44BF-F0D6-441F-92A2-D21E03FFFFAE}" uniqueName="23" name="CorrectedRequiredDate" queryTableFieldId="23" dataDxfId="6"/>
    <tableColumn id="24" xr3:uid="{C6E0FA2C-DEE2-4196-8082-3D21A53D772F}" uniqueName="24" name="LeadTimeDays" queryTableFieldId="24"/>
    <tableColumn id="25" xr3:uid="{E867D443-3E67-4CA1-A4F6-75243D2A0DBD}" uniqueName="25" name="GrossRevenue" queryTableFieldId="25" dataDxfId="5">
      <calculatedColumnFormula>Data3[[#This Row],[UnitPrice]]*Data3[[#This Row],[Quantity]]*(1-Data3[[#This Row],[DiscountPct]])</calculatedColumnFormula>
    </tableColumn>
    <tableColumn id="26" xr3:uid="{CD4675AC-F3EA-4C2A-8251-8E1A3E4F9547}" uniqueName="26" name="CostOfGoods" queryTableFieldId="26" dataDxfId="4">
      <calculatedColumnFormula>Data3[[#This Row],[UnitPrice]]*Data3[[#This Row],[Quantity]]</calculatedColumnFormula>
    </tableColumn>
    <tableColumn id="27" xr3:uid="{E1CBCB0C-FB3C-4270-8799-08A0092BA8FF}" uniqueName="27" name="GrossProfit" queryTableFieldId="27" dataDxfId="3">
      <calculatedColumnFormula>Data3[[#This Row],[GrossRevenue]]-(Data3[[#This Row],[Quantity]]*Data3[[#This Row],[UnitCost]])</calculatedColumnFormula>
    </tableColumn>
    <tableColumn id="29" xr3:uid="{A6AC7459-B27A-40E9-941B-742E960DBB2B}" uniqueName="29" name="Time Buckets" queryTableFieldId="40" dataDxfId="2">
      <calculatedColumnFormula>TEXT(Data3[[#This Row],[OrderDate]], "mmm-yyyy")</calculatedColumnFormula>
    </tableColumn>
    <tableColumn id="28" xr3:uid="{621B6E07-D89E-4E6F-82C7-EC5ECDEAB930}" uniqueName="28" name="MarginPct" queryTableFieldId="28" dataDxfId="1">
      <calculatedColumnFormula>IF(Data3[[#This Row],[GrossRevenue]]=0, 0,Data3[[#This Row],[GrossProfit]]/Data3[[#This Row],[GrossRevenue]])</calculatedColumnFormula>
    </tableColumn>
    <tableColumn id="38" xr3:uid="{F4611FD1-0235-4B47-920D-0BAA38E40729}" uniqueName="38" name="CumulativeRevenue" queryTableFieldId="38" dataDxfId="0">
      <calculatedColumnFormula>AD2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39210-5E68-4501-86CC-EABE80F5ABB5}">
  <dimension ref="A1:O633"/>
  <sheetViews>
    <sheetView zoomScale="47" workbookViewId="0">
      <selection sqref="A1:O633"/>
    </sheetView>
  </sheetViews>
  <sheetFormatPr defaultRowHeight="14.5" x14ac:dyDescent="0.35"/>
  <cols>
    <col min="1" max="1" width="19.08984375" customWidth="1"/>
    <col min="2" max="2" width="16.1796875" customWidth="1"/>
    <col min="3" max="3" width="16.54296875" customWidth="1"/>
    <col min="4" max="4" width="13.453125" customWidth="1"/>
    <col min="5" max="5" width="14.1796875" bestFit="1" customWidth="1"/>
    <col min="6" max="6" width="12.453125" bestFit="1" customWidth="1"/>
    <col min="7" max="7" width="18.6328125" bestFit="1" customWidth="1"/>
    <col min="8" max="8" width="11.1796875" bestFit="1" customWidth="1"/>
    <col min="9" max="9" width="13.08984375" bestFit="1" customWidth="1"/>
    <col min="10" max="10" width="17.26953125" bestFit="1" customWidth="1"/>
    <col min="11" max="11" width="9.81640625" bestFit="1" customWidth="1"/>
    <col min="12" max="12" width="10.36328125" bestFit="1" customWidth="1"/>
    <col min="13" max="13" width="10.7265625" bestFit="1" customWidth="1"/>
    <col min="14" max="14" width="13.08984375" bestFit="1" customWidth="1"/>
    <col min="15" max="15" width="10.453125" bestFit="1"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s="1">
        <v>45362</v>
      </c>
      <c r="C2" s="1">
        <v>45388</v>
      </c>
      <c r="D2" t="s">
        <v>16</v>
      </c>
      <c r="E2" t="s">
        <v>17</v>
      </c>
      <c r="F2" t="s">
        <v>18</v>
      </c>
      <c r="G2" t="s">
        <v>19</v>
      </c>
      <c r="H2" t="s">
        <v>20</v>
      </c>
      <c r="I2" t="s">
        <v>21</v>
      </c>
      <c r="J2" t="s">
        <v>22</v>
      </c>
      <c r="K2" t="s">
        <v>23</v>
      </c>
      <c r="L2">
        <v>279.24</v>
      </c>
      <c r="M2">
        <v>608.9</v>
      </c>
      <c r="N2">
        <v>0.112</v>
      </c>
      <c r="O2">
        <v>9</v>
      </c>
    </row>
    <row r="3" spans="1:15" x14ac:dyDescent="0.35">
      <c r="A3" t="s">
        <v>24</v>
      </c>
      <c r="B3" s="1">
        <v>45588</v>
      </c>
      <c r="C3" s="1">
        <v>45587</v>
      </c>
      <c r="D3" t="s">
        <v>16</v>
      </c>
      <c r="E3" t="s">
        <v>25</v>
      </c>
      <c r="F3" t="s">
        <v>26</v>
      </c>
      <c r="G3" t="s">
        <v>27</v>
      </c>
      <c r="H3" t="s">
        <v>28</v>
      </c>
      <c r="I3" t="s">
        <v>29</v>
      </c>
      <c r="J3" t="s">
        <v>30</v>
      </c>
      <c r="K3" t="s">
        <v>31</v>
      </c>
      <c r="L3">
        <v>1084.3900000000001</v>
      </c>
      <c r="M3">
        <v>759.33</v>
      </c>
      <c r="N3">
        <v>0.23699999999999999</v>
      </c>
      <c r="O3">
        <v>31</v>
      </c>
    </row>
    <row r="4" spans="1:15" x14ac:dyDescent="0.35">
      <c r="A4" t="s">
        <v>32</v>
      </c>
      <c r="B4" s="1">
        <v>44985</v>
      </c>
      <c r="C4" s="1">
        <v>45010</v>
      </c>
      <c r="D4" t="s">
        <v>16</v>
      </c>
      <c r="E4" t="s">
        <v>17</v>
      </c>
      <c r="F4" t="s">
        <v>33</v>
      </c>
      <c r="G4" t="s">
        <v>19</v>
      </c>
      <c r="H4" t="s">
        <v>20</v>
      </c>
      <c r="I4" t="s">
        <v>34</v>
      </c>
      <c r="J4" t="s">
        <v>35</v>
      </c>
      <c r="K4" t="s">
        <v>36</v>
      </c>
      <c r="L4">
        <v>1460.76</v>
      </c>
      <c r="M4">
        <v>-30.66</v>
      </c>
      <c r="N4">
        <v>0.13100000000000001</v>
      </c>
      <c r="O4">
        <v>12</v>
      </c>
    </row>
    <row r="5" spans="1:15" x14ac:dyDescent="0.35">
      <c r="A5" t="s">
        <v>37</v>
      </c>
      <c r="B5" s="1">
        <v>45745</v>
      </c>
      <c r="C5" s="1">
        <v>45749</v>
      </c>
      <c r="D5" t="s">
        <v>16</v>
      </c>
      <c r="E5" t="s">
        <v>25</v>
      </c>
      <c r="F5" t="s">
        <v>38</v>
      </c>
      <c r="G5" t="s">
        <v>39</v>
      </c>
      <c r="H5" t="s">
        <v>40</v>
      </c>
      <c r="I5" t="s">
        <v>41</v>
      </c>
      <c r="J5" t="s">
        <v>42</v>
      </c>
      <c r="K5" t="s">
        <v>43</v>
      </c>
      <c r="L5">
        <v>259.93</v>
      </c>
      <c r="M5">
        <v>255.94</v>
      </c>
      <c r="N5">
        <v>7.1999999999999995E-2</v>
      </c>
      <c r="O5">
        <v>22</v>
      </c>
    </row>
    <row r="6" spans="1:15" x14ac:dyDescent="0.35">
      <c r="A6" t="s">
        <v>44</v>
      </c>
      <c r="B6" s="1">
        <v>45266</v>
      </c>
      <c r="C6" s="1">
        <v>45291</v>
      </c>
      <c r="D6" t="s">
        <v>45</v>
      </c>
      <c r="E6" t="s">
        <v>46</v>
      </c>
      <c r="F6" t="s">
        <v>47</v>
      </c>
      <c r="G6" t="s">
        <v>48</v>
      </c>
      <c r="H6" t="s">
        <v>20</v>
      </c>
      <c r="I6" t="s">
        <v>49</v>
      </c>
      <c r="J6" t="s">
        <v>30</v>
      </c>
      <c r="K6" t="s">
        <v>50</v>
      </c>
      <c r="L6">
        <v>663.03</v>
      </c>
      <c r="M6">
        <v>813.51</v>
      </c>
      <c r="N6">
        <v>0.10199999999999999</v>
      </c>
      <c r="O6">
        <v>15</v>
      </c>
    </row>
    <row r="7" spans="1:15" x14ac:dyDescent="0.35">
      <c r="A7" t="s">
        <v>51</v>
      </c>
      <c r="B7" s="1">
        <v>44928</v>
      </c>
      <c r="C7" s="1">
        <v>44931</v>
      </c>
      <c r="D7" t="s">
        <v>52</v>
      </c>
      <c r="E7" t="s">
        <v>53</v>
      </c>
      <c r="F7" t="s">
        <v>54</v>
      </c>
      <c r="G7" t="s">
        <v>19</v>
      </c>
      <c r="H7" t="s">
        <v>55</v>
      </c>
      <c r="I7" t="s">
        <v>56</v>
      </c>
      <c r="J7" t="s">
        <v>57</v>
      </c>
      <c r="K7" t="s">
        <v>58</v>
      </c>
      <c r="L7">
        <v>315.87</v>
      </c>
      <c r="M7">
        <v>591.67999999999995</v>
      </c>
      <c r="N7">
        <v>0</v>
      </c>
      <c r="O7">
        <v>7</v>
      </c>
    </row>
    <row r="8" spans="1:15" x14ac:dyDescent="0.35">
      <c r="A8" t="s">
        <v>59</v>
      </c>
      <c r="B8" s="1">
        <v>45653</v>
      </c>
      <c r="C8" s="1">
        <v>45671</v>
      </c>
      <c r="D8" t="s">
        <v>45</v>
      </c>
      <c r="E8" t="s">
        <v>60</v>
      </c>
      <c r="F8" t="s">
        <v>61</v>
      </c>
      <c r="G8" t="s">
        <v>62</v>
      </c>
      <c r="H8" t="s">
        <v>40</v>
      </c>
      <c r="I8" t="s">
        <v>63</v>
      </c>
      <c r="J8" t="s">
        <v>64</v>
      </c>
      <c r="K8" t="s">
        <v>65</v>
      </c>
      <c r="L8">
        <v>586.07000000000005</v>
      </c>
      <c r="M8">
        <v>845.97</v>
      </c>
      <c r="N8">
        <v>0.14699999999999999</v>
      </c>
      <c r="O8">
        <v>4</v>
      </c>
    </row>
    <row r="9" spans="1:15" x14ac:dyDescent="0.35">
      <c r="A9" t="s">
        <v>66</v>
      </c>
      <c r="B9" s="1">
        <v>44941</v>
      </c>
      <c r="C9" s="1">
        <v>44939</v>
      </c>
      <c r="D9" t="s">
        <v>16</v>
      </c>
      <c r="E9" t="s">
        <v>25</v>
      </c>
      <c r="F9" t="s">
        <v>67</v>
      </c>
      <c r="G9" t="s">
        <v>27</v>
      </c>
      <c r="H9" t="s">
        <v>28</v>
      </c>
      <c r="I9" t="s">
        <v>68</v>
      </c>
      <c r="J9" t="s">
        <v>30</v>
      </c>
      <c r="K9" t="s">
        <v>69</v>
      </c>
      <c r="L9">
        <v>28.38</v>
      </c>
      <c r="M9">
        <v>47.22</v>
      </c>
      <c r="N9">
        <v>0.19400000000000001</v>
      </c>
      <c r="O9">
        <v>18</v>
      </c>
    </row>
    <row r="10" spans="1:15" x14ac:dyDescent="0.35">
      <c r="A10" t="s">
        <v>70</v>
      </c>
      <c r="B10" s="1">
        <v>45416</v>
      </c>
      <c r="C10" s="1">
        <v>45441</v>
      </c>
      <c r="D10" t="s">
        <v>16</v>
      </c>
      <c r="E10" t="s">
        <v>25</v>
      </c>
      <c r="F10" t="s">
        <v>67</v>
      </c>
      <c r="G10" t="s">
        <v>39</v>
      </c>
      <c r="H10" t="s">
        <v>40</v>
      </c>
      <c r="I10" t="s">
        <v>68</v>
      </c>
      <c r="J10" t="s">
        <v>64</v>
      </c>
      <c r="K10" t="s">
        <v>71</v>
      </c>
      <c r="L10">
        <v>1295.3399999999999</v>
      </c>
      <c r="M10">
        <v>2530.81</v>
      </c>
      <c r="N10">
        <v>3.1E-2</v>
      </c>
      <c r="O10">
        <v>6</v>
      </c>
    </row>
    <row r="11" spans="1:15" x14ac:dyDescent="0.35">
      <c r="A11" t="s">
        <v>72</v>
      </c>
      <c r="B11" s="1">
        <v>45798</v>
      </c>
      <c r="C11" s="1">
        <v>45817</v>
      </c>
      <c r="D11" t="s">
        <v>52</v>
      </c>
      <c r="E11" t="s">
        <v>73</v>
      </c>
      <c r="F11" t="s">
        <v>74</v>
      </c>
      <c r="G11" t="s">
        <v>39</v>
      </c>
      <c r="H11" t="s">
        <v>28</v>
      </c>
      <c r="I11" t="s">
        <v>75</v>
      </c>
      <c r="J11" t="s">
        <v>22</v>
      </c>
      <c r="K11" t="s">
        <v>76</v>
      </c>
      <c r="L11">
        <v>1331.38</v>
      </c>
      <c r="M11">
        <v>2309.56</v>
      </c>
      <c r="N11">
        <v>0.14899999999999999</v>
      </c>
      <c r="O11">
        <v>31</v>
      </c>
    </row>
    <row r="12" spans="1:15" x14ac:dyDescent="0.35">
      <c r="A12" t="s">
        <v>77</v>
      </c>
      <c r="B12" s="1">
        <v>45319</v>
      </c>
      <c r="C12" s="1">
        <v>45331</v>
      </c>
      <c r="D12" t="s">
        <v>78</v>
      </c>
      <c r="E12" t="s">
        <v>79</v>
      </c>
      <c r="F12" t="s">
        <v>80</v>
      </c>
      <c r="G12" t="s">
        <v>19</v>
      </c>
      <c r="H12" t="s">
        <v>28</v>
      </c>
      <c r="I12" t="s">
        <v>41</v>
      </c>
      <c r="J12" t="s">
        <v>81</v>
      </c>
      <c r="K12" t="s">
        <v>82</v>
      </c>
      <c r="L12">
        <v>644.16999999999996</v>
      </c>
      <c r="M12">
        <v>700.12</v>
      </c>
      <c r="N12">
        <v>6.0000000000000001E-3</v>
      </c>
      <c r="O12">
        <v>23</v>
      </c>
    </row>
    <row r="13" spans="1:15" x14ac:dyDescent="0.35">
      <c r="A13" t="s">
        <v>83</v>
      </c>
      <c r="B13" s="1">
        <v>45660</v>
      </c>
      <c r="C13" s="1">
        <v>45680</v>
      </c>
      <c r="D13" t="s">
        <v>45</v>
      </c>
      <c r="E13" t="s">
        <v>46</v>
      </c>
      <c r="F13" t="s">
        <v>47</v>
      </c>
      <c r="G13" t="s">
        <v>19</v>
      </c>
      <c r="H13" t="s">
        <v>55</v>
      </c>
      <c r="I13" t="s">
        <v>84</v>
      </c>
      <c r="J13" t="s">
        <v>42</v>
      </c>
      <c r="K13" t="s">
        <v>85</v>
      </c>
      <c r="L13">
        <v>908.6</v>
      </c>
      <c r="M13">
        <v>691.37</v>
      </c>
      <c r="N13">
        <v>0.25</v>
      </c>
      <c r="O13">
        <v>20</v>
      </c>
    </row>
    <row r="14" spans="1:15" x14ac:dyDescent="0.35">
      <c r="A14" t="s">
        <v>86</v>
      </c>
      <c r="B14" s="1">
        <v>45722</v>
      </c>
      <c r="C14" s="1">
        <v>45747</v>
      </c>
      <c r="D14" t="s">
        <v>52</v>
      </c>
      <c r="E14" t="s">
        <v>73</v>
      </c>
      <c r="F14" t="s">
        <v>87</v>
      </c>
      <c r="G14" t="s">
        <v>39</v>
      </c>
      <c r="H14" t="s">
        <v>28</v>
      </c>
      <c r="I14" t="s">
        <v>29</v>
      </c>
      <c r="J14" t="s">
        <v>22</v>
      </c>
      <c r="K14" t="s">
        <v>88</v>
      </c>
      <c r="L14">
        <v>331.57</v>
      </c>
      <c r="M14">
        <v>548.4</v>
      </c>
      <c r="N14">
        <v>9.4E-2</v>
      </c>
      <c r="O14">
        <v>10</v>
      </c>
    </row>
    <row r="15" spans="1:15" x14ac:dyDescent="0.35">
      <c r="A15" t="s">
        <v>89</v>
      </c>
      <c r="B15" s="1">
        <v>45311</v>
      </c>
      <c r="C15" s="1">
        <v>45335</v>
      </c>
      <c r="D15" t="s">
        <v>78</v>
      </c>
      <c r="E15" t="s">
        <v>90</v>
      </c>
      <c r="F15" t="s">
        <v>91</v>
      </c>
      <c r="G15" t="s">
        <v>19</v>
      </c>
      <c r="H15" t="s">
        <v>20</v>
      </c>
      <c r="I15" t="s">
        <v>92</v>
      </c>
      <c r="J15" t="s">
        <v>30</v>
      </c>
      <c r="K15" t="s">
        <v>93</v>
      </c>
      <c r="L15">
        <v>643.53</v>
      </c>
      <c r="M15">
        <v>1439.01</v>
      </c>
      <c r="N15">
        <v>0</v>
      </c>
      <c r="O15">
        <v>15</v>
      </c>
    </row>
    <row r="16" spans="1:15" x14ac:dyDescent="0.35">
      <c r="A16" t="s">
        <v>94</v>
      </c>
      <c r="B16" s="1">
        <v>45901</v>
      </c>
      <c r="C16" s="1">
        <v>45930</v>
      </c>
      <c r="D16" t="s">
        <v>52</v>
      </c>
      <c r="E16" t="s">
        <v>73</v>
      </c>
      <c r="F16" t="s">
        <v>87</v>
      </c>
      <c r="G16" t="s">
        <v>27</v>
      </c>
      <c r="H16" t="s">
        <v>20</v>
      </c>
      <c r="I16" t="s">
        <v>95</v>
      </c>
      <c r="J16" t="s">
        <v>81</v>
      </c>
      <c r="K16" t="s">
        <v>96</v>
      </c>
      <c r="L16">
        <v>780.59</v>
      </c>
      <c r="M16">
        <v>631.57000000000005</v>
      </c>
      <c r="N16">
        <v>0</v>
      </c>
      <c r="O16">
        <v>12</v>
      </c>
    </row>
    <row r="17" spans="1:15" x14ac:dyDescent="0.35">
      <c r="A17" t="s">
        <v>97</v>
      </c>
      <c r="B17" s="1">
        <v>45039</v>
      </c>
      <c r="C17" s="1">
        <v>45038</v>
      </c>
      <c r="D17" t="s">
        <v>16</v>
      </c>
      <c r="E17" t="s">
        <v>17</v>
      </c>
      <c r="F17" t="s">
        <v>33</v>
      </c>
      <c r="G17" t="s">
        <v>62</v>
      </c>
      <c r="H17" t="s">
        <v>98</v>
      </c>
      <c r="I17" t="s">
        <v>63</v>
      </c>
      <c r="J17" t="s">
        <v>57</v>
      </c>
      <c r="K17" t="s">
        <v>99</v>
      </c>
      <c r="L17">
        <v>756.51</v>
      </c>
      <c r="M17">
        <v>850.8</v>
      </c>
      <c r="N17">
        <v>7.3999999999999996E-2</v>
      </c>
      <c r="O17">
        <v>9</v>
      </c>
    </row>
    <row r="18" spans="1:15" x14ac:dyDescent="0.35">
      <c r="A18" t="s">
        <v>100</v>
      </c>
      <c r="B18" s="1">
        <v>45636</v>
      </c>
      <c r="C18" s="1">
        <v>45665</v>
      </c>
      <c r="D18" t="s">
        <v>78</v>
      </c>
      <c r="E18" t="s">
        <v>90</v>
      </c>
      <c r="F18" t="s">
        <v>91</v>
      </c>
      <c r="G18" t="s">
        <v>62</v>
      </c>
      <c r="H18" t="s">
        <v>20</v>
      </c>
      <c r="I18" t="s">
        <v>95</v>
      </c>
      <c r="J18" t="s">
        <v>30</v>
      </c>
      <c r="K18" t="s">
        <v>101</v>
      </c>
      <c r="L18">
        <v>891.08</v>
      </c>
      <c r="M18">
        <v>1040.0999999999999</v>
      </c>
      <c r="N18">
        <v>0.109</v>
      </c>
      <c r="O18">
        <v>28</v>
      </c>
    </row>
    <row r="19" spans="1:15" x14ac:dyDescent="0.35">
      <c r="A19" t="s">
        <v>102</v>
      </c>
      <c r="B19" s="1">
        <v>45908</v>
      </c>
      <c r="C19" s="1">
        <v>45916</v>
      </c>
      <c r="D19" t="s">
        <v>45</v>
      </c>
      <c r="E19" t="s">
        <v>46</v>
      </c>
      <c r="F19" t="s">
        <v>47</v>
      </c>
      <c r="G19" t="s">
        <v>19</v>
      </c>
      <c r="H19" t="s">
        <v>55</v>
      </c>
      <c r="I19" t="s">
        <v>21</v>
      </c>
      <c r="J19" t="s">
        <v>42</v>
      </c>
      <c r="K19" t="s">
        <v>103</v>
      </c>
      <c r="L19">
        <v>1225.57</v>
      </c>
      <c r="M19">
        <v>2705.57</v>
      </c>
      <c r="N19">
        <v>0.183</v>
      </c>
      <c r="O19">
        <v>16</v>
      </c>
    </row>
    <row r="20" spans="1:15" x14ac:dyDescent="0.35">
      <c r="A20" t="s">
        <v>104</v>
      </c>
      <c r="B20" s="1">
        <v>45858</v>
      </c>
      <c r="C20" s="1">
        <v>45874</v>
      </c>
      <c r="D20" t="s">
        <v>52</v>
      </c>
      <c r="E20" t="s">
        <v>73</v>
      </c>
      <c r="F20" t="s">
        <v>87</v>
      </c>
      <c r="G20" t="s">
        <v>105</v>
      </c>
      <c r="H20" t="s">
        <v>40</v>
      </c>
      <c r="I20" t="s">
        <v>41</v>
      </c>
      <c r="J20" t="s">
        <v>81</v>
      </c>
      <c r="K20" t="s">
        <v>106</v>
      </c>
      <c r="L20">
        <v>1068.17</v>
      </c>
      <c r="M20">
        <v>2375.37</v>
      </c>
      <c r="N20">
        <v>0.109</v>
      </c>
      <c r="O20">
        <v>18</v>
      </c>
    </row>
    <row r="21" spans="1:15" x14ac:dyDescent="0.35">
      <c r="A21" t="s">
        <v>107</v>
      </c>
      <c r="B21" s="1">
        <v>45798</v>
      </c>
      <c r="C21" s="1">
        <v>45796</v>
      </c>
      <c r="D21" t="s">
        <v>78</v>
      </c>
      <c r="E21" t="s">
        <v>108</v>
      </c>
      <c r="F21" t="s">
        <v>109</v>
      </c>
      <c r="G21" t="s">
        <v>105</v>
      </c>
      <c r="H21" t="s">
        <v>28</v>
      </c>
      <c r="I21" t="s">
        <v>110</v>
      </c>
      <c r="J21" t="s">
        <v>57</v>
      </c>
      <c r="K21" t="s">
        <v>111</v>
      </c>
      <c r="L21">
        <v>1015.16</v>
      </c>
      <c r="M21">
        <v>2148.14</v>
      </c>
      <c r="N21">
        <v>3.7999999999999999E-2</v>
      </c>
      <c r="O21">
        <v>19</v>
      </c>
    </row>
    <row r="22" spans="1:15" x14ac:dyDescent="0.35">
      <c r="A22" t="s">
        <v>112</v>
      </c>
      <c r="B22" s="1">
        <v>45498</v>
      </c>
      <c r="C22" s="1">
        <v>45497</v>
      </c>
      <c r="D22" t="s">
        <v>16</v>
      </c>
      <c r="E22" t="s">
        <v>17</v>
      </c>
      <c r="F22" t="s">
        <v>113</v>
      </c>
      <c r="G22" t="s">
        <v>39</v>
      </c>
      <c r="H22" t="s">
        <v>98</v>
      </c>
      <c r="I22" t="s">
        <v>29</v>
      </c>
      <c r="J22" t="s">
        <v>57</v>
      </c>
      <c r="K22" t="s">
        <v>114</v>
      </c>
      <c r="L22">
        <v>1494.4</v>
      </c>
      <c r="M22">
        <v>3661.07</v>
      </c>
      <c r="N22">
        <v>7.1999999999999995E-2</v>
      </c>
      <c r="O22">
        <v>7</v>
      </c>
    </row>
    <row r="23" spans="1:15" x14ac:dyDescent="0.35">
      <c r="A23" t="s">
        <v>115</v>
      </c>
      <c r="B23" s="1">
        <v>45057</v>
      </c>
      <c r="C23" s="1">
        <v>45074</v>
      </c>
      <c r="D23" t="s">
        <v>45</v>
      </c>
      <c r="E23" t="s">
        <v>116</v>
      </c>
      <c r="F23" t="s">
        <v>117</v>
      </c>
      <c r="G23" t="s">
        <v>105</v>
      </c>
      <c r="H23" t="s">
        <v>40</v>
      </c>
      <c r="I23" t="s">
        <v>63</v>
      </c>
      <c r="J23" t="s">
        <v>35</v>
      </c>
      <c r="K23" t="s">
        <v>118</v>
      </c>
      <c r="L23">
        <v>1331.19</v>
      </c>
      <c r="M23">
        <v>2903.09</v>
      </c>
      <c r="N23">
        <v>0.14299999999999999</v>
      </c>
      <c r="O23">
        <v>8</v>
      </c>
    </row>
    <row r="24" spans="1:15" x14ac:dyDescent="0.35">
      <c r="A24" t="s">
        <v>119</v>
      </c>
      <c r="B24" s="1">
        <v>45822</v>
      </c>
      <c r="C24" s="1">
        <v>45837</v>
      </c>
      <c r="D24" t="s">
        <v>16</v>
      </c>
      <c r="E24" t="s">
        <v>25</v>
      </c>
      <c r="F24" t="s">
        <v>26</v>
      </c>
      <c r="G24" t="s">
        <v>48</v>
      </c>
      <c r="H24" t="s">
        <v>40</v>
      </c>
      <c r="I24" t="s">
        <v>110</v>
      </c>
      <c r="J24" t="s">
        <v>81</v>
      </c>
      <c r="K24" t="s">
        <v>120</v>
      </c>
      <c r="L24">
        <v>730.99</v>
      </c>
      <c r="M24">
        <v>1242.8399999999999</v>
      </c>
      <c r="N24">
        <v>0.12</v>
      </c>
      <c r="O24">
        <v>10</v>
      </c>
    </row>
    <row r="25" spans="1:15" x14ac:dyDescent="0.35">
      <c r="A25" t="s">
        <v>121</v>
      </c>
      <c r="B25" s="1">
        <v>45430</v>
      </c>
      <c r="C25" s="1">
        <v>45435</v>
      </c>
      <c r="D25" t="s">
        <v>52</v>
      </c>
      <c r="E25" t="s">
        <v>122</v>
      </c>
      <c r="F25" t="s">
        <v>123</v>
      </c>
      <c r="G25" t="s">
        <v>105</v>
      </c>
      <c r="H25" t="s">
        <v>20</v>
      </c>
      <c r="I25" t="s">
        <v>92</v>
      </c>
      <c r="J25" t="s">
        <v>57</v>
      </c>
      <c r="K25" t="s">
        <v>124</v>
      </c>
      <c r="L25">
        <v>1274.5899999999999</v>
      </c>
      <c r="M25">
        <v>2553.69</v>
      </c>
      <c r="N25">
        <v>0.01</v>
      </c>
      <c r="O25">
        <v>8</v>
      </c>
    </row>
    <row r="26" spans="1:15" x14ac:dyDescent="0.35">
      <c r="A26" t="s">
        <v>125</v>
      </c>
      <c r="B26" s="1">
        <v>44964</v>
      </c>
      <c r="C26" s="1">
        <v>44969</v>
      </c>
      <c r="D26" t="s">
        <v>52</v>
      </c>
      <c r="E26" t="s">
        <v>73</v>
      </c>
      <c r="F26" t="s">
        <v>74</v>
      </c>
      <c r="G26" t="s">
        <v>27</v>
      </c>
      <c r="H26" t="s">
        <v>28</v>
      </c>
      <c r="I26" t="s">
        <v>126</v>
      </c>
      <c r="J26" t="s">
        <v>22</v>
      </c>
      <c r="K26" t="s">
        <v>127</v>
      </c>
      <c r="L26">
        <v>948.55</v>
      </c>
      <c r="M26">
        <v>2089.16</v>
      </c>
      <c r="N26">
        <v>7.0000000000000001E-3</v>
      </c>
      <c r="O26">
        <v>12</v>
      </c>
    </row>
    <row r="27" spans="1:15" x14ac:dyDescent="0.35">
      <c r="A27" t="s">
        <v>128</v>
      </c>
      <c r="B27" s="1">
        <v>45473</v>
      </c>
      <c r="C27" s="1">
        <v>45487</v>
      </c>
      <c r="D27" t="s">
        <v>52</v>
      </c>
      <c r="E27" t="s">
        <v>73</v>
      </c>
      <c r="F27" t="s">
        <v>87</v>
      </c>
      <c r="G27" t="s">
        <v>27</v>
      </c>
      <c r="H27" t="s">
        <v>20</v>
      </c>
      <c r="I27" t="s">
        <v>21</v>
      </c>
      <c r="J27" t="s">
        <v>81</v>
      </c>
      <c r="K27" t="s">
        <v>129</v>
      </c>
      <c r="L27">
        <v>1491.85</v>
      </c>
      <c r="M27">
        <v>2583.02</v>
      </c>
      <c r="N27">
        <v>0.16800000000000001</v>
      </c>
      <c r="O27">
        <v>4</v>
      </c>
    </row>
    <row r="28" spans="1:15" x14ac:dyDescent="0.35">
      <c r="A28" t="s">
        <v>130</v>
      </c>
      <c r="B28" s="1">
        <v>45626</v>
      </c>
      <c r="C28" s="1">
        <v>45656</v>
      </c>
      <c r="D28" t="s">
        <v>78</v>
      </c>
      <c r="E28" t="s">
        <v>90</v>
      </c>
      <c r="F28" t="s">
        <v>91</v>
      </c>
      <c r="G28" t="s">
        <v>48</v>
      </c>
      <c r="H28" t="s">
        <v>40</v>
      </c>
      <c r="I28" t="s">
        <v>84</v>
      </c>
      <c r="J28" t="s">
        <v>30</v>
      </c>
      <c r="K28" t="s">
        <v>131</v>
      </c>
      <c r="L28">
        <v>117.64</v>
      </c>
      <c r="M28">
        <v>175.67</v>
      </c>
      <c r="N28">
        <v>0</v>
      </c>
      <c r="O28">
        <v>10</v>
      </c>
    </row>
    <row r="29" spans="1:15" x14ac:dyDescent="0.35">
      <c r="A29" t="s">
        <v>132</v>
      </c>
      <c r="B29" s="1">
        <v>45492</v>
      </c>
      <c r="C29" s="1">
        <v>45492</v>
      </c>
      <c r="D29" t="s">
        <v>16</v>
      </c>
      <c r="E29" t="s">
        <v>17</v>
      </c>
      <c r="F29" t="s">
        <v>18</v>
      </c>
      <c r="G29" t="s">
        <v>62</v>
      </c>
      <c r="H29" t="s">
        <v>20</v>
      </c>
      <c r="I29" t="s">
        <v>75</v>
      </c>
      <c r="J29" t="s">
        <v>42</v>
      </c>
      <c r="K29" t="s">
        <v>133</v>
      </c>
      <c r="L29">
        <v>857.24</v>
      </c>
      <c r="M29">
        <v>758.23</v>
      </c>
      <c r="N29">
        <v>0.125</v>
      </c>
      <c r="O29">
        <v>6</v>
      </c>
    </row>
    <row r="30" spans="1:15" x14ac:dyDescent="0.35">
      <c r="A30" t="s">
        <v>134</v>
      </c>
      <c r="B30" s="1">
        <v>45030</v>
      </c>
      <c r="C30" s="1">
        <v>45060</v>
      </c>
      <c r="D30" t="s">
        <v>16</v>
      </c>
      <c r="E30" t="s">
        <v>17</v>
      </c>
      <c r="F30" t="s">
        <v>135</v>
      </c>
      <c r="G30" t="s">
        <v>48</v>
      </c>
      <c r="H30" t="s">
        <v>40</v>
      </c>
      <c r="I30" t="s">
        <v>110</v>
      </c>
      <c r="J30" t="s">
        <v>42</v>
      </c>
      <c r="K30" t="s">
        <v>136</v>
      </c>
      <c r="L30">
        <v>209.25</v>
      </c>
      <c r="M30">
        <v>434.8</v>
      </c>
      <c r="N30">
        <v>0</v>
      </c>
      <c r="O30">
        <v>9</v>
      </c>
    </row>
    <row r="31" spans="1:15" x14ac:dyDescent="0.35">
      <c r="A31" t="s">
        <v>137</v>
      </c>
      <c r="B31" s="1">
        <v>45754</v>
      </c>
      <c r="C31" s="1">
        <v>45758</v>
      </c>
      <c r="D31" t="s">
        <v>78</v>
      </c>
      <c r="E31" t="s">
        <v>90</v>
      </c>
      <c r="F31" t="s">
        <v>138</v>
      </c>
      <c r="G31" t="s">
        <v>27</v>
      </c>
      <c r="H31" t="s">
        <v>20</v>
      </c>
      <c r="I31" t="s">
        <v>63</v>
      </c>
      <c r="J31" t="s">
        <v>35</v>
      </c>
      <c r="K31" t="s">
        <v>139</v>
      </c>
      <c r="L31">
        <v>754.77</v>
      </c>
      <c r="M31">
        <v>1666.18</v>
      </c>
      <c r="N31">
        <v>0.13900000000000001</v>
      </c>
      <c r="O31">
        <v>14</v>
      </c>
    </row>
    <row r="32" spans="1:15" x14ac:dyDescent="0.35">
      <c r="A32" t="s">
        <v>140</v>
      </c>
      <c r="B32" s="1">
        <v>45653</v>
      </c>
      <c r="C32" s="1">
        <v>45672</v>
      </c>
      <c r="D32" t="s">
        <v>45</v>
      </c>
      <c r="E32" t="s">
        <v>60</v>
      </c>
      <c r="F32" t="s">
        <v>141</v>
      </c>
      <c r="G32" t="s">
        <v>39</v>
      </c>
      <c r="H32" t="s">
        <v>55</v>
      </c>
      <c r="I32" t="s">
        <v>41</v>
      </c>
      <c r="J32" t="s">
        <v>22</v>
      </c>
      <c r="K32" t="s">
        <v>142</v>
      </c>
      <c r="L32">
        <v>495.59</v>
      </c>
      <c r="M32">
        <v>631.78</v>
      </c>
      <c r="N32">
        <v>8.6999999999999994E-2</v>
      </c>
      <c r="O32">
        <v>17</v>
      </c>
    </row>
    <row r="33" spans="1:15" x14ac:dyDescent="0.35">
      <c r="A33" t="s">
        <v>143</v>
      </c>
      <c r="B33" s="1">
        <v>44980</v>
      </c>
      <c r="C33" s="1">
        <v>45010</v>
      </c>
      <c r="D33" t="s">
        <v>52</v>
      </c>
      <c r="E33" t="s">
        <v>53</v>
      </c>
      <c r="F33" t="s">
        <v>144</v>
      </c>
      <c r="G33" t="s">
        <v>105</v>
      </c>
      <c r="H33" t="s">
        <v>28</v>
      </c>
      <c r="I33" t="s">
        <v>145</v>
      </c>
      <c r="J33" t="s">
        <v>42</v>
      </c>
      <c r="K33" t="s">
        <v>146</v>
      </c>
      <c r="L33">
        <v>1242.6600000000001</v>
      </c>
      <c r="M33">
        <v>1794.07</v>
      </c>
      <c r="N33">
        <v>8.8999999999999996E-2</v>
      </c>
      <c r="O33">
        <v>16</v>
      </c>
    </row>
    <row r="34" spans="1:15" x14ac:dyDescent="0.35">
      <c r="A34" t="s">
        <v>147</v>
      </c>
      <c r="B34" s="1">
        <v>45862</v>
      </c>
      <c r="C34" s="1">
        <v>45875</v>
      </c>
      <c r="D34" t="s">
        <v>16</v>
      </c>
      <c r="E34" t="s">
        <v>148</v>
      </c>
      <c r="F34" t="s">
        <v>149</v>
      </c>
      <c r="G34" t="s">
        <v>27</v>
      </c>
      <c r="H34" t="s">
        <v>40</v>
      </c>
      <c r="I34" t="s">
        <v>145</v>
      </c>
      <c r="J34" t="s">
        <v>35</v>
      </c>
      <c r="K34" t="s">
        <v>150</v>
      </c>
      <c r="L34">
        <v>1463.9</v>
      </c>
      <c r="M34">
        <v>2633.02</v>
      </c>
      <c r="N34">
        <v>8.4000000000000005E-2</v>
      </c>
      <c r="O34">
        <v>4</v>
      </c>
    </row>
    <row r="35" spans="1:15" x14ac:dyDescent="0.35">
      <c r="A35" t="s">
        <v>151</v>
      </c>
      <c r="B35" s="1">
        <v>45400</v>
      </c>
      <c r="C35" s="1">
        <v>45420</v>
      </c>
      <c r="D35" t="s">
        <v>78</v>
      </c>
      <c r="E35" t="s">
        <v>108</v>
      </c>
      <c r="F35" t="s">
        <v>152</v>
      </c>
      <c r="G35" t="s">
        <v>39</v>
      </c>
      <c r="I35" t="s">
        <v>145</v>
      </c>
      <c r="J35" t="s">
        <v>57</v>
      </c>
      <c r="K35" t="s">
        <v>153</v>
      </c>
      <c r="L35">
        <v>645.33000000000004</v>
      </c>
      <c r="M35">
        <v>1321.85</v>
      </c>
      <c r="N35">
        <v>0</v>
      </c>
      <c r="O35">
        <v>10</v>
      </c>
    </row>
    <row r="36" spans="1:15" x14ac:dyDescent="0.35">
      <c r="A36" t="s">
        <v>154</v>
      </c>
      <c r="B36" s="1">
        <v>45527</v>
      </c>
      <c r="C36" s="1">
        <v>45525</v>
      </c>
      <c r="D36" t="s">
        <v>16</v>
      </c>
      <c r="E36" t="s">
        <v>148</v>
      </c>
      <c r="F36" t="s">
        <v>149</v>
      </c>
      <c r="G36" t="s">
        <v>27</v>
      </c>
      <c r="H36" t="s">
        <v>20</v>
      </c>
      <c r="I36" t="s">
        <v>63</v>
      </c>
      <c r="J36" t="s">
        <v>22</v>
      </c>
      <c r="K36" t="s">
        <v>155</v>
      </c>
      <c r="L36">
        <v>1432.52</v>
      </c>
      <c r="M36">
        <v>3036.87</v>
      </c>
      <c r="N36">
        <v>0</v>
      </c>
      <c r="O36">
        <v>9</v>
      </c>
    </row>
    <row r="37" spans="1:15" x14ac:dyDescent="0.35">
      <c r="A37" t="s">
        <v>156</v>
      </c>
      <c r="B37" s="1">
        <v>45012</v>
      </c>
      <c r="C37" s="1">
        <v>45038</v>
      </c>
      <c r="D37" t="s">
        <v>45</v>
      </c>
      <c r="E37" t="s">
        <v>60</v>
      </c>
      <c r="F37" t="s">
        <v>141</v>
      </c>
      <c r="G37" t="s">
        <v>39</v>
      </c>
      <c r="H37" t="s">
        <v>40</v>
      </c>
      <c r="I37" t="s">
        <v>29</v>
      </c>
      <c r="J37" t="s">
        <v>30</v>
      </c>
      <c r="K37" t="s">
        <v>157</v>
      </c>
      <c r="L37">
        <v>178.53</v>
      </c>
      <c r="M37">
        <v>199.37</v>
      </c>
      <c r="N37">
        <v>0.10100000000000001</v>
      </c>
      <c r="O37">
        <v>37</v>
      </c>
    </row>
    <row r="38" spans="1:15" x14ac:dyDescent="0.35">
      <c r="A38" t="s">
        <v>158</v>
      </c>
      <c r="B38" s="1">
        <v>45358</v>
      </c>
      <c r="C38" s="1">
        <v>45376</v>
      </c>
      <c r="D38" t="s">
        <v>78</v>
      </c>
      <c r="E38" t="s">
        <v>79</v>
      </c>
      <c r="F38" t="s">
        <v>159</v>
      </c>
      <c r="G38" t="s">
        <v>19</v>
      </c>
      <c r="H38" t="s">
        <v>28</v>
      </c>
      <c r="I38" t="s">
        <v>56</v>
      </c>
      <c r="J38" t="s">
        <v>22</v>
      </c>
      <c r="K38" t="s">
        <v>160</v>
      </c>
      <c r="L38">
        <v>712.84</v>
      </c>
      <c r="M38">
        <v>927.51</v>
      </c>
      <c r="N38">
        <v>0.24299999999999999</v>
      </c>
      <c r="O38">
        <v>27</v>
      </c>
    </row>
    <row r="39" spans="1:15" x14ac:dyDescent="0.35">
      <c r="A39" t="s">
        <v>161</v>
      </c>
      <c r="B39" s="1">
        <v>45832</v>
      </c>
      <c r="C39" s="1">
        <v>45848</v>
      </c>
      <c r="D39" t="s">
        <v>45</v>
      </c>
      <c r="E39" t="s">
        <v>116</v>
      </c>
      <c r="F39" t="s">
        <v>162</v>
      </c>
      <c r="G39" t="s">
        <v>105</v>
      </c>
      <c r="H39" t="s">
        <v>98</v>
      </c>
      <c r="I39" t="s">
        <v>126</v>
      </c>
      <c r="J39" t="s">
        <v>22</v>
      </c>
      <c r="K39" t="s">
        <v>163</v>
      </c>
      <c r="L39">
        <v>757.19</v>
      </c>
      <c r="M39">
        <v>1735.41</v>
      </c>
      <c r="N39">
        <v>0.13600000000000001</v>
      </c>
      <c r="O39">
        <v>8</v>
      </c>
    </row>
    <row r="40" spans="1:15" x14ac:dyDescent="0.35">
      <c r="A40" t="s">
        <v>164</v>
      </c>
      <c r="B40" s="1">
        <v>45401</v>
      </c>
      <c r="C40" s="1">
        <v>45418</v>
      </c>
      <c r="D40" t="s">
        <v>16</v>
      </c>
      <c r="E40" t="s">
        <v>25</v>
      </c>
      <c r="F40" t="s">
        <v>26</v>
      </c>
      <c r="G40" t="s">
        <v>39</v>
      </c>
      <c r="H40" t="s">
        <v>28</v>
      </c>
      <c r="I40" t="s">
        <v>75</v>
      </c>
      <c r="J40" t="s">
        <v>30</v>
      </c>
      <c r="K40" t="s">
        <v>165</v>
      </c>
      <c r="L40">
        <v>865.33</v>
      </c>
      <c r="M40">
        <v>1395.64</v>
      </c>
      <c r="N40">
        <v>0.17499999999999999</v>
      </c>
      <c r="O40">
        <v>13</v>
      </c>
    </row>
    <row r="41" spans="1:15" x14ac:dyDescent="0.35">
      <c r="A41" t="s">
        <v>166</v>
      </c>
      <c r="B41" s="1">
        <v>45094</v>
      </c>
      <c r="C41" s="1">
        <v>45101</v>
      </c>
      <c r="D41" t="s">
        <v>52</v>
      </c>
      <c r="E41" t="s">
        <v>122</v>
      </c>
      <c r="F41" t="s">
        <v>167</v>
      </c>
      <c r="G41" t="s">
        <v>19</v>
      </c>
      <c r="H41" t="s">
        <v>20</v>
      </c>
      <c r="I41" t="s">
        <v>34</v>
      </c>
      <c r="J41" t="s">
        <v>30</v>
      </c>
      <c r="K41" t="s">
        <v>168</v>
      </c>
      <c r="L41">
        <v>313.99</v>
      </c>
      <c r="M41">
        <v>454.42</v>
      </c>
      <c r="N41">
        <v>0.129</v>
      </c>
      <c r="O41">
        <v>9</v>
      </c>
    </row>
    <row r="42" spans="1:15" x14ac:dyDescent="0.35">
      <c r="A42" t="s">
        <v>169</v>
      </c>
      <c r="B42" s="1">
        <v>45531</v>
      </c>
      <c r="C42" s="1">
        <v>45554</v>
      </c>
      <c r="D42" t="s">
        <v>78</v>
      </c>
      <c r="E42" t="s">
        <v>79</v>
      </c>
      <c r="F42" t="s">
        <v>80</v>
      </c>
      <c r="G42" t="s">
        <v>62</v>
      </c>
      <c r="H42" t="s">
        <v>98</v>
      </c>
      <c r="I42" t="s">
        <v>145</v>
      </c>
      <c r="J42" t="s">
        <v>64</v>
      </c>
      <c r="K42" t="s">
        <v>170</v>
      </c>
      <c r="L42">
        <v>1024.01</v>
      </c>
      <c r="M42">
        <v>1580.97</v>
      </c>
      <c r="N42">
        <v>3.6999999999999998E-2</v>
      </c>
      <c r="O42">
        <v>27</v>
      </c>
    </row>
    <row r="43" spans="1:15" x14ac:dyDescent="0.35">
      <c r="A43" t="s">
        <v>171</v>
      </c>
      <c r="B43" s="1">
        <v>45302</v>
      </c>
      <c r="C43" s="1">
        <v>45324</v>
      </c>
      <c r="D43" t="s">
        <v>16</v>
      </c>
      <c r="E43" t="s">
        <v>148</v>
      </c>
      <c r="F43" t="s">
        <v>172</v>
      </c>
      <c r="G43" t="s">
        <v>48</v>
      </c>
      <c r="H43" t="s">
        <v>28</v>
      </c>
      <c r="I43" t="s">
        <v>95</v>
      </c>
      <c r="J43" t="s">
        <v>35</v>
      </c>
      <c r="K43" t="s">
        <v>173</v>
      </c>
      <c r="L43">
        <v>1206.2</v>
      </c>
      <c r="M43">
        <v>1759.79</v>
      </c>
      <c r="N43">
        <v>0</v>
      </c>
      <c r="O43">
        <v>6</v>
      </c>
    </row>
    <row r="44" spans="1:15" x14ac:dyDescent="0.35">
      <c r="A44" t="s">
        <v>174</v>
      </c>
      <c r="B44" s="1">
        <v>45590</v>
      </c>
      <c r="C44" s="1">
        <v>45610</v>
      </c>
      <c r="D44" t="s">
        <v>16</v>
      </c>
      <c r="E44" t="s">
        <v>17</v>
      </c>
      <c r="F44" t="s">
        <v>113</v>
      </c>
      <c r="G44" t="s">
        <v>19</v>
      </c>
      <c r="H44" t="s">
        <v>98</v>
      </c>
      <c r="I44" t="s">
        <v>92</v>
      </c>
      <c r="J44" t="s">
        <v>30</v>
      </c>
      <c r="K44" t="s">
        <v>175</v>
      </c>
      <c r="L44">
        <v>1396.48</v>
      </c>
      <c r="M44">
        <v>3204.5</v>
      </c>
      <c r="N44">
        <v>0.318</v>
      </c>
      <c r="O44">
        <v>14</v>
      </c>
    </row>
    <row r="45" spans="1:15" x14ac:dyDescent="0.35">
      <c r="A45" t="s">
        <v>176</v>
      </c>
      <c r="B45" s="1">
        <v>45806</v>
      </c>
      <c r="C45" s="1">
        <v>45828</v>
      </c>
      <c r="D45" t="s">
        <v>78</v>
      </c>
      <c r="E45" t="s">
        <v>79</v>
      </c>
      <c r="F45" t="s">
        <v>80</v>
      </c>
      <c r="G45" t="s">
        <v>19</v>
      </c>
      <c r="H45" t="s">
        <v>98</v>
      </c>
      <c r="I45" t="s">
        <v>75</v>
      </c>
      <c r="J45" t="s">
        <v>30</v>
      </c>
      <c r="K45" t="s">
        <v>177</v>
      </c>
      <c r="L45">
        <v>483.47</v>
      </c>
      <c r="M45">
        <v>1135.43</v>
      </c>
      <c r="N45">
        <v>0.14599999999999999</v>
      </c>
      <c r="O45">
        <v>11</v>
      </c>
    </row>
    <row r="46" spans="1:15" x14ac:dyDescent="0.35">
      <c r="A46" t="s">
        <v>178</v>
      </c>
      <c r="B46" s="1">
        <v>45432</v>
      </c>
      <c r="C46" s="1">
        <v>45445</v>
      </c>
      <c r="D46" t="s">
        <v>52</v>
      </c>
      <c r="E46" t="s">
        <v>53</v>
      </c>
      <c r="F46" t="s">
        <v>179</v>
      </c>
      <c r="G46" t="s">
        <v>105</v>
      </c>
      <c r="H46" t="s">
        <v>40</v>
      </c>
      <c r="I46" t="s">
        <v>95</v>
      </c>
      <c r="J46" t="s">
        <v>22</v>
      </c>
      <c r="K46" t="s">
        <v>180</v>
      </c>
      <c r="L46">
        <v>675.43</v>
      </c>
      <c r="M46">
        <v>996.36</v>
      </c>
      <c r="N46">
        <v>0.182</v>
      </c>
      <c r="O46">
        <v>22</v>
      </c>
    </row>
    <row r="47" spans="1:15" x14ac:dyDescent="0.35">
      <c r="A47" t="s">
        <v>181</v>
      </c>
      <c r="B47" s="1">
        <v>45035</v>
      </c>
      <c r="C47" s="1">
        <v>45046</v>
      </c>
      <c r="D47" t="s">
        <v>45</v>
      </c>
      <c r="E47" t="s">
        <v>60</v>
      </c>
      <c r="F47" t="s">
        <v>141</v>
      </c>
      <c r="G47" t="s">
        <v>62</v>
      </c>
      <c r="H47" t="s">
        <v>20</v>
      </c>
      <c r="I47" t="s">
        <v>75</v>
      </c>
      <c r="J47" t="s">
        <v>35</v>
      </c>
      <c r="K47" t="s">
        <v>182</v>
      </c>
      <c r="L47">
        <v>826.55</v>
      </c>
      <c r="M47">
        <v>1397.05</v>
      </c>
      <c r="N47">
        <v>0.16900000000000001</v>
      </c>
      <c r="O47">
        <v>28</v>
      </c>
    </row>
    <row r="48" spans="1:15" x14ac:dyDescent="0.35">
      <c r="A48" t="s">
        <v>183</v>
      </c>
      <c r="B48" s="1">
        <v>45100</v>
      </c>
      <c r="C48" s="1">
        <v>45110</v>
      </c>
      <c r="D48" t="s">
        <v>16</v>
      </c>
      <c r="E48" t="s">
        <v>25</v>
      </c>
      <c r="F48" t="s">
        <v>67</v>
      </c>
      <c r="G48" t="s">
        <v>48</v>
      </c>
      <c r="H48" t="s">
        <v>28</v>
      </c>
      <c r="I48" t="s">
        <v>29</v>
      </c>
      <c r="J48" t="s">
        <v>30</v>
      </c>
      <c r="K48" t="s">
        <v>184</v>
      </c>
      <c r="L48">
        <v>337.75</v>
      </c>
      <c r="M48">
        <v>548.89</v>
      </c>
      <c r="N48">
        <v>0</v>
      </c>
      <c r="O48">
        <v>13</v>
      </c>
    </row>
    <row r="49" spans="1:15" x14ac:dyDescent="0.35">
      <c r="A49" t="s">
        <v>185</v>
      </c>
      <c r="B49" s="1">
        <v>45426</v>
      </c>
      <c r="C49" s="1">
        <v>45440</v>
      </c>
      <c r="D49" t="s">
        <v>78</v>
      </c>
      <c r="E49" t="s">
        <v>108</v>
      </c>
      <c r="F49" t="s">
        <v>109</v>
      </c>
      <c r="G49" t="s">
        <v>48</v>
      </c>
      <c r="H49" t="s">
        <v>20</v>
      </c>
      <c r="I49" t="s">
        <v>56</v>
      </c>
      <c r="J49" t="s">
        <v>35</v>
      </c>
      <c r="K49" t="s">
        <v>186</v>
      </c>
      <c r="L49">
        <v>1421.14</v>
      </c>
      <c r="M49">
        <v>3524</v>
      </c>
      <c r="N49">
        <v>0</v>
      </c>
      <c r="O49">
        <v>31</v>
      </c>
    </row>
    <row r="50" spans="1:15" x14ac:dyDescent="0.35">
      <c r="A50" t="s">
        <v>187</v>
      </c>
      <c r="B50" s="1">
        <v>45579</v>
      </c>
      <c r="C50" s="1">
        <v>45604</v>
      </c>
      <c r="D50" t="s">
        <v>16</v>
      </c>
      <c r="E50" t="s">
        <v>25</v>
      </c>
      <c r="F50" t="s">
        <v>38</v>
      </c>
      <c r="G50" t="s">
        <v>105</v>
      </c>
      <c r="H50" t="s">
        <v>28</v>
      </c>
      <c r="I50" t="s">
        <v>68</v>
      </c>
      <c r="J50" t="s">
        <v>35</v>
      </c>
      <c r="K50" t="s">
        <v>188</v>
      </c>
      <c r="L50">
        <v>859.35</v>
      </c>
      <c r="M50">
        <v>1825.61</v>
      </c>
      <c r="N50">
        <v>0.187</v>
      </c>
      <c r="O50">
        <v>24</v>
      </c>
    </row>
    <row r="51" spans="1:15" x14ac:dyDescent="0.35">
      <c r="A51" t="s">
        <v>189</v>
      </c>
      <c r="B51" s="1">
        <v>45117</v>
      </c>
      <c r="C51" s="1">
        <v>45139</v>
      </c>
      <c r="D51" t="s">
        <v>78</v>
      </c>
      <c r="E51" t="s">
        <v>90</v>
      </c>
      <c r="F51" t="s">
        <v>91</v>
      </c>
      <c r="G51" t="s">
        <v>48</v>
      </c>
      <c r="H51" t="s">
        <v>40</v>
      </c>
      <c r="I51" t="s">
        <v>56</v>
      </c>
      <c r="J51" t="s">
        <v>30</v>
      </c>
      <c r="K51" t="s">
        <v>190</v>
      </c>
      <c r="L51">
        <v>1303.56</v>
      </c>
      <c r="M51">
        <v>1791.37</v>
      </c>
      <c r="N51">
        <v>0.126</v>
      </c>
      <c r="O51">
        <v>22</v>
      </c>
    </row>
    <row r="52" spans="1:15" x14ac:dyDescent="0.35">
      <c r="A52" t="s">
        <v>191</v>
      </c>
      <c r="B52" s="1">
        <v>45602</v>
      </c>
      <c r="C52" s="1">
        <v>45618</v>
      </c>
      <c r="D52" t="s">
        <v>52</v>
      </c>
      <c r="E52" t="s">
        <v>53</v>
      </c>
      <c r="F52" t="s">
        <v>54</v>
      </c>
      <c r="G52" t="s">
        <v>39</v>
      </c>
      <c r="H52" t="s">
        <v>55</v>
      </c>
      <c r="I52" t="s">
        <v>145</v>
      </c>
      <c r="J52" t="s">
        <v>81</v>
      </c>
      <c r="K52" t="s">
        <v>192</v>
      </c>
      <c r="L52">
        <v>1454.11</v>
      </c>
      <c r="M52">
        <v>2629.75</v>
      </c>
      <c r="N52">
        <v>0.29199999999999998</v>
      </c>
      <c r="O52">
        <v>8</v>
      </c>
    </row>
    <row r="53" spans="1:15" x14ac:dyDescent="0.35">
      <c r="A53" t="s">
        <v>193</v>
      </c>
      <c r="B53" s="1">
        <v>45582</v>
      </c>
      <c r="C53" s="1">
        <v>45602</v>
      </c>
      <c r="D53" t="s">
        <v>45</v>
      </c>
      <c r="E53" t="s">
        <v>60</v>
      </c>
      <c r="F53" t="s">
        <v>61</v>
      </c>
      <c r="G53" t="s">
        <v>105</v>
      </c>
      <c r="H53" t="s">
        <v>55</v>
      </c>
      <c r="I53" t="s">
        <v>68</v>
      </c>
      <c r="J53" t="s">
        <v>64</v>
      </c>
      <c r="K53" t="s">
        <v>194</v>
      </c>
      <c r="L53">
        <v>72.94</v>
      </c>
      <c r="M53">
        <v>106.3</v>
      </c>
      <c r="N53">
        <v>0.29499999999999998</v>
      </c>
      <c r="O53">
        <v>8</v>
      </c>
    </row>
    <row r="54" spans="1:15" x14ac:dyDescent="0.35">
      <c r="A54" t="s">
        <v>195</v>
      </c>
      <c r="B54" s="1">
        <v>45016</v>
      </c>
      <c r="C54" s="1">
        <v>45021</v>
      </c>
      <c r="D54" t="s">
        <v>16</v>
      </c>
      <c r="E54" t="s">
        <v>17</v>
      </c>
      <c r="F54" t="s">
        <v>135</v>
      </c>
      <c r="G54" t="s">
        <v>27</v>
      </c>
      <c r="H54" t="s">
        <v>40</v>
      </c>
      <c r="I54" t="s">
        <v>56</v>
      </c>
      <c r="J54" t="s">
        <v>57</v>
      </c>
      <c r="K54" t="s">
        <v>196</v>
      </c>
      <c r="L54">
        <v>533.26</v>
      </c>
      <c r="M54">
        <v>385.72</v>
      </c>
      <c r="N54">
        <v>0</v>
      </c>
      <c r="O54">
        <v>15</v>
      </c>
    </row>
    <row r="55" spans="1:15" x14ac:dyDescent="0.35">
      <c r="A55" t="s">
        <v>197</v>
      </c>
      <c r="B55" s="1">
        <v>45678</v>
      </c>
      <c r="C55" s="1">
        <v>45704</v>
      </c>
      <c r="D55" t="s">
        <v>78</v>
      </c>
      <c r="E55" t="s">
        <v>90</v>
      </c>
      <c r="F55" t="s">
        <v>138</v>
      </c>
      <c r="G55" t="s">
        <v>19</v>
      </c>
      <c r="H55" t="s">
        <v>55</v>
      </c>
      <c r="I55" t="s">
        <v>68</v>
      </c>
      <c r="J55" t="s">
        <v>57</v>
      </c>
      <c r="K55" t="s">
        <v>198</v>
      </c>
      <c r="L55">
        <v>204.11</v>
      </c>
      <c r="M55">
        <v>236.87</v>
      </c>
      <c r="N55">
        <v>0.182</v>
      </c>
      <c r="O55">
        <v>13</v>
      </c>
    </row>
    <row r="56" spans="1:15" x14ac:dyDescent="0.35">
      <c r="A56" t="s">
        <v>199</v>
      </c>
      <c r="B56" s="1">
        <v>45168</v>
      </c>
      <c r="C56" s="1">
        <v>45170</v>
      </c>
      <c r="D56" t="s">
        <v>78</v>
      </c>
      <c r="E56" t="s">
        <v>79</v>
      </c>
      <c r="F56" t="s">
        <v>159</v>
      </c>
      <c r="G56" t="s">
        <v>19</v>
      </c>
      <c r="H56" t="s">
        <v>98</v>
      </c>
      <c r="I56" t="s">
        <v>126</v>
      </c>
      <c r="J56" t="s">
        <v>35</v>
      </c>
      <c r="K56" t="s">
        <v>200</v>
      </c>
      <c r="L56">
        <v>44.42</v>
      </c>
      <c r="M56">
        <v>41.9</v>
      </c>
      <c r="N56">
        <v>0.14399999999999999</v>
      </c>
      <c r="O56">
        <v>6</v>
      </c>
    </row>
    <row r="57" spans="1:15" x14ac:dyDescent="0.35">
      <c r="A57" t="s">
        <v>201</v>
      </c>
      <c r="B57" s="1">
        <v>45753</v>
      </c>
      <c r="C57" s="1">
        <v>45777</v>
      </c>
      <c r="D57" t="s">
        <v>52</v>
      </c>
      <c r="E57" t="s">
        <v>73</v>
      </c>
      <c r="F57" t="s">
        <v>87</v>
      </c>
      <c r="G57" t="s">
        <v>27</v>
      </c>
      <c r="H57" t="s">
        <v>28</v>
      </c>
      <c r="I57" t="s">
        <v>95</v>
      </c>
      <c r="J57" t="s">
        <v>64</v>
      </c>
      <c r="K57" t="s">
        <v>202</v>
      </c>
      <c r="L57">
        <v>855.78</v>
      </c>
      <c r="M57">
        <v>977.38</v>
      </c>
      <c r="N57">
        <v>0.14699999999999999</v>
      </c>
      <c r="O57">
        <v>38</v>
      </c>
    </row>
    <row r="58" spans="1:15" x14ac:dyDescent="0.35">
      <c r="A58" t="s">
        <v>203</v>
      </c>
      <c r="B58" s="1">
        <v>45697</v>
      </c>
      <c r="C58" s="1">
        <v>45717</v>
      </c>
      <c r="D58" t="s">
        <v>52</v>
      </c>
      <c r="E58" t="s">
        <v>73</v>
      </c>
      <c r="F58" t="s">
        <v>74</v>
      </c>
      <c r="G58" t="s">
        <v>19</v>
      </c>
      <c r="H58" t="s">
        <v>55</v>
      </c>
      <c r="I58" t="s">
        <v>56</v>
      </c>
      <c r="J58" t="s">
        <v>57</v>
      </c>
      <c r="K58" t="s">
        <v>204</v>
      </c>
      <c r="L58">
        <v>1154.6400000000001</v>
      </c>
      <c r="M58">
        <v>2794.13</v>
      </c>
      <c r="N58">
        <v>3.5000000000000003E-2</v>
      </c>
      <c r="O58">
        <v>11</v>
      </c>
    </row>
    <row r="59" spans="1:15" x14ac:dyDescent="0.35">
      <c r="A59" t="s">
        <v>205</v>
      </c>
      <c r="B59" s="1">
        <v>45643</v>
      </c>
      <c r="C59" s="1">
        <v>45644</v>
      </c>
      <c r="D59" t="s">
        <v>78</v>
      </c>
      <c r="E59" t="s">
        <v>79</v>
      </c>
      <c r="F59" t="s">
        <v>159</v>
      </c>
      <c r="G59" t="s">
        <v>27</v>
      </c>
      <c r="H59" t="s">
        <v>20</v>
      </c>
      <c r="I59" t="s">
        <v>49</v>
      </c>
      <c r="J59" t="s">
        <v>81</v>
      </c>
      <c r="K59" t="s">
        <v>206</v>
      </c>
      <c r="L59">
        <v>346.82</v>
      </c>
      <c r="M59">
        <v>701.95</v>
      </c>
      <c r="N59">
        <v>0.14699999999999999</v>
      </c>
      <c r="O59">
        <v>8</v>
      </c>
    </row>
    <row r="60" spans="1:15" x14ac:dyDescent="0.35">
      <c r="A60" t="s">
        <v>207</v>
      </c>
      <c r="B60" s="1">
        <v>45817</v>
      </c>
      <c r="C60" s="1">
        <v>45826</v>
      </c>
      <c r="D60" t="s">
        <v>78</v>
      </c>
      <c r="E60" t="s">
        <v>90</v>
      </c>
      <c r="F60" t="s">
        <v>91</v>
      </c>
      <c r="G60" t="s">
        <v>62</v>
      </c>
      <c r="H60" t="s">
        <v>40</v>
      </c>
      <c r="I60" t="s">
        <v>92</v>
      </c>
      <c r="J60" t="s">
        <v>81</v>
      </c>
      <c r="K60" t="s">
        <v>208</v>
      </c>
      <c r="L60">
        <v>1225.5</v>
      </c>
      <c r="M60">
        <v>-5.27</v>
      </c>
      <c r="N60">
        <v>7.4999999999999997E-2</v>
      </c>
      <c r="O60">
        <v>56</v>
      </c>
    </row>
    <row r="61" spans="1:15" x14ac:dyDescent="0.35">
      <c r="A61" t="s">
        <v>209</v>
      </c>
      <c r="B61" s="1">
        <v>45779</v>
      </c>
      <c r="C61" s="1">
        <v>45790</v>
      </c>
      <c r="D61" t="s">
        <v>16</v>
      </c>
      <c r="E61" t="s">
        <v>17</v>
      </c>
      <c r="F61" t="s">
        <v>135</v>
      </c>
      <c r="G61" t="s">
        <v>62</v>
      </c>
      <c r="H61" t="s">
        <v>28</v>
      </c>
      <c r="I61" t="s">
        <v>75</v>
      </c>
      <c r="J61" t="s">
        <v>81</v>
      </c>
      <c r="K61" t="s">
        <v>210</v>
      </c>
      <c r="L61">
        <v>1057.5999999999999</v>
      </c>
      <c r="M61">
        <v>1437.06</v>
      </c>
      <c r="N61">
        <v>0.20499999999999999</v>
      </c>
      <c r="O61">
        <v>4</v>
      </c>
    </row>
    <row r="62" spans="1:15" x14ac:dyDescent="0.35">
      <c r="A62" t="s">
        <v>211</v>
      </c>
      <c r="B62" s="1">
        <v>45361</v>
      </c>
      <c r="C62" s="1">
        <v>45391</v>
      </c>
      <c r="D62" t="s">
        <v>78</v>
      </c>
      <c r="E62" t="s">
        <v>90</v>
      </c>
      <c r="F62" t="s">
        <v>138</v>
      </c>
      <c r="G62" t="s">
        <v>19</v>
      </c>
      <c r="H62" t="s">
        <v>98</v>
      </c>
      <c r="I62" t="s">
        <v>34</v>
      </c>
      <c r="J62" t="s">
        <v>22</v>
      </c>
      <c r="K62" t="s">
        <v>212</v>
      </c>
      <c r="L62">
        <v>1176.56</v>
      </c>
      <c r="M62">
        <v>1911.89</v>
      </c>
      <c r="N62">
        <v>0.11899999999999999</v>
      </c>
      <c r="O62">
        <v>20</v>
      </c>
    </row>
    <row r="63" spans="1:15" x14ac:dyDescent="0.35">
      <c r="A63" t="s">
        <v>213</v>
      </c>
      <c r="B63" s="1">
        <v>45910</v>
      </c>
      <c r="C63" s="1">
        <v>45912</v>
      </c>
      <c r="D63" t="s">
        <v>45</v>
      </c>
      <c r="E63" t="s">
        <v>46</v>
      </c>
      <c r="F63" t="s">
        <v>214</v>
      </c>
      <c r="G63" t="s">
        <v>48</v>
      </c>
      <c r="H63" t="s">
        <v>28</v>
      </c>
      <c r="I63" t="s">
        <v>68</v>
      </c>
      <c r="J63" t="s">
        <v>22</v>
      </c>
      <c r="K63" t="s">
        <v>215</v>
      </c>
      <c r="L63">
        <v>1470.15</v>
      </c>
      <c r="M63">
        <v>2593.7800000000002</v>
      </c>
      <c r="N63">
        <v>0.11</v>
      </c>
      <c r="O63">
        <v>12</v>
      </c>
    </row>
    <row r="64" spans="1:15" x14ac:dyDescent="0.35">
      <c r="A64" t="s">
        <v>216</v>
      </c>
      <c r="B64" s="1">
        <v>45774</v>
      </c>
      <c r="C64" s="1">
        <v>45802</v>
      </c>
      <c r="D64" t="s">
        <v>78</v>
      </c>
      <c r="E64" t="s">
        <v>90</v>
      </c>
      <c r="F64" t="s">
        <v>217</v>
      </c>
      <c r="G64" t="s">
        <v>62</v>
      </c>
      <c r="H64" t="s">
        <v>40</v>
      </c>
      <c r="I64" t="s">
        <v>34</v>
      </c>
      <c r="J64" t="s">
        <v>42</v>
      </c>
      <c r="K64" t="s">
        <v>218</v>
      </c>
      <c r="L64">
        <v>603.45000000000005</v>
      </c>
      <c r="M64">
        <v>1244.08</v>
      </c>
      <c r="N64">
        <v>0.2</v>
      </c>
      <c r="O64">
        <v>11</v>
      </c>
    </row>
    <row r="65" spans="1:15" x14ac:dyDescent="0.35">
      <c r="A65" t="s">
        <v>219</v>
      </c>
      <c r="B65" s="1">
        <v>45598</v>
      </c>
      <c r="C65" s="1">
        <v>45614</v>
      </c>
      <c r="D65" t="s">
        <v>45</v>
      </c>
      <c r="E65" t="s">
        <v>60</v>
      </c>
      <c r="F65" t="s">
        <v>220</v>
      </c>
      <c r="G65" t="s">
        <v>62</v>
      </c>
      <c r="H65" t="s">
        <v>55</v>
      </c>
      <c r="I65" t="s">
        <v>68</v>
      </c>
      <c r="J65" t="s">
        <v>64</v>
      </c>
      <c r="K65" t="s">
        <v>221</v>
      </c>
      <c r="L65">
        <v>1233.58</v>
      </c>
      <c r="M65">
        <v>1912.51</v>
      </c>
      <c r="N65">
        <v>0.255</v>
      </c>
      <c r="O65">
        <v>51</v>
      </c>
    </row>
    <row r="66" spans="1:15" x14ac:dyDescent="0.35">
      <c r="A66" t="s">
        <v>222</v>
      </c>
      <c r="B66" s="1">
        <v>44972</v>
      </c>
      <c r="C66" s="1">
        <v>44983</v>
      </c>
      <c r="D66" t="s">
        <v>16</v>
      </c>
      <c r="E66" t="s">
        <v>148</v>
      </c>
      <c r="F66" t="s">
        <v>149</v>
      </c>
      <c r="G66" t="s">
        <v>39</v>
      </c>
      <c r="H66" t="s">
        <v>20</v>
      </c>
      <c r="I66" t="s">
        <v>95</v>
      </c>
      <c r="J66" t="s">
        <v>57</v>
      </c>
      <c r="K66" t="s">
        <v>223</v>
      </c>
      <c r="L66">
        <v>498.5</v>
      </c>
      <c r="M66">
        <v>755.87</v>
      </c>
      <c r="N66">
        <v>0.13</v>
      </c>
      <c r="O66">
        <v>40</v>
      </c>
    </row>
    <row r="67" spans="1:15" x14ac:dyDescent="0.35">
      <c r="A67" t="s">
        <v>224</v>
      </c>
      <c r="B67" s="1">
        <v>45263</v>
      </c>
      <c r="C67" s="1">
        <v>45286</v>
      </c>
      <c r="D67" t="s">
        <v>52</v>
      </c>
      <c r="E67" t="s">
        <v>73</v>
      </c>
      <c r="F67" t="s">
        <v>225</v>
      </c>
      <c r="G67" t="s">
        <v>27</v>
      </c>
      <c r="H67" t="s">
        <v>20</v>
      </c>
      <c r="I67" t="s">
        <v>68</v>
      </c>
      <c r="J67" t="s">
        <v>42</v>
      </c>
      <c r="K67" t="s">
        <v>226</v>
      </c>
      <c r="L67">
        <v>1303.1099999999999</v>
      </c>
      <c r="M67">
        <v>1145.67</v>
      </c>
      <c r="N67">
        <v>0.184</v>
      </c>
      <c r="O67">
        <v>13</v>
      </c>
    </row>
    <row r="68" spans="1:15" x14ac:dyDescent="0.35">
      <c r="A68" t="s">
        <v>227</v>
      </c>
      <c r="B68" s="1">
        <v>45004</v>
      </c>
      <c r="C68" s="1">
        <v>45025</v>
      </c>
      <c r="D68" t="s">
        <v>78</v>
      </c>
      <c r="E68" t="s">
        <v>108</v>
      </c>
      <c r="F68" t="s">
        <v>228</v>
      </c>
      <c r="G68" t="s">
        <v>48</v>
      </c>
      <c r="H68" t="s">
        <v>20</v>
      </c>
      <c r="I68" t="s">
        <v>49</v>
      </c>
      <c r="J68" t="s">
        <v>81</v>
      </c>
      <c r="K68" t="s">
        <v>229</v>
      </c>
      <c r="L68">
        <v>1082.17</v>
      </c>
      <c r="M68">
        <v>1234.0999999999999</v>
      </c>
      <c r="N68">
        <v>0.189</v>
      </c>
      <c r="O68">
        <v>16</v>
      </c>
    </row>
    <row r="69" spans="1:15" x14ac:dyDescent="0.35">
      <c r="A69" t="s">
        <v>230</v>
      </c>
      <c r="B69" s="1">
        <v>45434</v>
      </c>
      <c r="C69" s="1">
        <v>45449</v>
      </c>
      <c r="D69" t="s">
        <v>45</v>
      </c>
      <c r="E69" t="s">
        <v>46</v>
      </c>
      <c r="F69" t="s">
        <v>231</v>
      </c>
      <c r="G69" t="s">
        <v>19</v>
      </c>
      <c r="H69" t="s">
        <v>55</v>
      </c>
      <c r="I69" t="s">
        <v>21</v>
      </c>
      <c r="J69" t="s">
        <v>64</v>
      </c>
      <c r="K69" t="s">
        <v>232</v>
      </c>
      <c r="L69">
        <v>673.88</v>
      </c>
      <c r="M69">
        <v>1228.01</v>
      </c>
      <c r="N69">
        <v>0.105</v>
      </c>
      <c r="O69">
        <v>13</v>
      </c>
    </row>
    <row r="70" spans="1:15" x14ac:dyDescent="0.35">
      <c r="A70" t="s">
        <v>233</v>
      </c>
      <c r="B70" s="1">
        <v>45157</v>
      </c>
      <c r="C70" s="1">
        <v>45176</v>
      </c>
      <c r="D70" t="s">
        <v>16</v>
      </c>
      <c r="E70" t="s">
        <v>148</v>
      </c>
      <c r="F70" t="s">
        <v>149</v>
      </c>
      <c r="G70" t="s">
        <v>105</v>
      </c>
      <c r="H70" t="s">
        <v>20</v>
      </c>
      <c r="I70" t="s">
        <v>145</v>
      </c>
      <c r="J70" t="s">
        <v>64</v>
      </c>
      <c r="K70" t="s">
        <v>234</v>
      </c>
      <c r="L70">
        <v>494.61</v>
      </c>
      <c r="M70">
        <v>605.23</v>
      </c>
      <c r="N70">
        <v>0.20399999999999999</v>
      </c>
      <c r="O70">
        <v>18</v>
      </c>
    </row>
    <row r="71" spans="1:15" x14ac:dyDescent="0.35">
      <c r="A71" t="s">
        <v>235</v>
      </c>
      <c r="B71" s="1">
        <v>45037</v>
      </c>
      <c r="C71" s="1">
        <v>45056</v>
      </c>
      <c r="D71" t="s">
        <v>45</v>
      </c>
      <c r="E71" t="s">
        <v>116</v>
      </c>
      <c r="F71" t="s">
        <v>162</v>
      </c>
      <c r="G71" t="s">
        <v>19</v>
      </c>
      <c r="H71" t="s">
        <v>20</v>
      </c>
      <c r="I71" t="s">
        <v>75</v>
      </c>
      <c r="J71" t="s">
        <v>22</v>
      </c>
      <c r="K71" t="s">
        <v>236</v>
      </c>
      <c r="L71">
        <v>882.33</v>
      </c>
      <c r="M71">
        <v>1880.15</v>
      </c>
      <c r="N71">
        <v>0.05</v>
      </c>
      <c r="O71">
        <v>5</v>
      </c>
    </row>
    <row r="72" spans="1:15" x14ac:dyDescent="0.35">
      <c r="A72" t="s">
        <v>237</v>
      </c>
      <c r="B72" s="1">
        <v>45369</v>
      </c>
      <c r="C72" s="1">
        <v>45372</v>
      </c>
      <c r="D72" t="s">
        <v>78</v>
      </c>
      <c r="E72" t="s">
        <v>79</v>
      </c>
      <c r="F72" t="s">
        <v>159</v>
      </c>
      <c r="G72" t="s">
        <v>62</v>
      </c>
      <c r="H72" t="s">
        <v>28</v>
      </c>
      <c r="I72" t="s">
        <v>110</v>
      </c>
      <c r="J72" t="s">
        <v>81</v>
      </c>
      <c r="K72" t="s">
        <v>238</v>
      </c>
      <c r="L72">
        <v>910.63</v>
      </c>
      <c r="M72">
        <v>1269.4000000000001</v>
      </c>
      <c r="N72">
        <v>6.8000000000000005E-2</v>
      </c>
      <c r="O72">
        <v>9</v>
      </c>
    </row>
    <row r="73" spans="1:15" x14ac:dyDescent="0.35">
      <c r="A73" t="s">
        <v>239</v>
      </c>
      <c r="B73" s="1">
        <v>45756</v>
      </c>
      <c r="C73" s="1">
        <v>45783</v>
      </c>
      <c r="D73" t="s">
        <v>52</v>
      </c>
      <c r="E73" t="s">
        <v>73</v>
      </c>
      <c r="F73" t="s">
        <v>87</v>
      </c>
      <c r="G73" t="s">
        <v>105</v>
      </c>
      <c r="H73" t="s">
        <v>40</v>
      </c>
      <c r="I73" t="s">
        <v>84</v>
      </c>
      <c r="J73" t="s">
        <v>57</v>
      </c>
      <c r="K73" t="s">
        <v>240</v>
      </c>
      <c r="L73">
        <v>264.19</v>
      </c>
      <c r="M73">
        <v>620.92999999999995</v>
      </c>
      <c r="N73">
        <v>0.14199999999999999</v>
      </c>
      <c r="O73">
        <v>12</v>
      </c>
    </row>
    <row r="74" spans="1:15" x14ac:dyDescent="0.35">
      <c r="A74" t="s">
        <v>241</v>
      </c>
      <c r="B74" s="1">
        <v>45394</v>
      </c>
      <c r="C74" s="1">
        <v>45419</v>
      </c>
      <c r="D74" t="s">
        <v>16</v>
      </c>
      <c r="E74" t="s">
        <v>148</v>
      </c>
      <c r="F74" t="s">
        <v>149</v>
      </c>
      <c r="G74" t="s">
        <v>27</v>
      </c>
      <c r="H74" t="s">
        <v>55</v>
      </c>
      <c r="I74" t="s">
        <v>75</v>
      </c>
      <c r="J74" t="s">
        <v>57</v>
      </c>
      <c r="K74" t="s">
        <v>242</v>
      </c>
      <c r="L74">
        <v>1376.51</v>
      </c>
      <c r="M74">
        <v>1455.91</v>
      </c>
      <c r="N74">
        <v>0.185</v>
      </c>
      <c r="O74">
        <v>17</v>
      </c>
    </row>
    <row r="75" spans="1:15" x14ac:dyDescent="0.35">
      <c r="A75" t="s">
        <v>243</v>
      </c>
      <c r="B75" s="1">
        <v>45641</v>
      </c>
      <c r="C75" s="1">
        <v>45646</v>
      </c>
      <c r="D75" t="s">
        <v>45</v>
      </c>
      <c r="E75" t="s">
        <v>116</v>
      </c>
      <c r="F75" t="s">
        <v>117</v>
      </c>
      <c r="G75" t="s">
        <v>62</v>
      </c>
      <c r="H75" t="s">
        <v>98</v>
      </c>
      <c r="I75" t="s">
        <v>29</v>
      </c>
      <c r="J75" t="s">
        <v>35</v>
      </c>
      <c r="K75" t="s">
        <v>244</v>
      </c>
      <c r="L75">
        <v>717.55</v>
      </c>
      <c r="M75">
        <v>546.42999999999995</v>
      </c>
      <c r="N75">
        <v>4.7E-2</v>
      </c>
      <c r="O75">
        <v>18</v>
      </c>
    </row>
    <row r="76" spans="1:15" x14ac:dyDescent="0.35">
      <c r="A76" t="s">
        <v>245</v>
      </c>
      <c r="B76" s="1">
        <v>45066</v>
      </c>
      <c r="C76" s="1">
        <v>45064</v>
      </c>
      <c r="D76" t="s">
        <v>16</v>
      </c>
      <c r="E76" t="s">
        <v>148</v>
      </c>
      <c r="F76" t="s">
        <v>172</v>
      </c>
      <c r="G76" t="s">
        <v>19</v>
      </c>
      <c r="H76" t="s">
        <v>55</v>
      </c>
      <c r="I76" t="s">
        <v>75</v>
      </c>
      <c r="J76" t="s">
        <v>22</v>
      </c>
      <c r="K76" t="s">
        <v>246</v>
      </c>
      <c r="L76">
        <v>917.88</v>
      </c>
      <c r="M76">
        <v>1347.92</v>
      </c>
      <c r="N76">
        <v>0.34300000000000003</v>
      </c>
      <c r="O76">
        <v>5</v>
      </c>
    </row>
    <row r="77" spans="1:15" x14ac:dyDescent="0.35">
      <c r="A77" t="s">
        <v>247</v>
      </c>
      <c r="B77" s="1">
        <v>45187</v>
      </c>
      <c r="C77" s="1">
        <v>45207</v>
      </c>
      <c r="D77" t="s">
        <v>45</v>
      </c>
      <c r="E77" t="s">
        <v>60</v>
      </c>
      <c r="F77" t="s">
        <v>141</v>
      </c>
      <c r="G77" t="s">
        <v>62</v>
      </c>
      <c r="H77" t="s">
        <v>98</v>
      </c>
      <c r="I77" t="s">
        <v>56</v>
      </c>
      <c r="J77" t="s">
        <v>22</v>
      </c>
      <c r="K77" t="s">
        <v>248</v>
      </c>
      <c r="L77">
        <v>825.64</v>
      </c>
      <c r="M77">
        <v>1108.43</v>
      </c>
      <c r="N77">
        <v>0.114</v>
      </c>
      <c r="O77">
        <v>7</v>
      </c>
    </row>
    <row r="78" spans="1:15" x14ac:dyDescent="0.35">
      <c r="A78" t="s">
        <v>249</v>
      </c>
      <c r="B78" s="1">
        <v>45532</v>
      </c>
      <c r="C78" s="1">
        <v>45560</v>
      </c>
      <c r="D78" t="s">
        <v>52</v>
      </c>
      <c r="E78" t="s">
        <v>73</v>
      </c>
      <c r="F78" t="s">
        <v>225</v>
      </c>
      <c r="G78" t="s">
        <v>39</v>
      </c>
      <c r="H78" t="s">
        <v>28</v>
      </c>
      <c r="J78" t="s">
        <v>81</v>
      </c>
      <c r="K78" t="s">
        <v>250</v>
      </c>
      <c r="L78">
        <v>1394.65</v>
      </c>
      <c r="M78">
        <v>3144.1</v>
      </c>
      <c r="N78">
        <v>0.13400000000000001</v>
      </c>
      <c r="O78">
        <v>13</v>
      </c>
    </row>
    <row r="79" spans="1:15" x14ac:dyDescent="0.35">
      <c r="A79" t="s">
        <v>251</v>
      </c>
      <c r="B79" s="1">
        <v>45473</v>
      </c>
      <c r="C79" s="1">
        <v>45471</v>
      </c>
      <c r="D79" t="s">
        <v>52</v>
      </c>
      <c r="E79" t="s">
        <v>73</v>
      </c>
      <c r="F79" t="s">
        <v>225</v>
      </c>
      <c r="G79" t="s">
        <v>62</v>
      </c>
      <c r="H79" t="s">
        <v>98</v>
      </c>
      <c r="I79" t="s">
        <v>49</v>
      </c>
      <c r="J79" t="s">
        <v>81</v>
      </c>
      <c r="K79" t="s">
        <v>252</v>
      </c>
      <c r="L79">
        <v>1112.98</v>
      </c>
      <c r="M79">
        <v>2095.73</v>
      </c>
      <c r="N79">
        <v>7.1999999999999995E-2</v>
      </c>
      <c r="O79">
        <v>17</v>
      </c>
    </row>
    <row r="80" spans="1:15" x14ac:dyDescent="0.35">
      <c r="A80" t="s">
        <v>253</v>
      </c>
      <c r="B80" s="1">
        <v>45091</v>
      </c>
      <c r="C80" s="1">
        <v>45093</v>
      </c>
      <c r="D80" t="s">
        <v>78</v>
      </c>
      <c r="E80" t="s">
        <v>108</v>
      </c>
      <c r="F80" t="s">
        <v>228</v>
      </c>
      <c r="G80" t="s">
        <v>39</v>
      </c>
      <c r="H80" t="s">
        <v>98</v>
      </c>
      <c r="I80" t="s">
        <v>95</v>
      </c>
      <c r="J80" t="s">
        <v>22</v>
      </c>
      <c r="K80" t="s">
        <v>254</v>
      </c>
      <c r="L80">
        <v>357.36</v>
      </c>
      <c r="M80">
        <v>703.62</v>
      </c>
      <c r="N80">
        <v>0.25700000000000001</v>
      </c>
      <c r="O80">
        <v>20</v>
      </c>
    </row>
    <row r="81" spans="1:15" x14ac:dyDescent="0.35">
      <c r="A81" t="s">
        <v>255</v>
      </c>
      <c r="B81" s="1">
        <v>45617</v>
      </c>
      <c r="C81" s="1">
        <v>45647</v>
      </c>
      <c r="D81" t="s">
        <v>78</v>
      </c>
      <c r="E81" t="s">
        <v>90</v>
      </c>
      <c r="F81" t="s">
        <v>91</v>
      </c>
      <c r="G81" t="s">
        <v>62</v>
      </c>
      <c r="H81" t="s">
        <v>98</v>
      </c>
      <c r="I81" t="s">
        <v>34</v>
      </c>
      <c r="J81" t="s">
        <v>64</v>
      </c>
      <c r="K81" t="s">
        <v>256</v>
      </c>
      <c r="L81">
        <v>1122.68</v>
      </c>
      <c r="M81">
        <v>1997.19</v>
      </c>
      <c r="N81">
        <v>0.186</v>
      </c>
      <c r="O81">
        <v>3</v>
      </c>
    </row>
    <row r="82" spans="1:15" x14ac:dyDescent="0.35">
      <c r="A82" t="s">
        <v>257</v>
      </c>
      <c r="B82" s="1">
        <v>44965</v>
      </c>
      <c r="C82" s="1">
        <v>44968</v>
      </c>
      <c r="D82" t="s">
        <v>16</v>
      </c>
      <c r="E82" t="s">
        <v>148</v>
      </c>
      <c r="F82" t="s">
        <v>258</v>
      </c>
      <c r="G82" t="s">
        <v>19</v>
      </c>
      <c r="H82" t="s">
        <v>98</v>
      </c>
      <c r="I82" t="s">
        <v>110</v>
      </c>
      <c r="J82" t="s">
        <v>35</v>
      </c>
      <c r="K82" t="s">
        <v>259</v>
      </c>
      <c r="L82">
        <v>1410.05</v>
      </c>
      <c r="M82">
        <v>2763.95</v>
      </c>
      <c r="N82">
        <v>0.161</v>
      </c>
      <c r="O82">
        <v>26</v>
      </c>
    </row>
    <row r="83" spans="1:15" x14ac:dyDescent="0.35">
      <c r="A83" t="s">
        <v>260</v>
      </c>
      <c r="B83" s="1">
        <v>45157</v>
      </c>
      <c r="C83" s="1">
        <v>45181</v>
      </c>
      <c r="D83" t="s">
        <v>52</v>
      </c>
      <c r="E83" t="s">
        <v>53</v>
      </c>
      <c r="F83" t="s">
        <v>179</v>
      </c>
      <c r="G83" t="s">
        <v>105</v>
      </c>
      <c r="H83" t="s">
        <v>20</v>
      </c>
      <c r="I83" t="s">
        <v>34</v>
      </c>
      <c r="J83" t="s">
        <v>30</v>
      </c>
      <c r="K83" t="s">
        <v>261</v>
      </c>
      <c r="L83">
        <v>1183.95</v>
      </c>
      <c r="M83">
        <v>1503.53</v>
      </c>
      <c r="N83">
        <v>0.24099999999999999</v>
      </c>
      <c r="O83">
        <v>16</v>
      </c>
    </row>
    <row r="84" spans="1:15" x14ac:dyDescent="0.35">
      <c r="A84" t="s">
        <v>262</v>
      </c>
      <c r="B84" s="1">
        <v>45791</v>
      </c>
      <c r="C84" s="1">
        <v>45801</v>
      </c>
      <c r="D84" t="s">
        <v>78</v>
      </c>
      <c r="E84" t="s">
        <v>90</v>
      </c>
      <c r="F84" t="s">
        <v>217</v>
      </c>
      <c r="G84" t="s">
        <v>62</v>
      </c>
      <c r="H84" t="s">
        <v>40</v>
      </c>
      <c r="I84" t="s">
        <v>95</v>
      </c>
      <c r="J84" t="s">
        <v>22</v>
      </c>
      <c r="K84" t="s">
        <v>263</v>
      </c>
      <c r="L84">
        <v>170.39</v>
      </c>
      <c r="M84">
        <v>388.04</v>
      </c>
      <c r="N84">
        <v>8.4000000000000005E-2</v>
      </c>
      <c r="O84">
        <v>15</v>
      </c>
    </row>
    <row r="85" spans="1:15" x14ac:dyDescent="0.35">
      <c r="A85" t="s">
        <v>264</v>
      </c>
      <c r="B85" s="1">
        <v>45770</v>
      </c>
      <c r="C85" s="1">
        <v>45769</v>
      </c>
      <c r="D85" t="s">
        <v>52</v>
      </c>
      <c r="E85" t="s">
        <v>122</v>
      </c>
      <c r="F85" t="s">
        <v>167</v>
      </c>
      <c r="G85" t="s">
        <v>39</v>
      </c>
      <c r="H85" t="s">
        <v>55</v>
      </c>
      <c r="I85" t="s">
        <v>145</v>
      </c>
      <c r="J85" t="s">
        <v>64</v>
      </c>
      <c r="K85" t="s">
        <v>265</v>
      </c>
      <c r="L85">
        <v>23.24</v>
      </c>
      <c r="M85">
        <v>44.57</v>
      </c>
      <c r="N85">
        <v>0.215</v>
      </c>
      <c r="O85">
        <v>15</v>
      </c>
    </row>
    <row r="86" spans="1:15" x14ac:dyDescent="0.35">
      <c r="A86" t="s">
        <v>266</v>
      </c>
      <c r="B86" s="1">
        <v>45741</v>
      </c>
      <c r="C86" s="1">
        <v>45764</v>
      </c>
      <c r="D86" t="s">
        <v>78</v>
      </c>
      <c r="E86" t="s">
        <v>108</v>
      </c>
      <c r="F86" t="s">
        <v>152</v>
      </c>
      <c r="G86" t="s">
        <v>48</v>
      </c>
      <c r="H86" t="s">
        <v>20</v>
      </c>
      <c r="I86" t="s">
        <v>92</v>
      </c>
      <c r="J86" t="s">
        <v>35</v>
      </c>
      <c r="K86" t="s">
        <v>267</v>
      </c>
      <c r="L86">
        <v>1421.19</v>
      </c>
      <c r="M86">
        <v>1808.26</v>
      </c>
      <c r="N86">
        <v>0.104</v>
      </c>
      <c r="O86">
        <v>13</v>
      </c>
    </row>
    <row r="87" spans="1:15" x14ac:dyDescent="0.35">
      <c r="A87" t="s">
        <v>268</v>
      </c>
      <c r="B87" s="1">
        <v>45282</v>
      </c>
      <c r="C87" s="1">
        <v>45283</v>
      </c>
      <c r="D87" t="s">
        <v>16</v>
      </c>
      <c r="E87" t="s">
        <v>148</v>
      </c>
      <c r="F87" t="s">
        <v>258</v>
      </c>
      <c r="G87" t="s">
        <v>39</v>
      </c>
      <c r="H87" t="s">
        <v>40</v>
      </c>
      <c r="I87" t="s">
        <v>145</v>
      </c>
      <c r="J87" t="s">
        <v>22</v>
      </c>
      <c r="K87" t="s">
        <v>269</v>
      </c>
      <c r="L87">
        <v>1186.18</v>
      </c>
      <c r="M87">
        <v>1285.0899999999999</v>
      </c>
      <c r="N87">
        <v>7.0000000000000007E-2</v>
      </c>
      <c r="O87">
        <v>11</v>
      </c>
    </row>
    <row r="88" spans="1:15" x14ac:dyDescent="0.35">
      <c r="A88" t="s">
        <v>270</v>
      </c>
      <c r="B88" s="1">
        <v>45388</v>
      </c>
      <c r="C88" s="1">
        <v>45407</v>
      </c>
      <c r="D88" t="s">
        <v>45</v>
      </c>
      <c r="E88" t="s">
        <v>116</v>
      </c>
      <c r="F88" t="s">
        <v>162</v>
      </c>
      <c r="G88" t="s">
        <v>19</v>
      </c>
      <c r="H88" t="s">
        <v>20</v>
      </c>
      <c r="I88" t="s">
        <v>95</v>
      </c>
      <c r="J88" t="s">
        <v>22</v>
      </c>
      <c r="K88" t="s">
        <v>271</v>
      </c>
      <c r="L88">
        <v>1366.48</v>
      </c>
      <c r="M88">
        <v>1678.14</v>
      </c>
      <c r="N88">
        <v>0.154</v>
      </c>
      <c r="O88">
        <v>10</v>
      </c>
    </row>
    <row r="89" spans="1:15" x14ac:dyDescent="0.35">
      <c r="A89" t="s">
        <v>272</v>
      </c>
      <c r="B89" s="1">
        <v>45876</v>
      </c>
      <c r="C89" s="1">
        <v>45888</v>
      </c>
      <c r="D89" t="s">
        <v>16</v>
      </c>
      <c r="E89" t="s">
        <v>17</v>
      </c>
      <c r="F89" t="s">
        <v>135</v>
      </c>
      <c r="G89" t="s">
        <v>19</v>
      </c>
      <c r="I89" t="s">
        <v>110</v>
      </c>
      <c r="J89" t="s">
        <v>22</v>
      </c>
      <c r="K89" t="s">
        <v>273</v>
      </c>
      <c r="L89">
        <v>601.51</v>
      </c>
      <c r="M89">
        <v>679.35</v>
      </c>
      <c r="N89">
        <v>0.188</v>
      </c>
      <c r="O89">
        <v>3</v>
      </c>
    </row>
    <row r="90" spans="1:15" x14ac:dyDescent="0.35">
      <c r="A90" t="s">
        <v>274</v>
      </c>
      <c r="B90" s="1">
        <v>45312</v>
      </c>
      <c r="C90" s="1">
        <v>45316</v>
      </c>
      <c r="D90" t="s">
        <v>45</v>
      </c>
      <c r="E90" t="s">
        <v>60</v>
      </c>
      <c r="F90" t="s">
        <v>141</v>
      </c>
      <c r="G90" t="s">
        <v>48</v>
      </c>
      <c r="H90" t="s">
        <v>98</v>
      </c>
      <c r="I90" t="s">
        <v>21</v>
      </c>
      <c r="J90" t="s">
        <v>64</v>
      </c>
      <c r="K90" t="s">
        <v>275</v>
      </c>
      <c r="L90">
        <v>523.70000000000005</v>
      </c>
      <c r="M90">
        <v>1109.92</v>
      </c>
      <c r="N90">
        <v>0.03</v>
      </c>
      <c r="O90">
        <v>11</v>
      </c>
    </row>
    <row r="91" spans="1:15" x14ac:dyDescent="0.35">
      <c r="A91" t="s">
        <v>276</v>
      </c>
      <c r="B91" s="1">
        <v>45106</v>
      </c>
      <c r="C91" s="1">
        <v>45109</v>
      </c>
      <c r="D91" t="s">
        <v>45</v>
      </c>
      <c r="E91" t="s">
        <v>46</v>
      </c>
      <c r="F91" t="s">
        <v>231</v>
      </c>
      <c r="G91" t="s">
        <v>27</v>
      </c>
      <c r="H91" t="s">
        <v>40</v>
      </c>
      <c r="I91" t="s">
        <v>84</v>
      </c>
      <c r="J91" t="s">
        <v>64</v>
      </c>
      <c r="K91" t="s">
        <v>277</v>
      </c>
      <c r="L91">
        <v>55.65</v>
      </c>
      <c r="M91">
        <v>83.57</v>
      </c>
      <c r="N91">
        <v>6.6000000000000003E-2</v>
      </c>
      <c r="O91">
        <v>8</v>
      </c>
    </row>
    <row r="92" spans="1:15" x14ac:dyDescent="0.35">
      <c r="A92" t="s">
        <v>278</v>
      </c>
      <c r="B92" s="1">
        <v>45775</v>
      </c>
      <c r="C92" s="1">
        <v>45792</v>
      </c>
      <c r="D92" t="s">
        <v>45</v>
      </c>
      <c r="E92" t="s">
        <v>46</v>
      </c>
      <c r="F92" t="s">
        <v>231</v>
      </c>
      <c r="G92" t="s">
        <v>27</v>
      </c>
      <c r="H92" t="s">
        <v>98</v>
      </c>
      <c r="I92" t="s">
        <v>126</v>
      </c>
      <c r="J92" t="s">
        <v>35</v>
      </c>
      <c r="K92" t="s">
        <v>279</v>
      </c>
      <c r="L92">
        <v>691.19</v>
      </c>
      <c r="M92">
        <v>1284.3</v>
      </c>
      <c r="N92">
        <v>7.3999999999999996E-2</v>
      </c>
      <c r="O92">
        <v>7</v>
      </c>
    </row>
    <row r="93" spans="1:15" x14ac:dyDescent="0.35">
      <c r="A93" t="s">
        <v>280</v>
      </c>
      <c r="B93" s="1">
        <v>45817</v>
      </c>
      <c r="C93" s="1">
        <v>45833</v>
      </c>
      <c r="D93" t="s">
        <v>45</v>
      </c>
      <c r="E93" t="s">
        <v>60</v>
      </c>
      <c r="F93" t="s">
        <v>281</v>
      </c>
      <c r="G93" t="s">
        <v>105</v>
      </c>
      <c r="H93" t="s">
        <v>55</v>
      </c>
      <c r="I93" t="s">
        <v>110</v>
      </c>
      <c r="J93" t="s">
        <v>42</v>
      </c>
      <c r="K93" t="s">
        <v>282</v>
      </c>
      <c r="L93">
        <v>527.33000000000004</v>
      </c>
      <c r="M93">
        <v>911.72</v>
      </c>
      <c r="N93">
        <v>0.14399999999999999</v>
      </c>
      <c r="O93">
        <v>25</v>
      </c>
    </row>
    <row r="94" spans="1:15" x14ac:dyDescent="0.35">
      <c r="A94" t="s">
        <v>283</v>
      </c>
      <c r="B94" s="1">
        <v>45101</v>
      </c>
      <c r="C94" s="1">
        <v>45100</v>
      </c>
      <c r="D94" t="s">
        <v>52</v>
      </c>
      <c r="E94" t="s">
        <v>73</v>
      </c>
      <c r="F94" t="s">
        <v>225</v>
      </c>
      <c r="G94" t="s">
        <v>39</v>
      </c>
      <c r="H94" t="s">
        <v>20</v>
      </c>
      <c r="I94" t="s">
        <v>63</v>
      </c>
      <c r="J94" t="s">
        <v>30</v>
      </c>
      <c r="K94" t="s">
        <v>284</v>
      </c>
      <c r="L94">
        <v>804.01</v>
      </c>
      <c r="M94">
        <v>1405.07</v>
      </c>
      <c r="N94">
        <v>9.6000000000000002E-2</v>
      </c>
      <c r="O94">
        <v>8</v>
      </c>
    </row>
    <row r="95" spans="1:15" x14ac:dyDescent="0.35">
      <c r="A95" t="s">
        <v>285</v>
      </c>
      <c r="B95" s="1">
        <v>45569</v>
      </c>
      <c r="C95" s="1">
        <v>45598</v>
      </c>
      <c r="D95" t="s">
        <v>16</v>
      </c>
      <c r="E95" t="s">
        <v>25</v>
      </c>
      <c r="F95" t="s">
        <v>67</v>
      </c>
      <c r="G95" t="s">
        <v>19</v>
      </c>
      <c r="H95" t="s">
        <v>55</v>
      </c>
      <c r="I95" t="s">
        <v>84</v>
      </c>
      <c r="J95" t="s">
        <v>81</v>
      </c>
      <c r="K95" t="s">
        <v>286</v>
      </c>
      <c r="L95">
        <v>412.09</v>
      </c>
      <c r="M95">
        <v>968.94</v>
      </c>
      <c r="N95">
        <v>9.9000000000000005E-2</v>
      </c>
      <c r="O95">
        <v>23</v>
      </c>
    </row>
    <row r="96" spans="1:15" x14ac:dyDescent="0.35">
      <c r="A96" t="s">
        <v>287</v>
      </c>
      <c r="B96" s="1">
        <v>45910</v>
      </c>
      <c r="C96" s="1">
        <v>45930</v>
      </c>
      <c r="D96" t="s">
        <v>16</v>
      </c>
      <c r="E96" t="s">
        <v>17</v>
      </c>
      <c r="F96" t="s">
        <v>113</v>
      </c>
      <c r="G96" t="s">
        <v>19</v>
      </c>
      <c r="H96" t="s">
        <v>98</v>
      </c>
      <c r="I96" t="s">
        <v>49</v>
      </c>
      <c r="J96" t="s">
        <v>42</v>
      </c>
      <c r="K96" t="s">
        <v>288</v>
      </c>
      <c r="L96">
        <v>1009.48</v>
      </c>
      <c r="M96">
        <v>1088.81</v>
      </c>
      <c r="N96">
        <v>0.16</v>
      </c>
      <c r="O96">
        <v>6</v>
      </c>
    </row>
    <row r="97" spans="1:15" x14ac:dyDescent="0.35">
      <c r="A97" t="s">
        <v>289</v>
      </c>
      <c r="B97" s="1">
        <v>45022</v>
      </c>
      <c r="C97" s="1">
        <v>45043</v>
      </c>
      <c r="D97" t="s">
        <v>78</v>
      </c>
      <c r="E97" t="s">
        <v>108</v>
      </c>
      <c r="F97" t="s">
        <v>228</v>
      </c>
      <c r="G97" t="s">
        <v>105</v>
      </c>
      <c r="H97" t="s">
        <v>55</v>
      </c>
      <c r="I97" t="s">
        <v>34</v>
      </c>
      <c r="J97" t="s">
        <v>30</v>
      </c>
      <c r="K97" t="s">
        <v>290</v>
      </c>
      <c r="L97">
        <v>1084.79</v>
      </c>
      <c r="M97">
        <v>2484.9899999999998</v>
      </c>
      <c r="N97">
        <v>3.4000000000000002E-2</v>
      </c>
      <c r="O97">
        <v>18</v>
      </c>
    </row>
    <row r="98" spans="1:15" x14ac:dyDescent="0.35">
      <c r="A98" t="s">
        <v>291</v>
      </c>
      <c r="B98" s="1">
        <v>45870</v>
      </c>
      <c r="C98" s="1">
        <v>45885</v>
      </c>
      <c r="D98" t="s">
        <v>45</v>
      </c>
      <c r="E98" t="s">
        <v>60</v>
      </c>
      <c r="G98" t="s">
        <v>105</v>
      </c>
      <c r="H98" t="s">
        <v>98</v>
      </c>
      <c r="I98" t="s">
        <v>68</v>
      </c>
      <c r="J98" t="s">
        <v>64</v>
      </c>
      <c r="K98" t="s">
        <v>292</v>
      </c>
      <c r="L98">
        <v>24.44</v>
      </c>
      <c r="M98">
        <v>28.69</v>
      </c>
      <c r="N98">
        <v>0.14599999999999999</v>
      </c>
      <c r="O98">
        <v>6</v>
      </c>
    </row>
    <row r="99" spans="1:15" x14ac:dyDescent="0.35">
      <c r="A99" t="s">
        <v>293</v>
      </c>
      <c r="B99" s="1">
        <v>45440</v>
      </c>
      <c r="C99" s="1">
        <v>45438</v>
      </c>
      <c r="D99" t="s">
        <v>16</v>
      </c>
      <c r="E99" t="s">
        <v>25</v>
      </c>
      <c r="F99" t="s">
        <v>67</v>
      </c>
      <c r="G99" t="s">
        <v>105</v>
      </c>
      <c r="H99" t="s">
        <v>28</v>
      </c>
      <c r="I99" t="s">
        <v>84</v>
      </c>
      <c r="J99" t="s">
        <v>81</v>
      </c>
      <c r="K99" t="s">
        <v>294</v>
      </c>
      <c r="L99">
        <v>1227.08</v>
      </c>
      <c r="M99">
        <v>1896.62</v>
      </c>
      <c r="N99">
        <v>0</v>
      </c>
      <c r="O99">
        <v>18</v>
      </c>
    </row>
    <row r="100" spans="1:15" x14ac:dyDescent="0.35">
      <c r="A100" t="s">
        <v>295</v>
      </c>
      <c r="B100" s="1">
        <v>45860</v>
      </c>
      <c r="C100" s="1">
        <v>45887</v>
      </c>
      <c r="D100" t="s">
        <v>45</v>
      </c>
      <c r="E100" t="s">
        <v>116</v>
      </c>
      <c r="F100" t="s">
        <v>117</v>
      </c>
      <c r="G100" t="s">
        <v>39</v>
      </c>
      <c r="H100" t="s">
        <v>40</v>
      </c>
      <c r="I100" t="s">
        <v>110</v>
      </c>
      <c r="J100" t="s">
        <v>35</v>
      </c>
      <c r="K100" t="s">
        <v>296</v>
      </c>
      <c r="L100">
        <v>547.32000000000005</v>
      </c>
      <c r="M100">
        <v>419.17</v>
      </c>
      <c r="N100">
        <v>9.1999999999999998E-2</v>
      </c>
      <c r="O100">
        <v>14</v>
      </c>
    </row>
    <row r="101" spans="1:15" x14ac:dyDescent="0.35">
      <c r="A101" t="s">
        <v>297</v>
      </c>
      <c r="B101" s="1">
        <v>44985</v>
      </c>
      <c r="C101" s="1">
        <v>45005</v>
      </c>
      <c r="D101" t="s">
        <v>78</v>
      </c>
      <c r="E101" t="s">
        <v>79</v>
      </c>
      <c r="F101" t="s">
        <v>80</v>
      </c>
      <c r="G101" t="s">
        <v>62</v>
      </c>
      <c r="H101" t="s">
        <v>98</v>
      </c>
      <c r="I101" t="s">
        <v>92</v>
      </c>
      <c r="J101" t="s">
        <v>57</v>
      </c>
      <c r="K101" t="s">
        <v>298</v>
      </c>
      <c r="L101">
        <v>1200.78</v>
      </c>
      <c r="M101">
        <v>2001.17</v>
      </c>
      <c r="N101">
        <v>0.29199999999999998</v>
      </c>
      <c r="O101">
        <v>18</v>
      </c>
    </row>
    <row r="102" spans="1:15" x14ac:dyDescent="0.35">
      <c r="A102" t="s">
        <v>299</v>
      </c>
      <c r="B102" s="1">
        <v>45684</v>
      </c>
      <c r="C102" s="1">
        <v>45703</v>
      </c>
      <c r="D102" t="s">
        <v>45</v>
      </c>
      <c r="E102" t="s">
        <v>116</v>
      </c>
      <c r="F102" t="s">
        <v>117</v>
      </c>
      <c r="G102" t="s">
        <v>39</v>
      </c>
      <c r="H102" t="s">
        <v>98</v>
      </c>
      <c r="I102" t="s">
        <v>49</v>
      </c>
      <c r="J102" t="s">
        <v>42</v>
      </c>
      <c r="K102" t="s">
        <v>300</v>
      </c>
      <c r="L102">
        <v>1253.22</v>
      </c>
      <c r="M102">
        <v>3104.71</v>
      </c>
      <c r="N102">
        <v>0</v>
      </c>
      <c r="O102">
        <v>17</v>
      </c>
    </row>
    <row r="103" spans="1:15" x14ac:dyDescent="0.35">
      <c r="A103" t="s">
        <v>301</v>
      </c>
      <c r="B103" s="1">
        <v>45304</v>
      </c>
      <c r="C103" s="1">
        <v>45313</v>
      </c>
      <c r="D103" t="s">
        <v>45</v>
      </c>
      <c r="E103" t="s">
        <v>60</v>
      </c>
      <c r="F103" t="s">
        <v>220</v>
      </c>
      <c r="G103" t="s">
        <v>105</v>
      </c>
      <c r="H103" t="s">
        <v>40</v>
      </c>
      <c r="I103" t="s">
        <v>29</v>
      </c>
      <c r="J103" t="s">
        <v>22</v>
      </c>
      <c r="K103" t="s">
        <v>302</v>
      </c>
      <c r="L103">
        <v>313.60000000000002</v>
      </c>
      <c r="M103">
        <v>334.28</v>
      </c>
      <c r="N103">
        <v>0.14000000000000001</v>
      </c>
      <c r="O103">
        <v>22</v>
      </c>
    </row>
    <row r="104" spans="1:15" x14ac:dyDescent="0.35">
      <c r="A104" t="s">
        <v>303</v>
      </c>
      <c r="B104" s="1">
        <v>45747</v>
      </c>
      <c r="C104" s="1">
        <v>45751</v>
      </c>
      <c r="D104" t="s">
        <v>16</v>
      </c>
      <c r="E104" t="s">
        <v>17</v>
      </c>
      <c r="F104" t="s">
        <v>135</v>
      </c>
      <c r="G104" t="s">
        <v>19</v>
      </c>
      <c r="H104" t="s">
        <v>98</v>
      </c>
      <c r="I104" t="s">
        <v>21</v>
      </c>
      <c r="J104" t="s">
        <v>57</v>
      </c>
      <c r="K104" t="s">
        <v>304</v>
      </c>
      <c r="L104">
        <v>862.08</v>
      </c>
      <c r="M104">
        <v>1952.83</v>
      </c>
      <c r="N104">
        <v>0</v>
      </c>
      <c r="O104">
        <v>7</v>
      </c>
    </row>
    <row r="105" spans="1:15" x14ac:dyDescent="0.35">
      <c r="A105" t="s">
        <v>305</v>
      </c>
      <c r="B105" s="1">
        <v>45631</v>
      </c>
      <c r="C105" s="1">
        <v>45654</v>
      </c>
      <c r="D105" t="s">
        <v>52</v>
      </c>
      <c r="E105" t="s">
        <v>53</v>
      </c>
      <c r="F105" t="s">
        <v>179</v>
      </c>
      <c r="G105" t="s">
        <v>19</v>
      </c>
      <c r="H105" t="s">
        <v>98</v>
      </c>
      <c r="I105" t="s">
        <v>84</v>
      </c>
      <c r="J105" t="s">
        <v>81</v>
      </c>
      <c r="K105" t="s">
        <v>306</v>
      </c>
      <c r="L105">
        <v>107.03</v>
      </c>
      <c r="M105">
        <v>242.29</v>
      </c>
      <c r="N105">
        <v>0.18</v>
      </c>
      <c r="O105">
        <v>30</v>
      </c>
    </row>
    <row r="106" spans="1:15" x14ac:dyDescent="0.35">
      <c r="A106" t="s">
        <v>307</v>
      </c>
      <c r="B106" s="1">
        <v>45549</v>
      </c>
      <c r="C106" s="1">
        <v>45570</v>
      </c>
      <c r="D106" t="s">
        <v>45</v>
      </c>
      <c r="E106" t="s">
        <v>116</v>
      </c>
      <c r="F106" t="s">
        <v>162</v>
      </c>
      <c r="G106" t="s">
        <v>62</v>
      </c>
      <c r="H106" t="s">
        <v>28</v>
      </c>
      <c r="I106" t="s">
        <v>92</v>
      </c>
      <c r="J106" t="s">
        <v>57</v>
      </c>
      <c r="K106" t="s">
        <v>308</v>
      </c>
      <c r="L106">
        <v>1405.56</v>
      </c>
      <c r="M106">
        <v>2968.87</v>
      </c>
      <c r="N106">
        <v>0.16900000000000001</v>
      </c>
      <c r="O106">
        <v>5</v>
      </c>
    </row>
    <row r="107" spans="1:15" x14ac:dyDescent="0.35">
      <c r="A107" t="s">
        <v>309</v>
      </c>
      <c r="B107" s="1">
        <v>45433</v>
      </c>
      <c r="C107" s="1">
        <v>45439</v>
      </c>
      <c r="D107" t="s">
        <v>16</v>
      </c>
      <c r="E107" t="s">
        <v>148</v>
      </c>
      <c r="F107" t="s">
        <v>149</v>
      </c>
      <c r="G107" t="s">
        <v>39</v>
      </c>
      <c r="H107" t="s">
        <v>28</v>
      </c>
      <c r="I107" t="s">
        <v>110</v>
      </c>
      <c r="J107" t="s">
        <v>22</v>
      </c>
      <c r="K107" t="s">
        <v>310</v>
      </c>
      <c r="L107">
        <v>1157.51</v>
      </c>
      <c r="M107">
        <v>1394.3</v>
      </c>
      <c r="N107">
        <v>0.27800000000000002</v>
      </c>
      <c r="O107">
        <v>12</v>
      </c>
    </row>
    <row r="108" spans="1:15" x14ac:dyDescent="0.35">
      <c r="A108" t="s">
        <v>311</v>
      </c>
      <c r="B108" s="1">
        <v>45057</v>
      </c>
      <c r="C108" s="1">
        <v>45084</v>
      </c>
      <c r="D108" t="s">
        <v>16</v>
      </c>
      <c r="E108" t="s">
        <v>17</v>
      </c>
      <c r="F108" t="s">
        <v>113</v>
      </c>
      <c r="G108" t="s">
        <v>19</v>
      </c>
      <c r="H108" t="s">
        <v>28</v>
      </c>
      <c r="I108" t="s">
        <v>29</v>
      </c>
      <c r="J108" t="s">
        <v>42</v>
      </c>
      <c r="K108" t="s">
        <v>312</v>
      </c>
      <c r="L108">
        <v>12.85</v>
      </c>
      <c r="M108">
        <v>15.41</v>
      </c>
      <c r="N108">
        <v>0.13700000000000001</v>
      </c>
      <c r="O108">
        <v>39</v>
      </c>
    </row>
    <row r="109" spans="1:15" x14ac:dyDescent="0.35">
      <c r="A109" t="s">
        <v>313</v>
      </c>
      <c r="B109" s="1">
        <v>45518</v>
      </c>
      <c r="C109" s="1">
        <v>45539</v>
      </c>
      <c r="D109" t="s">
        <v>78</v>
      </c>
      <c r="E109" t="s">
        <v>108</v>
      </c>
      <c r="F109" t="s">
        <v>228</v>
      </c>
      <c r="G109" t="s">
        <v>39</v>
      </c>
      <c r="H109" t="s">
        <v>28</v>
      </c>
      <c r="I109" t="s">
        <v>29</v>
      </c>
      <c r="J109" t="s">
        <v>42</v>
      </c>
      <c r="K109" t="s">
        <v>314</v>
      </c>
      <c r="L109">
        <v>1138.8</v>
      </c>
      <c r="M109">
        <v>2250.81</v>
      </c>
      <c r="N109">
        <v>0.123</v>
      </c>
      <c r="O109">
        <v>12</v>
      </c>
    </row>
    <row r="110" spans="1:15" x14ac:dyDescent="0.35">
      <c r="A110" t="s">
        <v>315</v>
      </c>
      <c r="B110" s="1">
        <v>45581</v>
      </c>
      <c r="C110" s="1">
        <v>45604</v>
      </c>
      <c r="D110" t="s">
        <v>45</v>
      </c>
      <c r="E110" t="s">
        <v>46</v>
      </c>
      <c r="F110" t="s">
        <v>47</v>
      </c>
      <c r="G110" t="s">
        <v>62</v>
      </c>
      <c r="H110" t="s">
        <v>20</v>
      </c>
      <c r="I110" t="s">
        <v>29</v>
      </c>
      <c r="J110" t="s">
        <v>35</v>
      </c>
      <c r="K110" t="s">
        <v>316</v>
      </c>
      <c r="L110">
        <v>82.14</v>
      </c>
      <c r="M110">
        <v>166.04</v>
      </c>
      <c r="N110">
        <v>0</v>
      </c>
      <c r="O110">
        <v>10</v>
      </c>
    </row>
    <row r="111" spans="1:15" x14ac:dyDescent="0.35">
      <c r="A111" t="s">
        <v>317</v>
      </c>
      <c r="B111" s="1">
        <v>45445</v>
      </c>
      <c r="C111" s="1">
        <v>45451</v>
      </c>
      <c r="D111" t="s">
        <v>16</v>
      </c>
      <c r="E111" t="s">
        <v>17</v>
      </c>
      <c r="F111" t="s">
        <v>18</v>
      </c>
      <c r="G111" t="s">
        <v>48</v>
      </c>
      <c r="H111" t="s">
        <v>40</v>
      </c>
      <c r="I111" t="s">
        <v>75</v>
      </c>
      <c r="J111" t="s">
        <v>81</v>
      </c>
      <c r="K111" t="s">
        <v>318</v>
      </c>
      <c r="L111">
        <v>292.94</v>
      </c>
      <c r="M111">
        <v>356.55</v>
      </c>
      <c r="N111">
        <v>0.22900000000000001</v>
      </c>
      <c r="O111">
        <v>2</v>
      </c>
    </row>
    <row r="112" spans="1:15" x14ac:dyDescent="0.35">
      <c r="A112" t="s">
        <v>319</v>
      </c>
      <c r="B112" s="1">
        <v>45452</v>
      </c>
      <c r="C112" s="1">
        <v>45480</v>
      </c>
      <c r="D112" t="s">
        <v>45</v>
      </c>
      <c r="E112" t="s">
        <v>116</v>
      </c>
      <c r="F112" t="s">
        <v>117</v>
      </c>
      <c r="G112" t="s">
        <v>19</v>
      </c>
      <c r="H112" t="s">
        <v>28</v>
      </c>
      <c r="I112" t="s">
        <v>29</v>
      </c>
      <c r="J112" t="s">
        <v>22</v>
      </c>
      <c r="K112" t="s">
        <v>320</v>
      </c>
      <c r="L112">
        <v>550.22</v>
      </c>
      <c r="M112">
        <v>1025.05</v>
      </c>
      <c r="N112">
        <v>0</v>
      </c>
      <c r="O112">
        <v>27</v>
      </c>
    </row>
    <row r="113" spans="1:15" x14ac:dyDescent="0.35">
      <c r="A113" t="s">
        <v>321</v>
      </c>
      <c r="B113" s="1">
        <v>45453</v>
      </c>
      <c r="C113" s="1">
        <v>45454</v>
      </c>
      <c r="D113" t="s">
        <v>78</v>
      </c>
      <c r="E113" t="s">
        <v>108</v>
      </c>
      <c r="F113" t="s">
        <v>109</v>
      </c>
      <c r="G113" t="s">
        <v>62</v>
      </c>
      <c r="H113" t="s">
        <v>40</v>
      </c>
      <c r="I113" t="s">
        <v>110</v>
      </c>
      <c r="J113" t="s">
        <v>57</v>
      </c>
      <c r="K113" t="s">
        <v>322</v>
      </c>
      <c r="L113">
        <v>1187.1300000000001</v>
      </c>
      <c r="M113">
        <v>1795.17</v>
      </c>
      <c r="N113">
        <v>1.2E-2</v>
      </c>
      <c r="O113">
        <v>17</v>
      </c>
    </row>
    <row r="114" spans="1:15" x14ac:dyDescent="0.35">
      <c r="A114" t="s">
        <v>323</v>
      </c>
      <c r="B114" s="1">
        <v>45472</v>
      </c>
      <c r="C114" s="1">
        <v>45499</v>
      </c>
      <c r="D114" t="s">
        <v>16</v>
      </c>
      <c r="E114" t="s">
        <v>148</v>
      </c>
      <c r="F114" t="s">
        <v>172</v>
      </c>
      <c r="G114" t="s">
        <v>105</v>
      </c>
      <c r="H114" t="s">
        <v>55</v>
      </c>
      <c r="I114" t="s">
        <v>56</v>
      </c>
      <c r="J114" t="s">
        <v>35</v>
      </c>
      <c r="K114" t="s">
        <v>324</v>
      </c>
      <c r="L114">
        <v>5.36</v>
      </c>
      <c r="M114">
        <v>4.37</v>
      </c>
      <c r="N114">
        <v>0.11799999999999999</v>
      </c>
      <c r="O114">
        <v>9</v>
      </c>
    </row>
    <row r="115" spans="1:15" x14ac:dyDescent="0.35">
      <c r="A115" t="s">
        <v>325</v>
      </c>
      <c r="B115" s="1">
        <v>45674</v>
      </c>
      <c r="C115" s="1">
        <v>45681</v>
      </c>
      <c r="D115" t="s">
        <v>52</v>
      </c>
      <c r="E115" t="s">
        <v>122</v>
      </c>
      <c r="F115" t="s">
        <v>326</v>
      </c>
      <c r="G115" t="s">
        <v>105</v>
      </c>
      <c r="H115" t="s">
        <v>28</v>
      </c>
      <c r="I115" t="s">
        <v>41</v>
      </c>
      <c r="J115" t="s">
        <v>81</v>
      </c>
      <c r="K115" t="s">
        <v>327</v>
      </c>
      <c r="L115">
        <v>142.09</v>
      </c>
      <c r="M115">
        <v>218.5</v>
      </c>
      <c r="N115">
        <v>0.11899999999999999</v>
      </c>
      <c r="O115">
        <v>11</v>
      </c>
    </row>
    <row r="116" spans="1:15" x14ac:dyDescent="0.35">
      <c r="A116" t="s">
        <v>328</v>
      </c>
      <c r="B116" s="1">
        <v>45250</v>
      </c>
      <c r="C116" s="1">
        <v>45265</v>
      </c>
      <c r="D116" t="s">
        <v>45</v>
      </c>
      <c r="E116" t="s">
        <v>46</v>
      </c>
      <c r="F116" t="s">
        <v>214</v>
      </c>
      <c r="G116" t="s">
        <v>105</v>
      </c>
      <c r="H116" t="s">
        <v>20</v>
      </c>
      <c r="I116" t="s">
        <v>49</v>
      </c>
      <c r="J116" t="s">
        <v>35</v>
      </c>
      <c r="K116" t="s">
        <v>329</v>
      </c>
      <c r="L116">
        <v>354.24</v>
      </c>
      <c r="M116">
        <v>249.87</v>
      </c>
      <c r="N116">
        <v>0</v>
      </c>
      <c r="O116">
        <v>6</v>
      </c>
    </row>
    <row r="117" spans="1:15" x14ac:dyDescent="0.35">
      <c r="A117" t="s">
        <v>330</v>
      </c>
      <c r="B117" s="1">
        <v>44987</v>
      </c>
      <c r="C117" s="1">
        <v>44990</v>
      </c>
      <c r="D117" t="s">
        <v>52</v>
      </c>
      <c r="E117" t="s">
        <v>73</v>
      </c>
      <c r="F117" t="s">
        <v>87</v>
      </c>
      <c r="G117" t="s">
        <v>105</v>
      </c>
      <c r="H117" t="s">
        <v>98</v>
      </c>
      <c r="I117" t="s">
        <v>41</v>
      </c>
      <c r="J117" t="s">
        <v>64</v>
      </c>
      <c r="K117" t="s">
        <v>331</v>
      </c>
      <c r="L117">
        <v>1473.58</v>
      </c>
      <c r="M117">
        <v>3436.52</v>
      </c>
      <c r="N117">
        <v>0.108</v>
      </c>
      <c r="O117">
        <v>8</v>
      </c>
    </row>
    <row r="118" spans="1:15" x14ac:dyDescent="0.35">
      <c r="A118" t="s">
        <v>332</v>
      </c>
      <c r="B118" s="1">
        <v>45811</v>
      </c>
      <c r="C118" s="1">
        <v>45818</v>
      </c>
      <c r="D118" t="s">
        <v>52</v>
      </c>
      <c r="E118" t="s">
        <v>53</v>
      </c>
      <c r="F118" t="s">
        <v>54</v>
      </c>
      <c r="G118" t="s">
        <v>48</v>
      </c>
      <c r="H118" t="s">
        <v>55</v>
      </c>
      <c r="I118" t="s">
        <v>68</v>
      </c>
      <c r="J118" t="s">
        <v>30</v>
      </c>
      <c r="K118" t="s">
        <v>333</v>
      </c>
      <c r="L118">
        <v>75.180000000000007</v>
      </c>
      <c r="M118">
        <v>53.45</v>
      </c>
      <c r="N118">
        <v>0.157</v>
      </c>
      <c r="O118">
        <v>17</v>
      </c>
    </row>
    <row r="119" spans="1:15" x14ac:dyDescent="0.35">
      <c r="A119" t="s">
        <v>334</v>
      </c>
      <c r="B119" s="1">
        <v>45653</v>
      </c>
      <c r="C119" s="1">
        <v>45659</v>
      </c>
      <c r="D119" t="s">
        <v>78</v>
      </c>
      <c r="E119" t="s">
        <v>79</v>
      </c>
      <c r="F119" t="s">
        <v>335</v>
      </c>
      <c r="G119" t="s">
        <v>27</v>
      </c>
      <c r="H119" t="s">
        <v>98</v>
      </c>
      <c r="I119" t="s">
        <v>84</v>
      </c>
      <c r="J119" t="s">
        <v>57</v>
      </c>
      <c r="K119" t="s">
        <v>336</v>
      </c>
      <c r="L119">
        <v>1391.99</v>
      </c>
      <c r="M119">
        <v>3469.7</v>
      </c>
      <c r="N119">
        <v>0.184</v>
      </c>
      <c r="O119">
        <v>23</v>
      </c>
    </row>
    <row r="120" spans="1:15" x14ac:dyDescent="0.35">
      <c r="A120" t="s">
        <v>337</v>
      </c>
      <c r="B120" s="1">
        <v>45086</v>
      </c>
      <c r="C120" s="1">
        <v>45096</v>
      </c>
      <c r="D120" t="s">
        <v>45</v>
      </c>
      <c r="E120" t="s">
        <v>116</v>
      </c>
      <c r="F120" t="s">
        <v>338</v>
      </c>
      <c r="G120" t="s">
        <v>105</v>
      </c>
      <c r="H120" t="s">
        <v>20</v>
      </c>
      <c r="I120" t="s">
        <v>84</v>
      </c>
      <c r="J120" t="s">
        <v>64</v>
      </c>
      <c r="K120" t="s">
        <v>339</v>
      </c>
      <c r="L120">
        <v>339.61</v>
      </c>
      <c r="M120">
        <v>621.02</v>
      </c>
      <c r="N120">
        <v>7.0999999999999994E-2</v>
      </c>
      <c r="O120">
        <v>10</v>
      </c>
    </row>
    <row r="121" spans="1:15" x14ac:dyDescent="0.35">
      <c r="A121" t="s">
        <v>340</v>
      </c>
      <c r="B121" s="1">
        <v>45847</v>
      </c>
      <c r="C121" s="1">
        <v>45856</v>
      </c>
      <c r="D121" t="s">
        <v>52</v>
      </c>
      <c r="E121" t="s">
        <v>53</v>
      </c>
      <c r="F121" t="s">
        <v>179</v>
      </c>
      <c r="G121" t="s">
        <v>27</v>
      </c>
      <c r="H121" t="s">
        <v>55</v>
      </c>
      <c r="I121" t="s">
        <v>34</v>
      </c>
      <c r="J121" t="s">
        <v>57</v>
      </c>
      <c r="K121" t="s">
        <v>341</v>
      </c>
      <c r="L121">
        <v>57.96</v>
      </c>
      <c r="M121">
        <v>88.51</v>
      </c>
      <c r="N121">
        <v>4.2999999999999997E-2</v>
      </c>
      <c r="O121">
        <v>7</v>
      </c>
    </row>
    <row r="122" spans="1:15" x14ac:dyDescent="0.35">
      <c r="A122" t="s">
        <v>342</v>
      </c>
      <c r="B122" s="1">
        <v>45827</v>
      </c>
      <c r="C122" s="1">
        <v>45850</v>
      </c>
      <c r="D122" t="s">
        <v>78</v>
      </c>
      <c r="E122" t="s">
        <v>108</v>
      </c>
      <c r="G122" t="s">
        <v>39</v>
      </c>
      <c r="H122" t="s">
        <v>98</v>
      </c>
      <c r="J122" t="s">
        <v>35</v>
      </c>
      <c r="K122" t="s">
        <v>343</v>
      </c>
      <c r="L122">
        <v>801.24</v>
      </c>
      <c r="M122">
        <v>1959.09</v>
      </c>
      <c r="N122">
        <v>0.123</v>
      </c>
      <c r="O122">
        <v>23</v>
      </c>
    </row>
    <row r="123" spans="1:15" x14ac:dyDescent="0.35">
      <c r="A123" t="s">
        <v>344</v>
      </c>
      <c r="B123" s="1">
        <v>45249</v>
      </c>
      <c r="C123" s="1">
        <v>45273</v>
      </c>
      <c r="D123" t="s">
        <v>78</v>
      </c>
      <c r="E123" t="s">
        <v>90</v>
      </c>
      <c r="F123" t="s">
        <v>138</v>
      </c>
      <c r="G123" t="s">
        <v>39</v>
      </c>
      <c r="H123" t="s">
        <v>98</v>
      </c>
      <c r="I123" t="s">
        <v>92</v>
      </c>
      <c r="J123" t="s">
        <v>64</v>
      </c>
      <c r="K123" t="s">
        <v>345</v>
      </c>
      <c r="L123">
        <v>1297.42</v>
      </c>
      <c r="M123">
        <v>2742.97</v>
      </c>
      <c r="N123">
        <v>6.9000000000000006E-2</v>
      </c>
      <c r="O123">
        <v>9</v>
      </c>
    </row>
    <row r="124" spans="1:15" x14ac:dyDescent="0.35">
      <c r="A124" t="s">
        <v>346</v>
      </c>
      <c r="B124" s="1">
        <v>45289</v>
      </c>
      <c r="C124" s="1">
        <v>45311</v>
      </c>
      <c r="D124" t="s">
        <v>16</v>
      </c>
      <c r="E124" t="s">
        <v>17</v>
      </c>
      <c r="F124" t="s">
        <v>18</v>
      </c>
      <c r="G124" t="s">
        <v>19</v>
      </c>
      <c r="H124" t="s">
        <v>98</v>
      </c>
      <c r="I124" t="s">
        <v>49</v>
      </c>
      <c r="J124" t="s">
        <v>42</v>
      </c>
      <c r="K124" t="s">
        <v>347</v>
      </c>
      <c r="L124">
        <v>1395.49</v>
      </c>
      <c r="M124">
        <v>1679.42</v>
      </c>
      <c r="N124">
        <v>0.20300000000000001</v>
      </c>
      <c r="O124">
        <v>12</v>
      </c>
    </row>
    <row r="125" spans="1:15" x14ac:dyDescent="0.35">
      <c r="A125" t="s">
        <v>348</v>
      </c>
      <c r="B125" s="1">
        <v>45598</v>
      </c>
      <c r="C125" s="1">
        <v>45625</v>
      </c>
      <c r="D125" t="s">
        <v>52</v>
      </c>
      <c r="E125" t="s">
        <v>73</v>
      </c>
      <c r="F125" t="s">
        <v>87</v>
      </c>
      <c r="G125" t="s">
        <v>62</v>
      </c>
      <c r="H125" t="s">
        <v>98</v>
      </c>
      <c r="I125" t="s">
        <v>34</v>
      </c>
      <c r="J125" t="s">
        <v>35</v>
      </c>
      <c r="K125" t="s">
        <v>349</v>
      </c>
      <c r="L125">
        <v>1363.51</v>
      </c>
      <c r="M125">
        <v>1433.9</v>
      </c>
      <c r="N125">
        <v>5.7000000000000002E-2</v>
      </c>
      <c r="O125">
        <v>8</v>
      </c>
    </row>
    <row r="126" spans="1:15" x14ac:dyDescent="0.35">
      <c r="A126" t="s">
        <v>350</v>
      </c>
      <c r="B126" s="1">
        <v>45159</v>
      </c>
      <c r="C126" s="1">
        <v>45173</v>
      </c>
      <c r="D126" t="s">
        <v>52</v>
      </c>
      <c r="E126" t="s">
        <v>53</v>
      </c>
      <c r="F126" t="s">
        <v>144</v>
      </c>
      <c r="G126" t="s">
        <v>27</v>
      </c>
      <c r="H126" t="s">
        <v>55</v>
      </c>
      <c r="I126" t="s">
        <v>84</v>
      </c>
      <c r="J126" t="s">
        <v>22</v>
      </c>
      <c r="K126" t="s">
        <v>351</v>
      </c>
      <c r="L126">
        <v>178.19</v>
      </c>
      <c r="M126">
        <v>284.43</v>
      </c>
      <c r="N126">
        <v>8.8999999999999996E-2</v>
      </c>
      <c r="O126">
        <v>8</v>
      </c>
    </row>
    <row r="127" spans="1:15" x14ac:dyDescent="0.35">
      <c r="A127" t="s">
        <v>352</v>
      </c>
      <c r="B127" s="1">
        <v>45150</v>
      </c>
      <c r="C127" s="1">
        <v>45175</v>
      </c>
      <c r="D127" t="s">
        <v>45</v>
      </c>
      <c r="E127" t="s">
        <v>116</v>
      </c>
      <c r="F127" t="s">
        <v>162</v>
      </c>
      <c r="G127" t="s">
        <v>62</v>
      </c>
      <c r="H127" t="s">
        <v>20</v>
      </c>
      <c r="I127" t="s">
        <v>56</v>
      </c>
      <c r="J127" t="s">
        <v>22</v>
      </c>
      <c r="K127" t="s">
        <v>353</v>
      </c>
      <c r="L127">
        <v>950.77</v>
      </c>
      <c r="M127">
        <v>694.78</v>
      </c>
      <c r="N127">
        <v>8.4000000000000005E-2</v>
      </c>
      <c r="O127">
        <v>14</v>
      </c>
    </row>
    <row r="128" spans="1:15" x14ac:dyDescent="0.35">
      <c r="A128" t="s">
        <v>354</v>
      </c>
      <c r="B128" s="1">
        <v>45450</v>
      </c>
      <c r="C128" s="1">
        <v>45469</v>
      </c>
      <c r="D128" t="s">
        <v>78</v>
      </c>
      <c r="E128" t="s">
        <v>79</v>
      </c>
      <c r="F128" t="s">
        <v>80</v>
      </c>
      <c r="G128" t="s">
        <v>39</v>
      </c>
      <c r="H128" t="s">
        <v>40</v>
      </c>
      <c r="I128" t="s">
        <v>110</v>
      </c>
      <c r="J128" t="s">
        <v>22</v>
      </c>
      <c r="K128" t="s">
        <v>355</v>
      </c>
      <c r="L128">
        <v>1064.32</v>
      </c>
      <c r="M128">
        <v>1848.39</v>
      </c>
      <c r="N128">
        <v>7.2999999999999995E-2</v>
      </c>
      <c r="O128">
        <v>38</v>
      </c>
    </row>
    <row r="129" spans="1:15" x14ac:dyDescent="0.35">
      <c r="A129" t="s">
        <v>356</v>
      </c>
      <c r="B129" s="1">
        <v>45874</v>
      </c>
      <c r="C129" s="1">
        <v>45883</v>
      </c>
      <c r="D129" t="s">
        <v>78</v>
      </c>
      <c r="E129" t="s">
        <v>108</v>
      </c>
      <c r="F129" t="s">
        <v>152</v>
      </c>
      <c r="G129" t="s">
        <v>39</v>
      </c>
      <c r="H129" t="s">
        <v>98</v>
      </c>
      <c r="I129" t="s">
        <v>63</v>
      </c>
      <c r="J129" t="s">
        <v>22</v>
      </c>
      <c r="K129" t="s">
        <v>357</v>
      </c>
      <c r="L129">
        <v>41.76</v>
      </c>
      <c r="M129">
        <v>45.19</v>
      </c>
      <c r="N129">
        <v>0.17899999999999999</v>
      </c>
      <c r="O129">
        <v>23</v>
      </c>
    </row>
    <row r="130" spans="1:15" x14ac:dyDescent="0.35">
      <c r="A130" t="s">
        <v>358</v>
      </c>
      <c r="B130" s="1">
        <v>45442</v>
      </c>
      <c r="C130" s="1">
        <v>45456</v>
      </c>
      <c r="D130" t="s">
        <v>52</v>
      </c>
      <c r="E130" t="s">
        <v>122</v>
      </c>
      <c r="F130" t="s">
        <v>167</v>
      </c>
      <c r="G130" t="s">
        <v>62</v>
      </c>
      <c r="H130" t="s">
        <v>20</v>
      </c>
      <c r="I130" t="s">
        <v>84</v>
      </c>
      <c r="J130" t="s">
        <v>42</v>
      </c>
      <c r="K130" t="s">
        <v>359</v>
      </c>
      <c r="L130">
        <v>157.78</v>
      </c>
      <c r="M130">
        <v>361.1</v>
      </c>
      <c r="N130">
        <v>0.187</v>
      </c>
      <c r="O130">
        <v>9</v>
      </c>
    </row>
    <row r="131" spans="1:15" x14ac:dyDescent="0.35">
      <c r="A131" t="s">
        <v>360</v>
      </c>
      <c r="B131" s="1">
        <v>44948</v>
      </c>
      <c r="C131" s="1">
        <v>44956</v>
      </c>
      <c r="D131" t="s">
        <v>52</v>
      </c>
      <c r="E131" t="s">
        <v>122</v>
      </c>
      <c r="F131" t="s">
        <v>167</v>
      </c>
      <c r="G131" t="s">
        <v>62</v>
      </c>
      <c r="H131" t="s">
        <v>28</v>
      </c>
      <c r="I131" t="s">
        <v>75</v>
      </c>
      <c r="J131" t="s">
        <v>35</v>
      </c>
      <c r="K131" t="s">
        <v>361</v>
      </c>
      <c r="L131">
        <v>413.52</v>
      </c>
      <c r="M131">
        <v>1004.34</v>
      </c>
      <c r="N131">
        <v>0.111</v>
      </c>
      <c r="O131">
        <v>18</v>
      </c>
    </row>
    <row r="132" spans="1:15" x14ac:dyDescent="0.35">
      <c r="A132" t="s">
        <v>362</v>
      </c>
      <c r="B132" s="1">
        <v>45700</v>
      </c>
      <c r="C132" s="1">
        <v>45716</v>
      </c>
      <c r="D132" t="s">
        <v>52</v>
      </c>
      <c r="E132" t="s">
        <v>73</v>
      </c>
      <c r="F132" t="s">
        <v>74</v>
      </c>
      <c r="G132" t="s">
        <v>39</v>
      </c>
      <c r="H132" t="s">
        <v>98</v>
      </c>
      <c r="I132" t="s">
        <v>56</v>
      </c>
      <c r="J132" t="s">
        <v>64</v>
      </c>
      <c r="K132" t="s">
        <v>363</v>
      </c>
      <c r="L132">
        <v>414.95</v>
      </c>
      <c r="M132">
        <v>1027.73</v>
      </c>
      <c r="N132">
        <v>6.3E-2</v>
      </c>
      <c r="O132">
        <v>8</v>
      </c>
    </row>
    <row r="133" spans="1:15" x14ac:dyDescent="0.35">
      <c r="A133" t="s">
        <v>364</v>
      </c>
      <c r="B133" s="1">
        <v>45719</v>
      </c>
      <c r="C133" s="1">
        <v>45740</v>
      </c>
      <c r="D133" t="s">
        <v>16</v>
      </c>
      <c r="E133" t="s">
        <v>25</v>
      </c>
      <c r="F133" t="s">
        <v>67</v>
      </c>
      <c r="G133" t="s">
        <v>105</v>
      </c>
      <c r="H133" t="s">
        <v>98</v>
      </c>
      <c r="I133" t="s">
        <v>92</v>
      </c>
      <c r="J133" t="s">
        <v>81</v>
      </c>
      <c r="K133" t="s">
        <v>365</v>
      </c>
      <c r="L133">
        <v>555.95000000000005</v>
      </c>
      <c r="M133">
        <v>468.09</v>
      </c>
      <c r="N133">
        <v>0.14199999999999999</v>
      </c>
      <c r="O133">
        <v>11</v>
      </c>
    </row>
    <row r="134" spans="1:15" x14ac:dyDescent="0.35">
      <c r="A134" t="s">
        <v>366</v>
      </c>
      <c r="B134" s="1">
        <v>44953</v>
      </c>
      <c r="C134" s="1">
        <v>44957</v>
      </c>
      <c r="D134" t="s">
        <v>78</v>
      </c>
      <c r="E134" t="s">
        <v>108</v>
      </c>
      <c r="F134" t="s">
        <v>228</v>
      </c>
      <c r="G134" t="s">
        <v>105</v>
      </c>
      <c r="H134" t="s">
        <v>28</v>
      </c>
      <c r="I134" t="s">
        <v>126</v>
      </c>
      <c r="J134" t="s">
        <v>57</v>
      </c>
      <c r="K134" t="s">
        <v>367</v>
      </c>
      <c r="L134">
        <v>941.2</v>
      </c>
      <c r="M134">
        <v>668.02</v>
      </c>
      <c r="N134">
        <v>0.22</v>
      </c>
      <c r="O134">
        <v>16</v>
      </c>
    </row>
    <row r="135" spans="1:15" x14ac:dyDescent="0.35">
      <c r="A135" t="s">
        <v>368</v>
      </c>
      <c r="B135" s="1">
        <v>45666</v>
      </c>
      <c r="C135" s="1">
        <v>45672</v>
      </c>
      <c r="D135" t="s">
        <v>45</v>
      </c>
      <c r="E135" t="s">
        <v>116</v>
      </c>
      <c r="F135" t="s">
        <v>338</v>
      </c>
      <c r="G135" t="s">
        <v>27</v>
      </c>
      <c r="H135" t="s">
        <v>28</v>
      </c>
      <c r="I135" t="s">
        <v>21</v>
      </c>
      <c r="J135" t="s">
        <v>42</v>
      </c>
      <c r="K135" t="s">
        <v>369</v>
      </c>
      <c r="L135">
        <v>304.77999999999997</v>
      </c>
      <c r="M135">
        <v>537.27</v>
      </c>
      <c r="N135">
        <v>0.187</v>
      </c>
      <c r="O135">
        <v>8</v>
      </c>
    </row>
    <row r="136" spans="1:15" x14ac:dyDescent="0.35">
      <c r="A136" t="s">
        <v>370</v>
      </c>
      <c r="B136" s="1">
        <v>45647</v>
      </c>
      <c r="C136" s="1">
        <v>45652</v>
      </c>
      <c r="D136" t="s">
        <v>52</v>
      </c>
      <c r="E136" t="s">
        <v>122</v>
      </c>
      <c r="F136" t="s">
        <v>167</v>
      </c>
      <c r="G136" t="s">
        <v>48</v>
      </c>
      <c r="H136" t="s">
        <v>40</v>
      </c>
      <c r="I136" t="s">
        <v>110</v>
      </c>
      <c r="J136" t="s">
        <v>30</v>
      </c>
      <c r="K136" t="s">
        <v>371</v>
      </c>
      <c r="L136">
        <v>699.57</v>
      </c>
      <c r="M136">
        <v>572.71</v>
      </c>
      <c r="N136">
        <v>0.192</v>
      </c>
      <c r="O136">
        <v>26</v>
      </c>
    </row>
    <row r="137" spans="1:15" x14ac:dyDescent="0.35">
      <c r="A137" t="s">
        <v>372</v>
      </c>
      <c r="B137" s="1">
        <v>45028</v>
      </c>
      <c r="C137" s="1">
        <v>45033</v>
      </c>
      <c r="D137" t="s">
        <v>78</v>
      </c>
      <c r="E137" t="s">
        <v>90</v>
      </c>
      <c r="F137" t="s">
        <v>138</v>
      </c>
      <c r="G137" t="s">
        <v>105</v>
      </c>
      <c r="H137" t="s">
        <v>98</v>
      </c>
      <c r="I137" t="s">
        <v>63</v>
      </c>
      <c r="J137" t="s">
        <v>64</v>
      </c>
      <c r="K137" t="s">
        <v>373</v>
      </c>
      <c r="L137">
        <v>1087.81</v>
      </c>
      <c r="M137">
        <v>2323.87</v>
      </c>
      <c r="N137">
        <v>9.4E-2</v>
      </c>
      <c r="O137">
        <v>13</v>
      </c>
    </row>
    <row r="138" spans="1:15" x14ac:dyDescent="0.35">
      <c r="A138" t="s">
        <v>374</v>
      </c>
      <c r="B138" s="1">
        <v>45640</v>
      </c>
      <c r="C138" s="1">
        <v>45669</v>
      </c>
      <c r="D138" t="s">
        <v>45</v>
      </c>
      <c r="E138" t="s">
        <v>116</v>
      </c>
      <c r="F138" t="s">
        <v>117</v>
      </c>
      <c r="G138" t="s">
        <v>27</v>
      </c>
      <c r="H138" t="s">
        <v>28</v>
      </c>
      <c r="I138" t="s">
        <v>29</v>
      </c>
      <c r="J138" t="s">
        <v>22</v>
      </c>
      <c r="K138" t="s">
        <v>375</v>
      </c>
      <c r="L138">
        <v>1412.15</v>
      </c>
      <c r="M138">
        <v>1631.04</v>
      </c>
      <c r="N138">
        <v>8.9999999999999993E-3</v>
      </c>
      <c r="O138">
        <v>6</v>
      </c>
    </row>
    <row r="139" spans="1:15" x14ac:dyDescent="0.35">
      <c r="A139" t="s">
        <v>376</v>
      </c>
      <c r="B139" s="1">
        <v>45016</v>
      </c>
      <c r="C139" s="1">
        <v>45028</v>
      </c>
      <c r="D139" t="s">
        <v>16</v>
      </c>
      <c r="E139" t="s">
        <v>17</v>
      </c>
      <c r="F139" t="s">
        <v>113</v>
      </c>
      <c r="G139" t="s">
        <v>62</v>
      </c>
      <c r="H139" t="s">
        <v>28</v>
      </c>
      <c r="I139" t="s">
        <v>21</v>
      </c>
      <c r="J139" t="s">
        <v>42</v>
      </c>
      <c r="K139" t="s">
        <v>377</v>
      </c>
      <c r="L139">
        <v>304.22000000000003</v>
      </c>
      <c r="M139">
        <v>393.31</v>
      </c>
      <c r="N139">
        <v>0.26500000000000001</v>
      </c>
      <c r="O139">
        <v>15</v>
      </c>
    </row>
    <row r="140" spans="1:15" x14ac:dyDescent="0.35">
      <c r="A140" t="s">
        <v>378</v>
      </c>
      <c r="B140" s="1">
        <v>45616</v>
      </c>
      <c r="C140" s="1">
        <v>45641</v>
      </c>
      <c r="D140" t="s">
        <v>78</v>
      </c>
      <c r="E140" t="s">
        <v>90</v>
      </c>
      <c r="F140" t="s">
        <v>217</v>
      </c>
      <c r="G140" t="s">
        <v>19</v>
      </c>
      <c r="H140" t="s">
        <v>28</v>
      </c>
      <c r="I140" t="s">
        <v>41</v>
      </c>
      <c r="J140" t="s">
        <v>30</v>
      </c>
      <c r="K140" t="s">
        <v>379</v>
      </c>
      <c r="L140">
        <v>1203.58</v>
      </c>
      <c r="M140">
        <v>1856.16</v>
      </c>
      <c r="N140">
        <v>0.129</v>
      </c>
      <c r="O140">
        <v>22</v>
      </c>
    </row>
    <row r="141" spans="1:15" x14ac:dyDescent="0.35">
      <c r="A141" t="s">
        <v>380</v>
      </c>
      <c r="B141" s="1">
        <v>45336</v>
      </c>
      <c r="C141" s="1">
        <v>45336</v>
      </c>
      <c r="D141" t="s">
        <v>45</v>
      </c>
      <c r="E141" t="s">
        <v>116</v>
      </c>
      <c r="F141" t="s">
        <v>338</v>
      </c>
      <c r="G141" t="s">
        <v>19</v>
      </c>
      <c r="H141" t="s">
        <v>55</v>
      </c>
      <c r="I141" t="s">
        <v>49</v>
      </c>
      <c r="J141" t="s">
        <v>81</v>
      </c>
      <c r="K141" t="s">
        <v>381</v>
      </c>
      <c r="L141">
        <v>65.930000000000007</v>
      </c>
      <c r="M141">
        <v>84.9</v>
      </c>
      <c r="N141">
        <v>0.25900000000000001</v>
      </c>
      <c r="O141">
        <v>23</v>
      </c>
    </row>
    <row r="142" spans="1:15" x14ac:dyDescent="0.35">
      <c r="A142" t="s">
        <v>382</v>
      </c>
      <c r="B142" s="1">
        <v>45048</v>
      </c>
      <c r="C142" s="1">
        <v>45064</v>
      </c>
      <c r="D142" t="s">
        <v>45</v>
      </c>
      <c r="E142" t="s">
        <v>60</v>
      </c>
      <c r="F142" t="s">
        <v>141</v>
      </c>
      <c r="G142" t="s">
        <v>62</v>
      </c>
      <c r="H142" t="s">
        <v>40</v>
      </c>
      <c r="I142" t="s">
        <v>95</v>
      </c>
      <c r="J142" t="s">
        <v>64</v>
      </c>
      <c r="K142" t="s">
        <v>383</v>
      </c>
      <c r="L142">
        <v>1463.92</v>
      </c>
      <c r="M142">
        <v>2252.2399999999998</v>
      </c>
      <c r="N142">
        <v>0.11799999999999999</v>
      </c>
      <c r="O142">
        <v>44</v>
      </c>
    </row>
    <row r="143" spans="1:15" x14ac:dyDescent="0.35">
      <c r="A143" t="s">
        <v>384</v>
      </c>
      <c r="B143" s="1">
        <v>45649</v>
      </c>
      <c r="C143" s="1">
        <v>45668</v>
      </c>
      <c r="D143" t="s">
        <v>78</v>
      </c>
      <c r="E143" t="s">
        <v>79</v>
      </c>
      <c r="F143" t="s">
        <v>80</v>
      </c>
      <c r="G143" t="s">
        <v>27</v>
      </c>
      <c r="H143" t="s">
        <v>20</v>
      </c>
      <c r="I143" t="s">
        <v>95</v>
      </c>
      <c r="J143" t="s">
        <v>42</v>
      </c>
      <c r="K143" t="s">
        <v>385</v>
      </c>
      <c r="L143">
        <v>501.81</v>
      </c>
      <c r="M143">
        <v>921.62</v>
      </c>
      <c r="N143">
        <v>0.01</v>
      </c>
      <c r="O143">
        <v>9</v>
      </c>
    </row>
    <row r="144" spans="1:15" x14ac:dyDescent="0.35">
      <c r="A144" t="s">
        <v>386</v>
      </c>
      <c r="B144" s="1">
        <v>45133</v>
      </c>
      <c r="C144" s="1">
        <v>45163</v>
      </c>
      <c r="D144" t="s">
        <v>52</v>
      </c>
      <c r="E144" t="s">
        <v>122</v>
      </c>
      <c r="F144" t="s">
        <v>387</v>
      </c>
      <c r="G144" t="s">
        <v>48</v>
      </c>
      <c r="H144" t="s">
        <v>20</v>
      </c>
      <c r="I144" t="s">
        <v>110</v>
      </c>
      <c r="J144" t="s">
        <v>81</v>
      </c>
      <c r="K144" t="s">
        <v>388</v>
      </c>
      <c r="L144">
        <v>1261.48</v>
      </c>
      <c r="M144">
        <v>1643.18</v>
      </c>
      <c r="N144">
        <v>0.151</v>
      </c>
      <c r="O144">
        <v>23</v>
      </c>
    </row>
    <row r="145" spans="1:15" x14ac:dyDescent="0.35">
      <c r="A145" t="s">
        <v>389</v>
      </c>
      <c r="B145" s="1">
        <v>45458</v>
      </c>
      <c r="C145" s="1">
        <v>45479</v>
      </c>
      <c r="D145" t="s">
        <v>52</v>
      </c>
      <c r="E145" t="s">
        <v>53</v>
      </c>
      <c r="F145" t="s">
        <v>54</v>
      </c>
      <c r="G145" t="s">
        <v>105</v>
      </c>
      <c r="H145" t="s">
        <v>55</v>
      </c>
      <c r="I145" t="s">
        <v>49</v>
      </c>
      <c r="J145" t="s">
        <v>30</v>
      </c>
      <c r="K145" t="s">
        <v>390</v>
      </c>
      <c r="L145">
        <v>817.23</v>
      </c>
      <c r="M145">
        <v>1467.17</v>
      </c>
      <c r="N145">
        <v>0.245</v>
      </c>
      <c r="O145">
        <v>9</v>
      </c>
    </row>
    <row r="146" spans="1:15" x14ac:dyDescent="0.35">
      <c r="A146" t="s">
        <v>391</v>
      </c>
      <c r="B146" s="1">
        <v>45112</v>
      </c>
      <c r="C146" s="1">
        <v>45121</v>
      </c>
      <c r="D146" t="s">
        <v>52</v>
      </c>
      <c r="E146" t="s">
        <v>73</v>
      </c>
      <c r="F146" t="s">
        <v>87</v>
      </c>
      <c r="G146" t="s">
        <v>105</v>
      </c>
      <c r="H146" t="s">
        <v>98</v>
      </c>
      <c r="I146" t="s">
        <v>56</v>
      </c>
      <c r="J146" t="s">
        <v>35</v>
      </c>
      <c r="K146" t="s">
        <v>392</v>
      </c>
      <c r="L146">
        <v>578.85</v>
      </c>
      <c r="M146">
        <v>998.76</v>
      </c>
      <c r="N146">
        <v>8.2000000000000003E-2</v>
      </c>
      <c r="O146">
        <v>28</v>
      </c>
    </row>
    <row r="147" spans="1:15" x14ac:dyDescent="0.35">
      <c r="A147" t="s">
        <v>393</v>
      </c>
      <c r="B147" s="1">
        <v>45260</v>
      </c>
      <c r="C147" s="1">
        <v>45259</v>
      </c>
      <c r="D147" t="s">
        <v>16</v>
      </c>
      <c r="E147" t="s">
        <v>148</v>
      </c>
      <c r="F147" t="s">
        <v>172</v>
      </c>
      <c r="G147" t="s">
        <v>62</v>
      </c>
      <c r="H147" t="s">
        <v>40</v>
      </c>
      <c r="I147" t="s">
        <v>63</v>
      </c>
      <c r="J147" t="s">
        <v>57</v>
      </c>
      <c r="K147" t="s">
        <v>394</v>
      </c>
      <c r="L147">
        <v>275.56</v>
      </c>
      <c r="M147">
        <v>630.72</v>
      </c>
      <c r="N147">
        <v>0.107</v>
      </c>
      <c r="O147">
        <v>23</v>
      </c>
    </row>
    <row r="148" spans="1:15" x14ac:dyDescent="0.35">
      <c r="A148" t="s">
        <v>395</v>
      </c>
      <c r="B148" s="1">
        <v>45911</v>
      </c>
      <c r="C148" s="1">
        <v>45928</v>
      </c>
      <c r="D148" t="s">
        <v>16</v>
      </c>
      <c r="E148" t="s">
        <v>17</v>
      </c>
      <c r="F148" t="s">
        <v>33</v>
      </c>
      <c r="G148" t="s">
        <v>39</v>
      </c>
      <c r="H148" t="s">
        <v>55</v>
      </c>
      <c r="I148" t="s">
        <v>29</v>
      </c>
      <c r="J148" t="s">
        <v>57</v>
      </c>
      <c r="K148" t="s">
        <v>396</v>
      </c>
      <c r="L148">
        <v>891.46</v>
      </c>
      <c r="M148">
        <v>728.61</v>
      </c>
      <c r="N148">
        <v>0.185</v>
      </c>
      <c r="O148">
        <v>6</v>
      </c>
    </row>
    <row r="149" spans="1:15" x14ac:dyDescent="0.35">
      <c r="A149" t="s">
        <v>397</v>
      </c>
      <c r="B149" s="1">
        <v>45386</v>
      </c>
      <c r="C149" s="1">
        <v>45406</v>
      </c>
      <c r="D149" t="s">
        <v>78</v>
      </c>
      <c r="E149" t="s">
        <v>79</v>
      </c>
      <c r="F149" t="s">
        <v>335</v>
      </c>
      <c r="G149" t="s">
        <v>39</v>
      </c>
      <c r="H149" t="s">
        <v>98</v>
      </c>
      <c r="I149" t="s">
        <v>68</v>
      </c>
      <c r="J149" t="s">
        <v>81</v>
      </c>
      <c r="K149" t="s">
        <v>398</v>
      </c>
      <c r="L149">
        <v>683.42</v>
      </c>
      <c r="M149">
        <v>951.51</v>
      </c>
      <c r="N149">
        <v>0</v>
      </c>
      <c r="O149">
        <v>14</v>
      </c>
    </row>
    <row r="150" spans="1:15" x14ac:dyDescent="0.35">
      <c r="A150" t="s">
        <v>399</v>
      </c>
      <c r="B150" s="1">
        <v>45183</v>
      </c>
      <c r="C150" s="1">
        <v>45185</v>
      </c>
      <c r="D150" t="s">
        <v>78</v>
      </c>
      <c r="E150" t="s">
        <v>90</v>
      </c>
      <c r="F150" t="s">
        <v>138</v>
      </c>
      <c r="G150" t="s">
        <v>39</v>
      </c>
      <c r="H150" t="s">
        <v>98</v>
      </c>
      <c r="I150" t="s">
        <v>56</v>
      </c>
      <c r="J150" t="s">
        <v>30</v>
      </c>
      <c r="K150" t="s">
        <v>400</v>
      </c>
      <c r="L150">
        <v>376.83</v>
      </c>
      <c r="M150">
        <v>732.88</v>
      </c>
      <c r="N150">
        <v>0.188</v>
      </c>
      <c r="O150">
        <v>25</v>
      </c>
    </row>
    <row r="151" spans="1:15" x14ac:dyDescent="0.35">
      <c r="A151" t="s">
        <v>401</v>
      </c>
      <c r="B151" s="1">
        <v>45558</v>
      </c>
      <c r="C151" s="1">
        <v>45583</v>
      </c>
      <c r="D151" t="s">
        <v>52</v>
      </c>
      <c r="E151" t="s">
        <v>53</v>
      </c>
      <c r="F151" t="s">
        <v>179</v>
      </c>
      <c r="G151" t="s">
        <v>62</v>
      </c>
      <c r="H151" t="s">
        <v>28</v>
      </c>
      <c r="I151" t="s">
        <v>126</v>
      </c>
      <c r="J151" t="s">
        <v>42</v>
      </c>
      <c r="K151" t="s">
        <v>402</v>
      </c>
      <c r="L151">
        <v>1297</v>
      </c>
      <c r="M151">
        <v>2411.52</v>
      </c>
      <c r="N151">
        <v>2.1000000000000001E-2</v>
      </c>
      <c r="O151">
        <v>18</v>
      </c>
    </row>
    <row r="152" spans="1:15" x14ac:dyDescent="0.35">
      <c r="A152" t="s">
        <v>403</v>
      </c>
      <c r="B152" s="1">
        <v>45763</v>
      </c>
      <c r="C152" s="1">
        <v>45793</v>
      </c>
      <c r="D152" t="s">
        <v>52</v>
      </c>
      <c r="E152" t="s">
        <v>53</v>
      </c>
      <c r="F152" t="s">
        <v>144</v>
      </c>
      <c r="G152" t="s">
        <v>105</v>
      </c>
      <c r="H152" t="s">
        <v>55</v>
      </c>
      <c r="I152" t="s">
        <v>95</v>
      </c>
      <c r="J152" t="s">
        <v>30</v>
      </c>
      <c r="K152" t="s">
        <v>404</v>
      </c>
      <c r="L152">
        <v>763.32</v>
      </c>
      <c r="M152">
        <v>568.29</v>
      </c>
      <c r="N152">
        <v>0.13100000000000001</v>
      </c>
      <c r="O152">
        <v>16</v>
      </c>
    </row>
    <row r="153" spans="1:15" x14ac:dyDescent="0.35">
      <c r="A153" t="s">
        <v>405</v>
      </c>
      <c r="B153" s="1">
        <v>45110</v>
      </c>
      <c r="C153" s="1">
        <v>45130</v>
      </c>
      <c r="D153" t="s">
        <v>16</v>
      </c>
      <c r="E153" t="s">
        <v>148</v>
      </c>
      <c r="F153" t="s">
        <v>149</v>
      </c>
      <c r="G153" t="s">
        <v>62</v>
      </c>
      <c r="H153" t="s">
        <v>55</v>
      </c>
      <c r="I153" t="s">
        <v>84</v>
      </c>
      <c r="J153" t="s">
        <v>57</v>
      </c>
      <c r="K153" t="s">
        <v>406</v>
      </c>
      <c r="L153">
        <v>1001.96</v>
      </c>
      <c r="M153">
        <v>1254.95</v>
      </c>
      <c r="N153">
        <v>4.4999999999999998E-2</v>
      </c>
      <c r="O153">
        <v>18</v>
      </c>
    </row>
    <row r="154" spans="1:15" x14ac:dyDescent="0.35">
      <c r="A154" t="s">
        <v>407</v>
      </c>
      <c r="B154" s="1">
        <v>45267</v>
      </c>
      <c r="C154" s="1">
        <v>45265</v>
      </c>
      <c r="D154" t="s">
        <v>45</v>
      </c>
      <c r="E154" t="s">
        <v>46</v>
      </c>
      <c r="F154" t="s">
        <v>214</v>
      </c>
      <c r="G154" t="s">
        <v>39</v>
      </c>
      <c r="H154" t="s">
        <v>40</v>
      </c>
      <c r="I154" t="s">
        <v>92</v>
      </c>
      <c r="J154" t="s">
        <v>30</v>
      </c>
      <c r="K154" t="s">
        <v>408</v>
      </c>
      <c r="L154">
        <v>1097.5899999999999</v>
      </c>
      <c r="M154">
        <v>845.55</v>
      </c>
      <c r="N154">
        <v>0.184</v>
      </c>
      <c r="O154">
        <v>6</v>
      </c>
    </row>
    <row r="155" spans="1:15" x14ac:dyDescent="0.35">
      <c r="A155" t="s">
        <v>409</v>
      </c>
      <c r="B155" s="1">
        <v>45340</v>
      </c>
      <c r="C155" s="1">
        <v>45355</v>
      </c>
      <c r="D155" t="s">
        <v>16</v>
      </c>
      <c r="E155" t="s">
        <v>17</v>
      </c>
      <c r="F155" t="s">
        <v>18</v>
      </c>
      <c r="G155" t="s">
        <v>27</v>
      </c>
      <c r="H155" t="s">
        <v>98</v>
      </c>
      <c r="I155" t="s">
        <v>95</v>
      </c>
      <c r="J155" t="s">
        <v>30</v>
      </c>
      <c r="K155" t="s">
        <v>410</v>
      </c>
      <c r="L155">
        <v>928.68</v>
      </c>
      <c r="M155">
        <v>2145.17</v>
      </c>
      <c r="N155">
        <v>0.13600000000000001</v>
      </c>
      <c r="O155">
        <v>16</v>
      </c>
    </row>
    <row r="156" spans="1:15" x14ac:dyDescent="0.35">
      <c r="A156" t="s">
        <v>411</v>
      </c>
      <c r="B156" s="1">
        <v>45230</v>
      </c>
      <c r="C156" s="1">
        <v>45232</v>
      </c>
      <c r="D156" t="s">
        <v>16</v>
      </c>
      <c r="E156" t="s">
        <v>17</v>
      </c>
      <c r="F156" t="s">
        <v>18</v>
      </c>
      <c r="G156" t="s">
        <v>27</v>
      </c>
      <c r="H156" t="s">
        <v>20</v>
      </c>
      <c r="I156" t="s">
        <v>68</v>
      </c>
      <c r="J156" t="s">
        <v>81</v>
      </c>
      <c r="K156" t="s">
        <v>412</v>
      </c>
      <c r="L156">
        <v>867.89</v>
      </c>
      <c r="M156">
        <v>1349.94</v>
      </c>
      <c r="N156">
        <v>0.184</v>
      </c>
      <c r="O156">
        <v>10</v>
      </c>
    </row>
    <row r="157" spans="1:15" x14ac:dyDescent="0.35">
      <c r="A157" t="s">
        <v>413</v>
      </c>
      <c r="B157" s="1">
        <v>45511</v>
      </c>
      <c r="C157" s="1">
        <v>45521</v>
      </c>
      <c r="D157" t="s">
        <v>45</v>
      </c>
      <c r="E157" t="s">
        <v>46</v>
      </c>
      <c r="F157" t="s">
        <v>47</v>
      </c>
      <c r="G157" t="s">
        <v>48</v>
      </c>
      <c r="H157" t="s">
        <v>28</v>
      </c>
      <c r="I157" t="s">
        <v>95</v>
      </c>
      <c r="J157" t="s">
        <v>35</v>
      </c>
      <c r="K157" t="s">
        <v>414</v>
      </c>
      <c r="L157">
        <v>436.58</v>
      </c>
      <c r="M157">
        <v>527.48</v>
      </c>
      <c r="N157">
        <v>0.111</v>
      </c>
      <c r="O157">
        <v>19</v>
      </c>
    </row>
    <row r="158" spans="1:15" x14ac:dyDescent="0.35">
      <c r="A158" t="s">
        <v>415</v>
      </c>
      <c r="B158" s="1">
        <v>45323</v>
      </c>
      <c r="C158" s="1">
        <v>45343</v>
      </c>
      <c r="D158" t="s">
        <v>78</v>
      </c>
      <c r="E158" t="s">
        <v>90</v>
      </c>
      <c r="F158" t="s">
        <v>217</v>
      </c>
      <c r="G158" t="s">
        <v>62</v>
      </c>
      <c r="H158" t="s">
        <v>40</v>
      </c>
      <c r="I158" t="s">
        <v>75</v>
      </c>
      <c r="J158" t="s">
        <v>35</v>
      </c>
      <c r="K158" t="s">
        <v>416</v>
      </c>
      <c r="L158">
        <v>656.2</v>
      </c>
      <c r="M158">
        <v>1467.17</v>
      </c>
      <c r="N158">
        <v>1.7999999999999999E-2</v>
      </c>
      <c r="O158">
        <v>5</v>
      </c>
    </row>
    <row r="159" spans="1:15" x14ac:dyDescent="0.35">
      <c r="A159" t="s">
        <v>417</v>
      </c>
      <c r="B159" s="1">
        <v>45531</v>
      </c>
      <c r="C159" s="1">
        <v>45553</v>
      </c>
      <c r="D159" t="s">
        <v>45</v>
      </c>
      <c r="E159" t="s">
        <v>60</v>
      </c>
      <c r="F159" t="s">
        <v>141</v>
      </c>
      <c r="G159" t="s">
        <v>48</v>
      </c>
      <c r="H159" t="s">
        <v>98</v>
      </c>
      <c r="I159" t="s">
        <v>56</v>
      </c>
      <c r="J159" t="s">
        <v>22</v>
      </c>
      <c r="K159" t="s">
        <v>418</v>
      </c>
      <c r="L159">
        <v>896.75</v>
      </c>
      <c r="M159">
        <v>1651.14</v>
      </c>
      <c r="N159">
        <v>2.5000000000000001E-2</v>
      </c>
      <c r="O159">
        <v>15</v>
      </c>
    </row>
    <row r="160" spans="1:15" x14ac:dyDescent="0.35">
      <c r="A160" t="s">
        <v>419</v>
      </c>
      <c r="B160" s="1">
        <v>45703</v>
      </c>
      <c r="C160" s="1">
        <v>45703</v>
      </c>
      <c r="D160" t="s">
        <v>78</v>
      </c>
      <c r="E160" t="s">
        <v>79</v>
      </c>
      <c r="F160" t="s">
        <v>335</v>
      </c>
      <c r="G160" t="s">
        <v>62</v>
      </c>
      <c r="H160" t="s">
        <v>40</v>
      </c>
      <c r="I160" t="s">
        <v>49</v>
      </c>
      <c r="J160" t="s">
        <v>81</v>
      </c>
      <c r="K160" t="s">
        <v>420</v>
      </c>
      <c r="L160">
        <v>815.83</v>
      </c>
      <c r="M160">
        <v>1982.18</v>
      </c>
      <c r="N160">
        <v>0.127</v>
      </c>
      <c r="O160">
        <v>6</v>
      </c>
    </row>
    <row r="161" spans="1:15" x14ac:dyDescent="0.35">
      <c r="A161" t="s">
        <v>421</v>
      </c>
      <c r="B161" s="1">
        <v>45870</v>
      </c>
      <c r="C161" s="1">
        <v>45890</v>
      </c>
      <c r="D161" t="s">
        <v>45</v>
      </c>
      <c r="E161" t="s">
        <v>116</v>
      </c>
      <c r="F161" t="s">
        <v>162</v>
      </c>
      <c r="G161" t="s">
        <v>19</v>
      </c>
      <c r="H161" t="s">
        <v>98</v>
      </c>
      <c r="I161" t="s">
        <v>34</v>
      </c>
      <c r="J161" t="s">
        <v>42</v>
      </c>
      <c r="K161" t="s">
        <v>422</v>
      </c>
      <c r="L161">
        <v>1220.4100000000001</v>
      </c>
      <c r="M161">
        <v>2552.2199999999998</v>
      </c>
      <c r="N161">
        <v>0.18099999999999999</v>
      </c>
      <c r="O161">
        <v>14</v>
      </c>
    </row>
    <row r="162" spans="1:15" x14ac:dyDescent="0.35">
      <c r="A162" t="s">
        <v>423</v>
      </c>
      <c r="B162" s="1">
        <v>44977</v>
      </c>
      <c r="C162" s="1">
        <v>44989</v>
      </c>
      <c r="D162" t="s">
        <v>45</v>
      </c>
      <c r="E162" t="s">
        <v>60</v>
      </c>
      <c r="F162" t="s">
        <v>141</v>
      </c>
      <c r="G162" t="s">
        <v>48</v>
      </c>
      <c r="H162" t="s">
        <v>55</v>
      </c>
      <c r="I162" t="s">
        <v>110</v>
      </c>
      <c r="J162" t="s">
        <v>64</v>
      </c>
      <c r="K162" t="s">
        <v>424</v>
      </c>
      <c r="L162">
        <v>299.75</v>
      </c>
      <c r="M162">
        <v>523.01</v>
      </c>
      <c r="N162">
        <v>0.157</v>
      </c>
      <c r="O162">
        <v>50</v>
      </c>
    </row>
    <row r="163" spans="1:15" x14ac:dyDescent="0.35">
      <c r="A163" t="s">
        <v>425</v>
      </c>
      <c r="B163" s="1">
        <v>45595</v>
      </c>
      <c r="C163" s="1">
        <v>45620</v>
      </c>
      <c r="D163" t="s">
        <v>45</v>
      </c>
      <c r="E163" t="s">
        <v>116</v>
      </c>
      <c r="F163" t="s">
        <v>117</v>
      </c>
      <c r="G163" t="s">
        <v>62</v>
      </c>
      <c r="H163" t="s">
        <v>28</v>
      </c>
      <c r="I163" t="s">
        <v>63</v>
      </c>
      <c r="J163" t="s">
        <v>22</v>
      </c>
      <c r="K163" t="s">
        <v>426</v>
      </c>
      <c r="L163">
        <v>811.05</v>
      </c>
      <c r="M163">
        <v>1217.71</v>
      </c>
      <c r="N163">
        <v>7.1999999999999995E-2</v>
      </c>
      <c r="O163">
        <v>5</v>
      </c>
    </row>
    <row r="164" spans="1:15" x14ac:dyDescent="0.35">
      <c r="A164" t="s">
        <v>427</v>
      </c>
      <c r="B164" s="1">
        <v>45385</v>
      </c>
      <c r="C164" s="1">
        <v>45389</v>
      </c>
      <c r="D164" t="s">
        <v>52</v>
      </c>
      <c r="E164" t="s">
        <v>73</v>
      </c>
      <c r="F164" t="s">
        <v>87</v>
      </c>
      <c r="G164" t="s">
        <v>39</v>
      </c>
      <c r="H164" t="s">
        <v>98</v>
      </c>
      <c r="I164" t="s">
        <v>126</v>
      </c>
      <c r="J164" t="s">
        <v>42</v>
      </c>
      <c r="K164" t="s">
        <v>428</v>
      </c>
      <c r="L164">
        <v>1023.27</v>
      </c>
      <c r="M164">
        <v>1343.64</v>
      </c>
      <c r="N164">
        <v>0.13300000000000001</v>
      </c>
      <c r="O164">
        <v>7</v>
      </c>
    </row>
    <row r="165" spans="1:15" x14ac:dyDescent="0.35">
      <c r="A165" t="s">
        <v>429</v>
      </c>
      <c r="B165" s="1">
        <v>45010</v>
      </c>
      <c r="C165" s="1">
        <v>45011</v>
      </c>
      <c r="D165" t="s">
        <v>45</v>
      </c>
      <c r="E165" t="s">
        <v>46</v>
      </c>
      <c r="F165" t="s">
        <v>47</v>
      </c>
      <c r="G165" t="s">
        <v>62</v>
      </c>
      <c r="H165" t="s">
        <v>55</v>
      </c>
      <c r="I165" t="s">
        <v>34</v>
      </c>
      <c r="J165" t="s">
        <v>64</v>
      </c>
      <c r="K165" t="s">
        <v>430</v>
      </c>
      <c r="L165">
        <v>135.12</v>
      </c>
      <c r="M165">
        <v>301.7</v>
      </c>
      <c r="N165">
        <v>0.14000000000000001</v>
      </c>
      <c r="O165">
        <v>47</v>
      </c>
    </row>
    <row r="166" spans="1:15" x14ac:dyDescent="0.35">
      <c r="A166" t="s">
        <v>431</v>
      </c>
      <c r="B166" s="1">
        <v>45447</v>
      </c>
      <c r="C166" s="1">
        <v>45459</v>
      </c>
      <c r="D166" t="s">
        <v>45</v>
      </c>
      <c r="E166" t="s">
        <v>116</v>
      </c>
      <c r="F166" t="s">
        <v>162</v>
      </c>
      <c r="G166" t="s">
        <v>19</v>
      </c>
      <c r="H166" t="s">
        <v>20</v>
      </c>
      <c r="I166" t="s">
        <v>29</v>
      </c>
      <c r="J166" t="s">
        <v>30</v>
      </c>
      <c r="K166" t="s">
        <v>432</v>
      </c>
      <c r="L166">
        <v>918.42</v>
      </c>
      <c r="M166">
        <v>1511.71</v>
      </c>
      <c r="N166">
        <v>0.02</v>
      </c>
      <c r="O166">
        <v>8</v>
      </c>
    </row>
    <row r="167" spans="1:15" x14ac:dyDescent="0.35">
      <c r="A167" t="s">
        <v>433</v>
      </c>
      <c r="B167" s="1">
        <v>44976</v>
      </c>
      <c r="C167" s="1">
        <v>44997</v>
      </c>
      <c r="D167" t="s">
        <v>78</v>
      </c>
      <c r="E167" t="s">
        <v>79</v>
      </c>
      <c r="F167" t="s">
        <v>80</v>
      </c>
      <c r="G167" t="s">
        <v>62</v>
      </c>
      <c r="H167" t="s">
        <v>98</v>
      </c>
      <c r="I167" t="s">
        <v>49</v>
      </c>
      <c r="J167" t="s">
        <v>64</v>
      </c>
      <c r="K167" t="s">
        <v>434</v>
      </c>
      <c r="L167">
        <v>1234.81</v>
      </c>
      <c r="M167">
        <v>2055.2399999999998</v>
      </c>
      <c r="N167">
        <v>5.2999999999999999E-2</v>
      </c>
      <c r="O167">
        <v>44</v>
      </c>
    </row>
    <row r="168" spans="1:15" x14ac:dyDescent="0.35">
      <c r="A168" t="s">
        <v>435</v>
      </c>
      <c r="B168" s="1">
        <v>45034</v>
      </c>
      <c r="C168" s="1">
        <v>45064</v>
      </c>
      <c r="D168" t="s">
        <v>45</v>
      </c>
      <c r="E168" t="s">
        <v>116</v>
      </c>
      <c r="F168" t="s">
        <v>117</v>
      </c>
      <c r="G168" t="s">
        <v>39</v>
      </c>
      <c r="H168" t="s">
        <v>20</v>
      </c>
      <c r="I168" t="s">
        <v>92</v>
      </c>
      <c r="J168" t="s">
        <v>57</v>
      </c>
      <c r="K168" t="s">
        <v>436</v>
      </c>
      <c r="L168">
        <v>329.03</v>
      </c>
      <c r="M168">
        <v>391.15</v>
      </c>
      <c r="N168">
        <v>0.19700000000000001</v>
      </c>
      <c r="O168">
        <v>46</v>
      </c>
    </row>
    <row r="169" spans="1:15" x14ac:dyDescent="0.35">
      <c r="A169" t="s">
        <v>437</v>
      </c>
      <c r="B169" s="1">
        <v>45435</v>
      </c>
      <c r="C169" s="1">
        <v>45457</v>
      </c>
      <c r="D169" t="s">
        <v>78</v>
      </c>
      <c r="E169" t="s">
        <v>90</v>
      </c>
      <c r="F169" t="s">
        <v>91</v>
      </c>
      <c r="G169" t="s">
        <v>62</v>
      </c>
      <c r="H169" t="s">
        <v>28</v>
      </c>
      <c r="I169" t="s">
        <v>126</v>
      </c>
      <c r="J169" t="s">
        <v>64</v>
      </c>
      <c r="K169" t="s">
        <v>438</v>
      </c>
      <c r="L169">
        <v>1481.74</v>
      </c>
      <c r="M169">
        <v>1848.97</v>
      </c>
      <c r="N169">
        <v>0.254</v>
      </c>
      <c r="O169">
        <v>9</v>
      </c>
    </row>
    <row r="170" spans="1:15" x14ac:dyDescent="0.35">
      <c r="A170" t="s">
        <v>439</v>
      </c>
      <c r="B170" s="1">
        <v>45206</v>
      </c>
      <c r="C170" s="1">
        <v>45222</v>
      </c>
      <c r="D170" t="s">
        <v>45</v>
      </c>
      <c r="E170" t="s">
        <v>60</v>
      </c>
      <c r="F170" t="s">
        <v>281</v>
      </c>
      <c r="G170" t="s">
        <v>48</v>
      </c>
      <c r="H170" t="s">
        <v>20</v>
      </c>
      <c r="I170" t="s">
        <v>41</v>
      </c>
      <c r="J170" t="s">
        <v>64</v>
      </c>
      <c r="K170" t="s">
        <v>440</v>
      </c>
      <c r="L170">
        <v>906.81</v>
      </c>
      <c r="M170">
        <v>1395.56</v>
      </c>
      <c r="N170">
        <v>0.185</v>
      </c>
      <c r="O170">
        <v>6</v>
      </c>
    </row>
    <row r="171" spans="1:15" x14ac:dyDescent="0.35">
      <c r="A171" t="s">
        <v>441</v>
      </c>
      <c r="B171" s="1">
        <v>45574</v>
      </c>
      <c r="C171" s="1">
        <v>45604</v>
      </c>
      <c r="D171" t="s">
        <v>78</v>
      </c>
      <c r="E171" t="s">
        <v>108</v>
      </c>
      <c r="F171" t="s">
        <v>228</v>
      </c>
      <c r="G171" t="s">
        <v>62</v>
      </c>
      <c r="H171" t="s">
        <v>55</v>
      </c>
      <c r="I171" t="s">
        <v>29</v>
      </c>
      <c r="J171" t="s">
        <v>22</v>
      </c>
      <c r="K171" t="s">
        <v>442</v>
      </c>
      <c r="L171">
        <v>343.85</v>
      </c>
      <c r="M171">
        <v>538.04</v>
      </c>
      <c r="N171">
        <v>0.13900000000000001</v>
      </c>
      <c r="O171">
        <v>5</v>
      </c>
    </row>
    <row r="172" spans="1:15" x14ac:dyDescent="0.35">
      <c r="A172" t="s">
        <v>443</v>
      </c>
      <c r="B172" s="1">
        <v>45488</v>
      </c>
      <c r="C172" s="1">
        <v>45488</v>
      </c>
      <c r="D172" t="s">
        <v>45</v>
      </c>
      <c r="E172" t="s">
        <v>46</v>
      </c>
      <c r="F172" t="s">
        <v>214</v>
      </c>
      <c r="G172" t="s">
        <v>62</v>
      </c>
      <c r="H172" t="s">
        <v>40</v>
      </c>
      <c r="I172" t="s">
        <v>41</v>
      </c>
      <c r="J172" t="s">
        <v>81</v>
      </c>
      <c r="K172" t="s">
        <v>444</v>
      </c>
      <c r="L172">
        <v>801.77</v>
      </c>
      <c r="M172">
        <v>1218.92</v>
      </c>
      <c r="N172">
        <v>0.254</v>
      </c>
      <c r="O172">
        <v>16</v>
      </c>
    </row>
    <row r="173" spans="1:15" x14ac:dyDescent="0.35">
      <c r="A173" t="s">
        <v>445</v>
      </c>
      <c r="B173" s="1">
        <v>45190</v>
      </c>
      <c r="C173" s="1">
        <v>45209</v>
      </c>
      <c r="D173" t="s">
        <v>45</v>
      </c>
      <c r="E173" t="s">
        <v>46</v>
      </c>
      <c r="F173" t="s">
        <v>214</v>
      </c>
      <c r="G173" t="s">
        <v>27</v>
      </c>
      <c r="H173" t="s">
        <v>28</v>
      </c>
      <c r="I173" t="s">
        <v>145</v>
      </c>
      <c r="J173" t="s">
        <v>22</v>
      </c>
      <c r="K173" t="s">
        <v>446</v>
      </c>
      <c r="L173">
        <v>845.63</v>
      </c>
      <c r="M173">
        <v>2062.12</v>
      </c>
      <c r="N173">
        <v>0.13400000000000001</v>
      </c>
      <c r="O173">
        <v>5</v>
      </c>
    </row>
    <row r="174" spans="1:15" x14ac:dyDescent="0.35">
      <c r="A174" t="s">
        <v>447</v>
      </c>
      <c r="B174" s="1">
        <v>44981</v>
      </c>
      <c r="C174" s="1">
        <v>44994</v>
      </c>
      <c r="D174" t="s">
        <v>52</v>
      </c>
      <c r="E174" t="s">
        <v>122</v>
      </c>
      <c r="F174" t="s">
        <v>387</v>
      </c>
      <c r="G174" t="s">
        <v>105</v>
      </c>
      <c r="H174" t="s">
        <v>28</v>
      </c>
      <c r="I174" t="s">
        <v>110</v>
      </c>
      <c r="J174" t="s">
        <v>22</v>
      </c>
      <c r="K174" t="s">
        <v>448</v>
      </c>
      <c r="L174">
        <v>6.85</v>
      </c>
      <c r="M174">
        <v>10.18</v>
      </c>
      <c r="N174">
        <v>4.7E-2</v>
      </c>
      <c r="O174">
        <v>10</v>
      </c>
    </row>
    <row r="175" spans="1:15" x14ac:dyDescent="0.35">
      <c r="A175" t="s">
        <v>449</v>
      </c>
      <c r="B175" s="1">
        <v>45798</v>
      </c>
      <c r="C175" s="1">
        <v>45796</v>
      </c>
      <c r="D175" t="s">
        <v>16</v>
      </c>
      <c r="E175" t="s">
        <v>148</v>
      </c>
      <c r="F175" t="s">
        <v>149</v>
      </c>
      <c r="G175" t="s">
        <v>39</v>
      </c>
      <c r="H175" t="s">
        <v>55</v>
      </c>
      <c r="I175" t="s">
        <v>68</v>
      </c>
      <c r="J175" t="s">
        <v>57</v>
      </c>
      <c r="K175" t="s">
        <v>450</v>
      </c>
      <c r="L175">
        <v>1263.8399999999999</v>
      </c>
      <c r="M175">
        <v>2281.7199999999998</v>
      </c>
      <c r="N175">
        <v>7.8E-2</v>
      </c>
      <c r="O175">
        <v>15</v>
      </c>
    </row>
    <row r="176" spans="1:15" x14ac:dyDescent="0.35">
      <c r="A176" t="s">
        <v>451</v>
      </c>
      <c r="B176" s="1">
        <v>45435</v>
      </c>
      <c r="C176" s="1">
        <v>45446</v>
      </c>
      <c r="D176" t="s">
        <v>16</v>
      </c>
      <c r="E176" t="s">
        <v>148</v>
      </c>
      <c r="F176" t="s">
        <v>149</v>
      </c>
      <c r="G176" t="s">
        <v>62</v>
      </c>
      <c r="H176" t="s">
        <v>55</v>
      </c>
      <c r="I176" t="s">
        <v>84</v>
      </c>
      <c r="J176" t="s">
        <v>30</v>
      </c>
      <c r="K176" t="s">
        <v>452</v>
      </c>
      <c r="L176">
        <v>180.89</v>
      </c>
      <c r="M176">
        <v>249.57</v>
      </c>
      <c r="N176">
        <v>2.1999999999999999E-2</v>
      </c>
      <c r="O176">
        <v>8</v>
      </c>
    </row>
    <row r="177" spans="1:15" x14ac:dyDescent="0.35">
      <c r="A177" t="s">
        <v>453</v>
      </c>
      <c r="B177" s="1">
        <v>45761</v>
      </c>
      <c r="C177" s="1">
        <v>45781</v>
      </c>
      <c r="D177" t="s">
        <v>78</v>
      </c>
      <c r="E177" t="s">
        <v>108</v>
      </c>
      <c r="F177" t="s">
        <v>109</v>
      </c>
      <c r="G177" t="s">
        <v>105</v>
      </c>
      <c r="H177" t="s">
        <v>40</v>
      </c>
      <c r="I177" t="s">
        <v>95</v>
      </c>
      <c r="J177" t="s">
        <v>64</v>
      </c>
      <c r="K177" t="s">
        <v>454</v>
      </c>
      <c r="L177">
        <v>1413.87</v>
      </c>
      <c r="M177">
        <v>3275</v>
      </c>
      <c r="N177">
        <v>0.255</v>
      </c>
      <c r="O177">
        <v>38</v>
      </c>
    </row>
    <row r="178" spans="1:15" x14ac:dyDescent="0.35">
      <c r="A178" t="s">
        <v>455</v>
      </c>
      <c r="B178" s="1">
        <v>45165</v>
      </c>
      <c r="C178" s="1">
        <v>45180</v>
      </c>
      <c r="D178" t="s">
        <v>78</v>
      </c>
      <c r="E178" t="s">
        <v>108</v>
      </c>
      <c r="F178" t="s">
        <v>152</v>
      </c>
      <c r="G178" t="s">
        <v>48</v>
      </c>
      <c r="H178" t="s">
        <v>40</v>
      </c>
      <c r="I178" t="s">
        <v>126</v>
      </c>
      <c r="J178" t="s">
        <v>30</v>
      </c>
      <c r="K178" t="s">
        <v>456</v>
      </c>
      <c r="L178">
        <v>943.79</v>
      </c>
      <c r="M178">
        <v>1913.76</v>
      </c>
      <c r="N178">
        <v>9.0999999999999998E-2</v>
      </c>
      <c r="O178">
        <v>9</v>
      </c>
    </row>
    <row r="179" spans="1:15" x14ac:dyDescent="0.35">
      <c r="A179" t="s">
        <v>457</v>
      </c>
      <c r="B179" s="1">
        <v>45325</v>
      </c>
      <c r="C179" s="1">
        <v>45343</v>
      </c>
      <c r="D179" t="s">
        <v>78</v>
      </c>
      <c r="E179" t="s">
        <v>79</v>
      </c>
      <c r="F179" t="s">
        <v>335</v>
      </c>
      <c r="G179" t="s">
        <v>19</v>
      </c>
      <c r="H179" t="s">
        <v>20</v>
      </c>
      <c r="I179" t="s">
        <v>92</v>
      </c>
      <c r="J179" t="s">
        <v>22</v>
      </c>
      <c r="K179" t="s">
        <v>458</v>
      </c>
      <c r="L179">
        <v>39.229999999999997</v>
      </c>
      <c r="M179">
        <v>30.09</v>
      </c>
      <c r="N179">
        <v>0.17699999999999999</v>
      </c>
      <c r="O179">
        <v>13</v>
      </c>
    </row>
    <row r="180" spans="1:15" x14ac:dyDescent="0.35">
      <c r="A180" t="s">
        <v>459</v>
      </c>
      <c r="B180" s="1">
        <v>45021</v>
      </c>
      <c r="C180" s="1">
        <v>45032</v>
      </c>
      <c r="D180" t="s">
        <v>52</v>
      </c>
      <c r="E180" t="s">
        <v>53</v>
      </c>
      <c r="F180" t="s">
        <v>179</v>
      </c>
      <c r="G180" t="s">
        <v>39</v>
      </c>
      <c r="H180" t="s">
        <v>28</v>
      </c>
      <c r="I180" t="s">
        <v>68</v>
      </c>
      <c r="J180" t="s">
        <v>64</v>
      </c>
      <c r="K180" t="s">
        <v>460</v>
      </c>
      <c r="L180">
        <v>213.1</v>
      </c>
      <c r="M180">
        <v>501.31</v>
      </c>
      <c r="N180">
        <v>5.6000000000000001E-2</v>
      </c>
      <c r="O180">
        <v>15</v>
      </c>
    </row>
    <row r="181" spans="1:15" x14ac:dyDescent="0.35">
      <c r="A181" t="s">
        <v>461</v>
      </c>
      <c r="B181" s="1">
        <v>45890</v>
      </c>
      <c r="C181" s="1">
        <v>45912</v>
      </c>
      <c r="D181" t="s">
        <v>45</v>
      </c>
      <c r="E181" t="s">
        <v>116</v>
      </c>
      <c r="F181" t="s">
        <v>117</v>
      </c>
      <c r="G181" t="s">
        <v>27</v>
      </c>
      <c r="H181" t="s">
        <v>20</v>
      </c>
      <c r="I181" t="s">
        <v>56</v>
      </c>
      <c r="J181" t="s">
        <v>30</v>
      </c>
      <c r="K181" t="s">
        <v>462</v>
      </c>
      <c r="L181">
        <v>352.66</v>
      </c>
      <c r="M181">
        <v>411.18</v>
      </c>
      <c r="N181">
        <v>0.17299999999999999</v>
      </c>
      <c r="O181">
        <v>13</v>
      </c>
    </row>
    <row r="182" spans="1:15" x14ac:dyDescent="0.35">
      <c r="A182" t="s">
        <v>463</v>
      </c>
      <c r="B182" s="1">
        <v>45915</v>
      </c>
      <c r="C182" s="1">
        <v>45918</v>
      </c>
      <c r="D182" t="s">
        <v>52</v>
      </c>
      <c r="E182" t="s">
        <v>73</v>
      </c>
      <c r="F182" t="s">
        <v>225</v>
      </c>
      <c r="G182" t="s">
        <v>39</v>
      </c>
      <c r="H182" t="s">
        <v>98</v>
      </c>
      <c r="I182" t="s">
        <v>49</v>
      </c>
      <c r="J182" t="s">
        <v>81</v>
      </c>
      <c r="K182" t="s">
        <v>464</v>
      </c>
      <c r="L182">
        <v>5.5</v>
      </c>
      <c r="M182">
        <v>5.92</v>
      </c>
      <c r="N182">
        <v>0.21199999999999999</v>
      </c>
      <c r="O182">
        <v>4</v>
      </c>
    </row>
    <row r="183" spans="1:15" x14ac:dyDescent="0.35">
      <c r="A183" t="s">
        <v>465</v>
      </c>
      <c r="B183" s="1">
        <v>45568</v>
      </c>
      <c r="C183" s="1">
        <v>45576</v>
      </c>
      <c r="D183" t="s">
        <v>45</v>
      </c>
      <c r="E183" t="s">
        <v>116</v>
      </c>
      <c r="F183" t="s">
        <v>338</v>
      </c>
      <c r="G183" t="s">
        <v>105</v>
      </c>
      <c r="H183" t="s">
        <v>98</v>
      </c>
      <c r="I183" t="s">
        <v>56</v>
      </c>
      <c r="J183" t="s">
        <v>42</v>
      </c>
      <c r="K183" t="s">
        <v>466</v>
      </c>
      <c r="L183">
        <v>1132.6099999999999</v>
      </c>
      <c r="M183">
        <v>2206.63</v>
      </c>
      <c r="N183">
        <v>6.3E-2</v>
      </c>
      <c r="O183">
        <v>20</v>
      </c>
    </row>
    <row r="184" spans="1:15" x14ac:dyDescent="0.35">
      <c r="A184" t="s">
        <v>467</v>
      </c>
      <c r="B184" s="1">
        <v>45690</v>
      </c>
      <c r="C184" s="1">
        <v>45720</v>
      </c>
      <c r="D184" t="s">
        <v>45</v>
      </c>
      <c r="E184" t="s">
        <v>46</v>
      </c>
      <c r="F184" t="s">
        <v>47</v>
      </c>
      <c r="G184" t="s">
        <v>27</v>
      </c>
      <c r="H184" t="s">
        <v>55</v>
      </c>
      <c r="I184" t="s">
        <v>49</v>
      </c>
      <c r="J184" t="s">
        <v>81</v>
      </c>
      <c r="K184" t="s">
        <v>468</v>
      </c>
      <c r="L184">
        <v>766.59</v>
      </c>
      <c r="M184">
        <v>1912.8</v>
      </c>
      <c r="N184">
        <v>0.19600000000000001</v>
      </c>
      <c r="O184">
        <v>5</v>
      </c>
    </row>
    <row r="185" spans="1:15" x14ac:dyDescent="0.35">
      <c r="A185" t="s">
        <v>469</v>
      </c>
      <c r="B185" s="1">
        <v>45157</v>
      </c>
      <c r="C185" s="1">
        <v>45161</v>
      </c>
      <c r="D185" t="s">
        <v>16</v>
      </c>
      <c r="E185" t="s">
        <v>25</v>
      </c>
      <c r="F185" t="s">
        <v>67</v>
      </c>
      <c r="G185" t="s">
        <v>62</v>
      </c>
      <c r="H185" t="s">
        <v>28</v>
      </c>
      <c r="I185" t="s">
        <v>29</v>
      </c>
      <c r="J185" t="s">
        <v>64</v>
      </c>
      <c r="K185" t="s">
        <v>470</v>
      </c>
      <c r="L185">
        <v>790.63</v>
      </c>
      <c r="M185">
        <v>1382.31</v>
      </c>
      <c r="N185">
        <v>0.10100000000000001</v>
      </c>
      <c r="O185">
        <v>7</v>
      </c>
    </row>
    <row r="186" spans="1:15" x14ac:dyDescent="0.35">
      <c r="A186" t="s">
        <v>471</v>
      </c>
      <c r="B186" s="1">
        <v>45587</v>
      </c>
      <c r="C186" s="1">
        <v>45594</v>
      </c>
      <c r="D186" t="s">
        <v>16</v>
      </c>
      <c r="E186" t="s">
        <v>25</v>
      </c>
      <c r="F186" t="s">
        <v>26</v>
      </c>
      <c r="G186" t="s">
        <v>105</v>
      </c>
      <c r="H186" t="s">
        <v>55</v>
      </c>
      <c r="I186" t="s">
        <v>110</v>
      </c>
      <c r="J186" t="s">
        <v>64</v>
      </c>
      <c r="K186" t="s">
        <v>472</v>
      </c>
      <c r="L186">
        <v>1023.06</v>
      </c>
      <c r="M186">
        <v>1355.61</v>
      </c>
      <c r="N186">
        <v>0.153</v>
      </c>
      <c r="O186">
        <v>23</v>
      </c>
    </row>
    <row r="187" spans="1:15" x14ac:dyDescent="0.35">
      <c r="A187" t="s">
        <v>473</v>
      </c>
      <c r="B187" s="1">
        <v>45099</v>
      </c>
      <c r="C187" s="1">
        <v>45128</v>
      </c>
      <c r="D187" t="s">
        <v>78</v>
      </c>
      <c r="E187" t="s">
        <v>90</v>
      </c>
      <c r="F187" t="s">
        <v>138</v>
      </c>
      <c r="G187" t="s">
        <v>19</v>
      </c>
      <c r="H187" t="s">
        <v>20</v>
      </c>
      <c r="I187" t="s">
        <v>29</v>
      </c>
      <c r="J187" t="s">
        <v>81</v>
      </c>
      <c r="K187" t="s">
        <v>474</v>
      </c>
      <c r="L187">
        <v>734.34</v>
      </c>
      <c r="M187">
        <v>887.9</v>
      </c>
      <c r="N187">
        <v>2.5000000000000001E-2</v>
      </c>
      <c r="O187">
        <v>12</v>
      </c>
    </row>
    <row r="188" spans="1:15" x14ac:dyDescent="0.35">
      <c r="A188" t="s">
        <v>475</v>
      </c>
      <c r="B188" s="1">
        <v>45670</v>
      </c>
      <c r="C188" s="1">
        <v>45696</v>
      </c>
      <c r="D188" t="s">
        <v>78</v>
      </c>
      <c r="E188" t="s">
        <v>90</v>
      </c>
      <c r="F188" t="s">
        <v>217</v>
      </c>
      <c r="G188" t="s">
        <v>39</v>
      </c>
      <c r="I188" t="s">
        <v>63</v>
      </c>
      <c r="J188" t="s">
        <v>64</v>
      </c>
      <c r="K188" t="s">
        <v>476</v>
      </c>
      <c r="L188">
        <v>594.74</v>
      </c>
      <c r="M188">
        <v>1020.69</v>
      </c>
      <c r="N188">
        <v>0.21099999999999999</v>
      </c>
      <c r="O188">
        <v>6</v>
      </c>
    </row>
    <row r="189" spans="1:15" x14ac:dyDescent="0.35">
      <c r="A189" t="s">
        <v>360</v>
      </c>
      <c r="B189" s="1">
        <v>44955</v>
      </c>
      <c r="C189" s="1">
        <v>44985</v>
      </c>
      <c r="D189" t="s">
        <v>45</v>
      </c>
      <c r="E189" t="s">
        <v>60</v>
      </c>
      <c r="F189" t="s">
        <v>61</v>
      </c>
      <c r="G189" t="s">
        <v>39</v>
      </c>
      <c r="H189" t="s">
        <v>20</v>
      </c>
      <c r="I189" t="s">
        <v>56</v>
      </c>
      <c r="J189" t="s">
        <v>81</v>
      </c>
      <c r="K189" t="s">
        <v>477</v>
      </c>
      <c r="L189">
        <v>1262.0999999999999</v>
      </c>
      <c r="M189">
        <v>1395.53</v>
      </c>
      <c r="N189">
        <v>0.23300000000000001</v>
      </c>
      <c r="O189">
        <v>25</v>
      </c>
    </row>
    <row r="190" spans="1:15" x14ac:dyDescent="0.35">
      <c r="A190" t="s">
        <v>478</v>
      </c>
      <c r="B190" s="1">
        <v>45126</v>
      </c>
      <c r="C190" s="1">
        <v>45138</v>
      </c>
      <c r="D190" t="s">
        <v>52</v>
      </c>
      <c r="E190" t="s">
        <v>73</v>
      </c>
      <c r="F190" t="s">
        <v>225</v>
      </c>
      <c r="G190" t="s">
        <v>19</v>
      </c>
      <c r="H190" t="s">
        <v>20</v>
      </c>
      <c r="I190" t="s">
        <v>21</v>
      </c>
      <c r="J190" t="s">
        <v>64</v>
      </c>
      <c r="K190" t="s">
        <v>479</v>
      </c>
      <c r="L190">
        <v>1334.64</v>
      </c>
      <c r="M190">
        <v>2273.42</v>
      </c>
      <c r="N190">
        <v>0.11799999999999999</v>
      </c>
      <c r="O190">
        <v>14</v>
      </c>
    </row>
    <row r="191" spans="1:15" x14ac:dyDescent="0.35">
      <c r="A191" t="s">
        <v>480</v>
      </c>
      <c r="B191" s="1">
        <v>45431</v>
      </c>
      <c r="C191" s="1">
        <v>45451</v>
      </c>
      <c r="D191" t="s">
        <v>52</v>
      </c>
      <c r="E191" t="s">
        <v>73</v>
      </c>
      <c r="F191" t="s">
        <v>87</v>
      </c>
      <c r="G191" t="s">
        <v>62</v>
      </c>
      <c r="H191" t="s">
        <v>20</v>
      </c>
      <c r="I191" t="s">
        <v>63</v>
      </c>
      <c r="J191" t="s">
        <v>64</v>
      </c>
      <c r="K191" t="s">
        <v>481</v>
      </c>
      <c r="L191">
        <v>1075.9000000000001</v>
      </c>
      <c r="M191">
        <v>1242.1500000000001</v>
      </c>
      <c r="N191">
        <v>1.2E-2</v>
      </c>
      <c r="O191">
        <v>7</v>
      </c>
    </row>
    <row r="192" spans="1:15" x14ac:dyDescent="0.35">
      <c r="A192" t="s">
        <v>482</v>
      </c>
      <c r="B192" s="1">
        <v>45325</v>
      </c>
      <c r="C192" s="1">
        <v>45341</v>
      </c>
      <c r="D192" t="s">
        <v>45</v>
      </c>
      <c r="E192" t="s">
        <v>116</v>
      </c>
      <c r="F192" t="s">
        <v>117</v>
      </c>
      <c r="G192" t="s">
        <v>62</v>
      </c>
      <c r="H192" t="s">
        <v>28</v>
      </c>
      <c r="I192" t="s">
        <v>92</v>
      </c>
      <c r="J192" t="s">
        <v>57</v>
      </c>
      <c r="K192" t="s">
        <v>483</v>
      </c>
      <c r="L192">
        <v>993.75</v>
      </c>
      <c r="M192">
        <v>1310.29</v>
      </c>
      <c r="N192">
        <v>0.215</v>
      </c>
      <c r="O192">
        <v>19</v>
      </c>
    </row>
    <row r="193" spans="1:15" x14ac:dyDescent="0.35">
      <c r="A193" t="s">
        <v>484</v>
      </c>
      <c r="B193" s="1">
        <v>45146</v>
      </c>
      <c r="C193" s="1">
        <v>45160</v>
      </c>
      <c r="D193" t="s">
        <v>78</v>
      </c>
      <c r="E193" t="s">
        <v>108</v>
      </c>
      <c r="F193" t="s">
        <v>109</v>
      </c>
      <c r="G193" t="s">
        <v>39</v>
      </c>
      <c r="H193" t="s">
        <v>98</v>
      </c>
      <c r="I193" t="s">
        <v>126</v>
      </c>
      <c r="J193" t="s">
        <v>64</v>
      </c>
      <c r="K193" t="s">
        <v>485</v>
      </c>
      <c r="L193">
        <v>446.69</v>
      </c>
      <c r="M193">
        <v>967.25</v>
      </c>
      <c r="N193">
        <v>9.4E-2</v>
      </c>
      <c r="O193">
        <v>10</v>
      </c>
    </row>
    <row r="194" spans="1:15" x14ac:dyDescent="0.35">
      <c r="A194" t="s">
        <v>486</v>
      </c>
      <c r="B194" s="1">
        <v>45516</v>
      </c>
      <c r="C194" s="1">
        <v>45538</v>
      </c>
      <c r="D194" t="s">
        <v>52</v>
      </c>
      <c r="E194" t="s">
        <v>122</v>
      </c>
      <c r="F194" t="s">
        <v>326</v>
      </c>
      <c r="G194" t="s">
        <v>48</v>
      </c>
      <c r="H194" t="s">
        <v>55</v>
      </c>
      <c r="I194" t="s">
        <v>34</v>
      </c>
      <c r="J194" t="s">
        <v>57</v>
      </c>
      <c r="K194" t="s">
        <v>487</v>
      </c>
      <c r="L194">
        <v>797.8</v>
      </c>
      <c r="M194">
        <v>886.22</v>
      </c>
      <c r="N194">
        <v>0.23599999999999999</v>
      </c>
      <c r="O194">
        <v>36</v>
      </c>
    </row>
    <row r="195" spans="1:15" x14ac:dyDescent="0.35">
      <c r="A195" t="s">
        <v>488</v>
      </c>
      <c r="B195" s="1">
        <v>45214</v>
      </c>
      <c r="C195" s="1">
        <v>45243</v>
      </c>
      <c r="D195" t="s">
        <v>45</v>
      </c>
      <c r="E195" t="s">
        <v>116</v>
      </c>
      <c r="F195" t="s">
        <v>117</v>
      </c>
      <c r="G195" t="s">
        <v>39</v>
      </c>
      <c r="H195" t="s">
        <v>55</v>
      </c>
      <c r="I195" t="s">
        <v>29</v>
      </c>
      <c r="J195" t="s">
        <v>30</v>
      </c>
      <c r="K195" t="s">
        <v>489</v>
      </c>
      <c r="L195">
        <v>986.44</v>
      </c>
      <c r="M195">
        <v>790.61</v>
      </c>
      <c r="N195">
        <v>7.1999999999999995E-2</v>
      </c>
      <c r="O195">
        <v>6</v>
      </c>
    </row>
    <row r="196" spans="1:15" x14ac:dyDescent="0.35">
      <c r="A196" t="s">
        <v>490</v>
      </c>
      <c r="B196" s="1">
        <v>45050</v>
      </c>
      <c r="C196" s="1">
        <v>45072</v>
      </c>
      <c r="D196" t="s">
        <v>52</v>
      </c>
      <c r="E196" t="s">
        <v>122</v>
      </c>
      <c r="F196" t="s">
        <v>167</v>
      </c>
      <c r="G196" t="s">
        <v>105</v>
      </c>
      <c r="H196" t="s">
        <v>28</v>
      </c>
      <c r="I196" t="s">
        <v>29</v>
      </c>
      <c r="J196" t="s">
        <v>35</v>
      </c>
      <c r="K196" t="s">
        <v>491</v>
      </c>
      <c r="L196">
        <v>249.71</v>
      </c>
      <c r="M196">
        <v>361.33</v>
      </c>
      <c r="N196">
        <v>9.4E-2</v>
      </c>
      <c r="O196">
        <v>12</v>
      </c>
    </row>
    <row r="197" spans="1:15" x14ac:dyDescent="0.35">
      <c r="A197" t="s">
        <v>492</v>
      </c>
      <c r="B197" s="1">
        <v>45557</v>
      </c>
      <c r="C197" s="1">
        <v>45566</v>
      </c>
      <c r="D197" t="s">
        <v>52</v>
      </c>
      <c r="E197" t="s">
        <v>73</v>
      </c>
      <c r="F197" t="s">
        <v>74</v>
      </c>
      <c r="G197" t="s">
        <v>39</v>
      </c>
      <c r="H197" t="s">
        <v>28</v>
      </c>
      <c r="I197" t="s">
        <v>95</v>
      </c>
      <c r="J197" t="s">
        <v>64</v>
      </c>
      <c r="K197" t="s">
        <v>493</v>
      </c>
      <c r="L197">
        <v>1378.8</v>
      </c>
      <c r="M197">
        <v>1952.04</v>
      </c>
      <c r="N197">
        <v>0.159</v>
      </c>
      <c r="O197">
        <v>19</v>
      </c>
    </row>
    <row r="198" spans="1:15" x14ac:dyDescent="0.35">
      <c r="A198" t="s">
        <v>494</v>
      </c>
      <c r="B198" s="1">
        <v>45588</v>
      </c>
      <c r="C198" s="1">
        <v>45610</v>
      </c>
      <c r="D198" t="s">
        <v>45</v>
      </c>
      <c r="E198" t="s">
        <v>46</v>
      </c>
      <c r="F198" t="s">
        <v>47</v>
      </c>
      <c r="G198" t="s">
        <v>39</v>
      </c>
      <c r="H198" t="s">
        <v>98</v>
      </c>
      <c r="I198" t="s">
        <v>56</v>
      </c>
      <c r="J198" t="s">
        <v>42</v>
      </c>
      <c r="K198" t="s">
        <v>495</v>
      </c>
      <c r="L198">
        <v>1406.4</v>
      </c>
      <c r="M198">
        <v>1564.76</v>
      </c>
      <c r="N198">
        <v>0.185</v>
      </c>
      <c r="O198">
        <v>17</v>
      </c>
    </row>
    <row r="199" spans="1:15" x14ac:dyDescent="0.35">
      <c r="A199" t="s">
        <v>496</v>
      </c>
      <c r="B199" s="1">
        <v>45333</v>
      </c>
      <c r="C199" s="1">
        <v>45354</v>
      </c>
      <c r="D199" t="s">
        <v>16</v>
      </c>
      <c r="E199" t="s">
        <v>17</v>
      </c>
      <c r="F199" t="s">
        <v>18</v>
      </c>
      <c r="G199" t="s">
        <v>105</v>
      </c>
      <c r="H199" t="s">
        <v>28</v>
      </c>
      <c r="I199" t="s">
        <v>56</v>
      </c>
      <c r="J199" t="s">
        <v>42</v>
      </c>
      <c r="K199" t="s">
        <v>497</v>
      </c>
      <c r="L199">
        <v>516.86</v>
      </c>
      <c r="M199">
        <v>852.54</v>
      </c>
      <c r="N199">
        <v>5.0999999999999997E-2</v>
      </c>
      <c r="O199">
        <v>14</v>
      </c>
    </row>
    <row r="200" spans="1:15" x14ac:dyDescent="0.35">
      <c r="A200" t="s">
        <v>498</v>
      </c>
      <c r="B200" s="1">
        <v>44956</v>
      </c>
      <c r="C200" s="1">
        <v>44978</v>
      </c>
      <c r="D200" t="s">
        <v>78</v>
      </c>
      <c r="E200" t="s">
        <v>79</v>
      </c>
      <c r="F200" t="s">
        <v>159</v>
      </c>
      <c r="G200" t="s">
        <v>62</v>
      </c>
      <c r="H200" t="s">
        <v>40</v>
      </c>
      <c r="I200" t="s">
        <v>41</v>
      </c>
      <c r="J200" t="s">
        <v>35</v>
      </c>
      <c r="K200" t="s">
        <v>499</v>
      </c>
      <c r="L200">
        <v>1142.8800000000001</v>
      </c>
      <c r="M200">
        <v>1465.29</v>
      </c>
      <c r="N200">
        <v>0.186</v>
      </c>
      <c r="O200">
        <v>7</v>
      </c>
    </row>
    <row r="201" spans="1:15" x14ac:dyDescent="0.35">
      <c r="A201" t="s">
        <v>500</v>
      </c>
      <c r="B201" s="1">
        <v>45030</v>
      </c>
      <c r="C201" s="1">
        <v>45059</v>
      </c>
      <c r="D201" t="s">
        <v>78</v>
      </c>
      <c r="E201" t="s">
        <v>79</v>
      </c>
      <c r="F201" t="s">
        <v>335</v>
      </c>
      <c r="G201" t="s">
        <v>48</v>
      </c>
      <c r="H201" t="s">
        <v>98</v>
      </c>
      <c r="I201" t="s">
        <v>29</v>
      </c>
      <c r="J201" t="s">
        <v>30</v>
      </c>
      <c r="K201" t="s">
        <v>501</v>
      </c>
      <c r="L201">
        <v>1320.33</v>
      </c>
      <c r="M201">
        <v>2645.23</v>
      </c>
      <c r="N201">
        <v>0.155</v>
      </c>
      <c r="O201">
        <v>25</v>
      </c>
    </row>
    <row r="202" spans="1:15" x14ac:dyDescent="0.35">
      <c r="A202" t="s">
        <v>502</v>
      </c>
      <c r="B202" s="1">
        <v>44939</v>
      </c>
      <c r="C202" s="1">
        <v>44945</v>
      </c>
      <c r="D202" t="s">
        <v>52</v>
      </c>
      <c r="E202" t="s">
        <v>122</v>
      </c>
      <c r="F202" t="s">
        <v>123</v>
      </c>
      <c r="G202" t="s">
        <v>19</v>
      </c>
      <c r="H202" t="s">
        <v>98</v>
      </c>
      <c r="I202" t="s">
        <v>92</v>
      </c>
      <c r="J202" t="s">
        <v>42</v>
      </c>
      <c r="K202" t="s">
        <v>503</v>
      </c>
      <c r="L202">
        <v>833.57</v>
      </c>
      <c r="M202">
        <v>881.57</v>
      </c>
      <c r="N202">
        <v>5.7000000000000002E-2</v>
      </c>
      <c r="O202">
        <v>18</v>
      </c>
    </row>
    <row r="203" spans="1:15" x14ac:dyDescent="0.35">
      <c r="A203" t="s">
        <v>504</v>
      </c>
      <c r="B203" s="1">
        <v>45303</v>
      </c>
      <c r="C203" s="1">
        <v>45320</v>
      </c>
      <c r="D203" t="s">
        <v>52</v>
      </c>
      <c r="E203" t="s">
        <v>122</v>
      </c>
      <c r="F203" t="s">
        <v>123</v>
      </c>
      <c r="G203" t="s">
        <v>27</v>
      </c>
      <c r="H203" t="s">
        <v>55</v>
      </c>
      <c r="I203" t="s">
        <v>75</v>
      </c>
      <c r="J203" t="s">
        <v>30</v>
      </c>
      <c r="K203" t="s">
        <v>505</v>
      </c>
      <c r="L203">
        <v>493.76</v>
      </c>
      <c r="M203">
        <v>625.04</v>
      </c>
      <c r="N203">
        <v>0.25800000000000001</v>
      </c>
      <c r="O203">
        <v>10</v>
      </c>
    </row>
    <row r="204" spans="1:15" x14ac:dyDescent="0.35">
      <c r="A204" t="s">
        <v>506</v>
      </c>
      <c r="B204" s="1">
        <v>45153</v>
      </c>
      <c r="C204" s="1">
        <v>45176</v>
      </c>
      <c r="D204" t="s">
        <v>52</v>
      </c>
      <c r="E204" t="s">
        <v>122</v>
      </c>
      <c r="F204" t="s">
        <v>387</v>
      </c>
      <c r="G204" t="s">
        <v>105</v>
      </c>
      <c r="H204" t="s">
        <v>28</v>
      </c>
      <c r="I204" t="s">
        <v>95</v>
      </c>
      <c r="J204" t="s">
        <v>42</v>
      </c>
      <c r="K204" t="s">
        <v>507</v>
      </c>
      <c r="L204">
        <v>590.33000000000004</v>
      </c>
      <c r="M204">
        <v>973.04</v>
      </c>
      <c r="N204">
        <v>0</v>
      </c>
      <c r="O204">
        <v>26</v>
      </c>
    </row>
    <row r="205" spans="1:15" x14ac:dyDescent="0.35">
      <c r="A205" t="s">
        <v>508</v>
      </c>
      <c r="B205" s="1">
        <v>44946</v>
      </c>
      <c r="C205" s="1">
        <v>44960</v>
      </c>
      <c r="D205" t="s">
        <v>16</v>
      </c>
      <c r="E205" t="s">
        <v>17</v>
      </c>
      <c r="F205" t="s">
        <v>18</v>
      </c>
      <c r="G205" t="s">
        <v>19</v>
      </c>
      <c r="H205" t="s">
        <v>20</v>
      </c>
      <c r="I205" t="s">
        <v>110</v>
      </c>
      <c r="J205" t="s">
        <v>35</v>
      </c>
      <c r="K205" t="s">
        <v>509</v>
      </c>
      <c r="L205">
        <v>884.36</v>
      </c>
      <c r="M205">
        <v>1545.34</v>
      </c>
      <c r="N205">
        <v>0.24299999999999999</v>
      </c>
      <c r="O205">
        <v>41</v>
      </c>
    </row>
    <row r="206" spans="1:15" x14ac:dyDescent="0.35">
      <c r="A206" t="s">
        <v>510</v>
      </c>
      <c r="B206" s="1">
        <v>45692</v>
      </c>
      <c r="C206" s="1">
        <v>45713</v>
      </c>
      <c r="D206" t="s">
        <v>78</v>
      </c>
      <c r="E206" t="s">
        <v>108</v>
      </c>
      <c r="F206" t="s">
        <v>109</v>
      </c>
      <c r="G206" t="s">
        <v>19</v>
      </c>
      <c r="H206" t="s">
        <v>40</v>
      </c>
      <c r="I206" t="s">
        <v>145</v>
      </c>
      <c r="J206" t="s">
        <v>64</v>
      </c>
      <c r="K206" t="s">
        <v>511</v>
      </c>
      <c r="L206">
        <v>1016.32</v>
      </c>
      <c r="M206">
        <v>2253.42</v>
      </c>
      <c r="N206">
        <v>5.5E-2</v>
      </c>
      <c r="O206">
        <v>12</v>
      </c>
    </row>
    <row r="207" spans="1:15" x14ac:dyDescent="0.35">
      <c r="A207" t="s">
        <v>512</v>
      </c>
      <c r="B207" s="1">
        <v>45035</v>
      </c>
      <c r="C207" s="1">
        <v>45044</v>
      </c>
      <c r="D207" t="s">
        <v>78</v>
      </c>
      <c r="E207" t="s">
        <v>79</v>
      </c>
      <c r="F207" t="s">
        <v>80</v>
      </c>
      <c r="G207" t="s">
        <v>27</v>
      </c>
      <c r="H207" t="s">
        <v>28</v>
      </c>
      <c r="I207" t="s">
        <v>63</v>
      </c>
      <c r="J207" t="s">
        <v>64</v>
      </c>
      <c r="K207" t="s">
        <v>513</v>
      </c>
      <c r="L207">
        <v>1178.42</v>
      </c>
      <c r="M207">
        <v>2446.56</v>
      </c>
      <c r="N207">
        <v>2.9000000000000001E-2</v>
      </c>
      <c r="O207">
        <v>11</v>
      </c>
    </row>
    <row r="208" spans="1:15" x14ac:dyDescent="0.35">
      <c r="A208" t="s">
        <v>514</v>
      </c>
      <c r="B208" s="1">
        <v>45109</v>
      </c>
      <c r="C208" s="1">
        <v>45139</v>
      </c>
      <c r="D208" t="s">
        <v>78</v>
      </c>
      <c r="E208" t="s">
        <v>108</v>
      </c>
      <c r="F208" t="s">
        <v>109</v>
      </c>
      <c r="G208" t="s">
        <v>62</v>
      </c>
      <c r="H208" t="s">
        <v>20</v>
      </c>
      <c r="I208" t="s">
        <v>56</v>
      </c>
      <c r="J208" t="s">
        <v>22</v>
      </c>
      <c r="K208" t="s">
        <v>515</v>
      </c>
      <c r="L208">
        <v>137.46</v>
      </c>
      <c r="M208">
        <v>188.3</v>
      </c>
      <c r="N208">
        <v>3.7999999999999999E-2</v>
      </c>
      <c r="O208">
        <v>37</v>
      </c>
    </row>
    <row r="209" spans="1:15" x14ac:dyDescent="0.35">
      <c r="A209" t="s">
        <v>516</v>
      </c>
      <c r="B209" s="1">
        <v>45678</v>
      </c>
      <c r="C209" s="1">
        <v>45702</v>
      </c>
      <c r="D209" t="s">
        <v>16</v>
      </c>
      <c r="E209" t="s">
        <v>17</v>
      </c>
      <c r="F209" t="s">
        <v>33</v>
      </c>
      <c r="G209" t="s">
        <v>62</v>
      </c>
      <c r="H209" t="s">
        <v>20</v>
      </c>
      <c r="I209" t="s">
        <v>29</v>
      </c>
      <c r="J209" t="s">
        <v>81</v>
      </c>
      <c r="K209" t="s">
        <v>517</v>
      </c>
      <c r="L209">
        <v>1030.44</v>
      </c>
      <c r="M209">
        <v>2562.84</v>
      </c>
      <c r="N209">
        <v>0.14799999999999999</v>
      </c>
      <c r="O209">
        <v>13</v>
      </c>
    </row>
    <row r="210" spans="1:15" x14ac:dyDescent="0.35">
      <c r="A210" t="s">
        <v>518</v>
      </c>
      <c r="B210" s="1">
        <v>45545</v>
      </c>
      <c r="C210" s="1">
        <v>45572</v>
      </c>
      <c r="D210" t="s">
        <v>16</v>
      </c>
      <c r="E210" t="s">
        <v>17</v>
      </c>
      <c r="F210" t="s">
        <v>18</v>
      </c>
      <c r="G210" t="s">
        <v>48</v>
      </c>
      <c r="H210" t="s">
        <v>20</v>
      </c>
      <c r="I210" t="s">
        <v>49</v>
      </c>
      <c r="J210" t="s">
        <v>30</v>
      </c>
      <c r="K210" t="s">
        <v>519</v>
      </c>
      <c r="L210">
        <v>1248.3900000000001</v>
      </c>
      <c r="M210">
        <v>1805.11</v>
      </c>
      <c r="N210">
        <v>0.20300000000000001</v>
      </c>
      <c r="O210">
        <v>11</v>
      </c>
    </row>
    <row r="211" spans="1:15" x14ac:dyDescent="0.35">
      <c r="A211" t="s">
        <v>520</v>
      </c>
      <c r="B211" s="1">
        <v>45859</v>
      </c>
      <c r="C211" s="1">
        <v>45876</v>
      </c>
      <c r="D211" t="s">
        <v>16</v>
      </c>
      <c r="E211" t="s">
        <v>25</v>
      </c>
      <c r="F211" t="s">
        <v>38</v>
      </c>
      <c r="G211" t="s">
        <v>105</v>
      </c>
      <c r="H211" t="s">
        <v>98</v>
      </c>
      <c r="I211" t="s">
        <v>110</v>
      </c>
      <c r="J211" t="s">
        <v>81</v>
      </c>
      <c r="K211" t="s">
        <v>521</v>
      </c>
      <c r="L211">
        <v>1204.95</v>
      </c>
      <c r="M211">
        <v>2065.73</v>
      </c>
      <c r="N211">
        <v>0.13600000000000001</v>
      </c>
      <c r="O211">
        <v>10</v>
      </c>
    </row>
    <row r="212" spans="1:15" x14ac:dyDescent="0.35">
      <c r="A212" t="s">
        <v>522</v>
      </c>
      <c r="B212" s="1">
        <v>45567</v>
      </c>
      <c r="C212" s="1">
        <v>45588</v>
      </c>
      <c r="D212" t="s">
        <v>16</v>
      </c>
      <c r="E212" t="s">
        <v>148</v>
      </c>
      <c r="F212" t="s">
        <v>172</v>
      </c>
      <c r="G212" t="s">
        <v>19</v>
      </c>
      <c r="H212" t="s">
        <v>40</v>
      </c>
      <c r="I212" t="s">
        <v>75</v>
      </c>
      <c r="J212" t="s">
        <v>22</v>
      </c>
      <c r="K212" t="s">
        <v>523</v>
      </c>
      <c r="L212">
        <v>1095.6099999999999</v>
      </c>
      <c r="M212">
        <v>2366.5100000000002</v>
      </c>
      <c r="N212">
        <v>0.152</v>
      </c>
      <c r="O212">
        <v>9</v>
      </c>
    </row>
    <row r="213" spans="1:15" x14ac:dyDescent="0.35">
      <c r="A213" t="s">
        <v>524</v>
      </c>
      <c r="B213" s="1">
        <v>45852</v>
      </c>
      <c r="C213" s="1">
        <v>45873</v>
      </c>
      <c r="D213" t="s">
        <v>52</v>
      </c>
      <c r="E213" t="s">
        <v>53</v>
      </c>
      <c r="F213" t="s">
        <v>144</v>
      </c>
      <c r="G213" t="s">
        <v>48</v>
      </c>
      <c r="H213" t="s">
        <v>28</v>
      </c>
      <c r="I213" t="s">
        <v>92</v>
      </c>
      <c r="J213" t="s">
        <v>64</v>
      </c>
      <c r="K213" t="s">
        <v>525</v>
      </c>
      <c r="L213">
        <v>90.3</v>
      </c>
      <c r="M213">
        <v>131.76</v>
      </c>
      <c r="N213">
        <v>0.10199999999999999</v>
      </c>
      <c r="O213">
        <v>15</v>
      </c>
    </row>
    <row r="214" spans="1:15" x14ac:dyDescent="0.35">
      <c r="A214" t="s">
        <v>526</v>
      </c>
      <c r="B214" s="1">
        <v>45544</v>
      </c>
      <c r="C214" s="1">
        <v>45566</v>
      </c>
      <c r="D214" t="s">
        <v>45</v>
      </c>
      <c r="E214" t="s">
        <v>116</v>
      </c>
      <c r="F214" t="s">
        <v>117</v>
      </c>
      <c r="G214" t="s">
        <v>48</v>
      </c>
      <c r="H214" t="s">
        <v>98</v>
      </c>
      <c r="I214" t="s">
        <v>49</v>
      </c>
      <c r="J214" t="s">
        <v>30</v>
      </c>
      <c r="K214" t="s">
        <v>527</v>
      </c>
      <c r="L214">
        <v>1166.18</v>
      </c>
      <c r="M214">
        <v>1335.02</v>
      </c>
      <c r="N214">
        <v>0.128</v>
      </c>
      <c r="O214">
        <v>6</v>
      </c>
    </row>
    <row r="215" spans="1:15" x14ac:dyDescent="0.35">
      <c r="A215" t="s">
        <v>528</v>
      </c>
      <c r="B215" s="1">
        <v>45686</v>
      </c>
      <c r="C215" s="1">
        <v>45694</v>
      </c>
      <c r="D215" t="s">
        <v>16</v>
      </c>
      <c r="E215" t="s">
        <v>17</v>
      </c>
      <c r="F215" t="s">
        <v>18</v>
      </c>
      <c r="G215" t="s">
        <v>27</v>
      </c>
      <c r="H215" t="s">
        <v>20</v>
      </c>
      <c r="I215" t="s">
        <v>56</v>
      </c>
      <c r="J215" t="s">
        <v>42</v>
      </c>
      <c r="K215" t="s">
        <v>529</v>
      </c>
      <c r="L215">
        <v>1445.27</v>
      </c>
      <c r="M215">
        <v>2691.45</v>
      </c>
      <c r="N215">
        <v>0</v>
      </c>
      <c r="O215">
        <v>9</v>
      </c>
    </row>
    <row r="216" spans="1:15" x14ac:dyDescent="0.35">
      <c r="A216" t="s">
        <v>530</v>
      </c>
      <c r="B216" s="1">
        <v>45240</v>
      </c>
      <c r="C216" s="1">
        <v>45258</v>
      </c>
      <c r="D216" t="s">
        <v>52</v>
      </c>
      <c r="E216" t="s">
        <v>73</v>
      </c>
      <c r="F216" t="s">
        <v>87</v>
      </c>
      <c r="G216" t="s">
        <v>27</v>
      </c>
      <c r="H216" t="s">
        <v>40</v>
      </c>
      <c r="I216" t="s">
        <v>49</v>
      </c>
      <c r="J216" t="s">
        <v>81</v>
      </c>
      <c r="K216" t="s">
        <v>531</v>
      </c>
      <c r="L216">
        <v>388.51</v>
      </c>
      <c r="M216">
        <v>776.46</v>
      </c>
      <c r="N216">
        <v>0.157</v>
      </c>
      <c r="O216">
        <v>12</v>
      </c>
    </row>
    <row r="217" spans="1:15" x14ac:dyDescent="0.35">
      <c r="A217" t="s">
        <v>532</v>
      </c>
      <c r="B217" s="1">
        <v>45351</v>
      </c>
      <c r="C217" s="1">
        <v>45381</v>
      </c>
      <c r="D217" t="s">
        <v>45</v>
      </c>
      <c r="E217" t="s">
        <v>46</v>
      </c>
      <c r="F217" t="s">
        <v>231</v>
      </c>
      <c r="G217" t="s">
        <v>62</v>
      </c>
      <c r="H217" t="s">
        <v>98</v>
      </c>
      <c r="I217" t="s">
        <v>34</v>
      </c>
      <c r="J217" t="s">
        <v>35</v>
      </c>
      <c r="K217" t="s">
        <v>533</v>
      </c>
      <c r="L217">
        <v>231.11</v>
      </c>
      <c r="M217">
        <v>318.17</v>
      </c>
      <c r="N217">
        <v>0.20100000000000001</v>
      </c>
      <c r="O217">
        <v>60</v>
      </c>
    </row>
    <row r="218" spans="1:15" x14ac:dyDescent="0.35">
      <c r="A218" t="s">
        <v>534</v>
      </c>
      <c r="B218" s="1">
        <v>45280</v>
      </c>
      <c r="C218" s="1">
        <v>45305</v>
      </c>
      <c r="D218" t="s">
        <v>45</v>
      </c>
      <c r="E218" t="s">
        <v>60</v>
      </c>
      <c r="F218" t="s">
        <v>220</v>
      </c>
      <c r="G218" t="s">
        <v>39</v>
      </c>
      <c r="H218" t="s">
        <v>40</v>
      </c>
      <c r="I218" t="s">
        <v>49</v>
      </c>
      <c r="J218" t="s">
        <v>64</v>
      </c>
      <c r="K218" t="s">
        <v>535</v>
      </c>
      <c r="L218">
        <v>1085.6099999999999</v>
      </c>
      <c r="M218">
        <v>1246.4100000000001</v>
      </c>
      <c r="N218">
        <v>0.113</v>
      </c>
      <c r="O218">
        <v>7</v>
      </c>
    </row>
    <row r="219" spans="1:15" x14ac:dyDescent="0.35">
      <c r="A219" t="s">
        <v>536</v>
      </c>
      <c r="B219" s="1">
        <v>44948</v>
      </c>
      <c r="C219" s="1">
        <v>44947</v>
      </c>
      <c r="D219" t="s">
        <v>78</v>
      </c>
      <c r="E219" t="s">
        <v>79</v>
      </c>
      <c r="F219" t="s">
        <v>159</v>
      </c>
      <c r="G219" t="s">
        <v>19</v>
      </c>
      <c r="H219" t="s">
        <v>98</v>
      </c>
      <c r="I219" t="s">
        <v>84</v>
      </c>
      <c r="J219" t="s">
        <v>64</v>
      </c>
      <c r="K219" t="s">
        <v>537</v>
      </c>
      <c r="L219">
        <v>150.86000000000001</v>
      </c>
      <c r="M219">
        <v>346.96</v>
      </c>
      <c r="N219">
        <v>0.19600000000000001</v>
      </c>
      <c r="O219">
        <v>8</v>
      </c>
    </row>
    <row r="220" spans="1:15" x14ac:dyDescent="0.35">
      <c r="A220" t="s">
        <v>538</v>
      </c>
      <c r="B220" s="1">
        <v>45576</v>
      </c>
      <c r="C220" s="1">
        <v>45605</v>
      </c>
      <c r="D220" t="s">
        <v>45</v>
      </c>
      <c r="E220" t="s">
        <v>116</v>
      </c>
      <c r="F220" t="s">
        <v>162</v>
      </c>
      <c r="G220" t="s">
        <v>39</v>
      </c>
      <c r="H220" t="s">
        <v>28</v>
      </c>
      <c r="I220" t="s">
        <v>84</v>
      </c>
      <c r="J220" t="s">
        <v>30</v>
      </c>
      <c r="K220" t="s">
        <v>539</v>
      </c>
      <c r="L220">
        <v>391.64</v>
      </c>
      <c r="M220">
        <v>504.76</v>
      </c>
      <c r="N220">
        <v>4.0000000000000001E-3</v>
      </c>
      <c r="O220">
        <v>13</v>
      </c>
    </row>
    <row r="221" spans="1:15" x14ac:dyDescent="0.35">
      <c r="A221" t="s">
        <v>540</v>
      </c>
      <c r="B221" s="1">
        <v>45554</v>
      </c>
      <c r="C221" s="1">
        <v>45579</v>
      </c>
      <c r="D221" t="s">
        <v>52</v>
      </c>
      <c r="E221" t="s">
        <v>73</v>
      </c>
      <c r="F221" t="s">
        <v>225</v>
      </c>
      <c r="G221" t="s">
        <v>62</v>
      </c>
      <c r="H221" t="s">
        <v>20</v>
      </c>
      <c r="I221" t="s">
        <v>95</v>
      </c>
      <c r="J221" t="s">
        <v>30</v>
      </c>
      <c r="K221" t="s">
        <v>541</v>
      </c>
      <c r="L221">
        <v>386.96</v>
      </c>
      <c r="M221">
        <v>937.46</v>
      </c>
      <c r="N221">
        <v>0.26600000000000001</v>
      </c>
      <c r="O221">
        <v>41</v>
      </c>
    </row>
    <row r="222" spans="1:15" x14ac:dyDescent="0.35">
      <c r="A222" t="s">
        <v>542</v>
      </c>
      <c r="B222" s="1">
        <v>45894</v>
      </c>
      <c r="C222" s="1">
        <v>45924</v>
      </c>
      <c r="D222" t="s">
        <v>16</v>
      </c>
      <c r="E222" t="s">
        <v>17</v>
      </c>
      <c r="F222" t="s">
        <v>33</v>
      </c>
      <c r="G222" t="s">
        <v>48</v>
      </c>
      <c r="H222" t="s">
        <v>98</v>
      </c>
      <c r="I222" t="s">
        <v>56</v>
      </c>
      <c r="J222" t="s">
        <v>22</v>
      </c>
      <c r="K222" t="s">
        <v>543</v>
      </c>
      <c r="L222">
        <v>589.14</v>
      </c>
      <c r="M222">
        <v>1300.58</v>
      </c>
      <c r="N222">
        <v>5.5E-2</v>
      </c>
      <c r="O222">
        <v>11</v>
      </c>
    </row>
    <row r="223" spans="1:15" x14ac:dyDescent="0.35">
      <c r="A223" t="s">
        <v>544</v>
      </c>
      <c r="B223" s="1">
        <v>45194</v>
      </c>
      <c r="C223" s="1">
        <v>45201</v>
      </c>
      <c r="D223" t="s">
        <v>52</v>
      </c>
      <c r="E223" t="s">
        <v>122</v>
      </c>
      <c r="F223" t="s">
        <v>387</v>
      </c>
      <c r="G223" t="s">
        <v>27</v>
      </c>
      <c r="H223" t="s">
        <v>40</v>
      </c>
      <c r="I223" t="s">
        <v>34</v>
      </c>
      <c r="J223" t="s">
        <v>81</v>
      </c>
      <c r="K223" t="s">
        <v>545</v>
      </c>
      <c r="L223">
        <v>145.58000000000001</v>
      </c>
      <c r="M223">
        <v>228.15</v>
      </c>
      <c r="N223">
        <v>0.20399999999999999</v>
      </c>
      <c r="O223">
        <v>5</v>
      </c>
    </row>
    <row r="224" spans="1:15" x14ac:dyDescent="0.35">
      <c r="A224" t="s">
        <v>546</v>
      </c>
      <c r="B224" s="1">
        <v>45164</v>
      </c>
      <c r="C224" s="1">
        <v>45179</v>
      </c>
      <c r="D224" t="s">
        <v>16</v>
      </c>
      <c r="E224" t="s">
        <v>148</v>
      </c>
      <c r="F224" t="s">
        <v>258</v>
      </c>
      <c r="G224" t="s">
        <v>39</v>
      </c>
      <c r="H224" t="s">
        <v>98</v>
      </c>
      <c r="I224" t="s">
        <v>126</v>
      </c>
      <c r="J224" t="s">
        <v>22</v>
      </c>
      <c r="K224" t="s">
        <v>547</v>
      </c>
      <c r="L224">
        <v>241.14</v>
      </c>
      <c r="M224">
        <v>496.52</v>
      </c>
      <c r="N224">
        <v>9.2999999999999999E-2</v>
      </c>
      <c r="O224">
        <v>10</v>
      </c>
    </row>
    <row r="225" spans="1:15" x14ac:dyDescent="0.35">
      <c r="A225" t="s">
        <v>548</v>
      </c>
      <c r="B225" s="1">
        <v>45854</v>
      </c>
      <c r="C225" s="1">
        <v>45855</v>
      </c>
      <c r="D225" t="s">
        <v>16</v>
      </c>
      <c r="E225" t="s">
        <v>148</v>
      </c>
      <c r="F225" t="s">
        <v>172</v>
      </c>
      <c r="G225" t="s">
        <v>62</v>
      </c>
      <c r="H225" t="s">
        <v>55</v>
      </c>
      <c r="I225" t="s">
        <v>56</v>
      </c>
      <c r="J225" t="s">
        <v>35</v>
      </c>
      <c r="K225" t="s">
        <v>549</v>
      </c>
      <c r="L225">
        <v>1198.9000000000001</v>
      </c>
      <c r="M225">
        <v>2941.2</v>
      </c>
      <c r="N225">
        <v>5.0999999999999997E-2</v>
      </c>
      <c r="O225">
        <v>24</v>
      </c>
    </row>
    <row r="226" spans="1:15" x14ac:dyDescent="0.35">
      <c r="A226" t="s">
        <v>550</v>
      </c>
      <c r="B226" s="1">
        <v>45035</v>
      </c>
      <c r="C226" s="1">
        <v>45053</v>
      </c>
      <c r="D226" t="s">
        <v>78</v>
      </c>
      <c r="E226" t="s">
        <v>108</v>
      </c>
      <c r="F226" t="s">
        <v>109</v>
      </c>
      <c r="G226" t="s">
        <v>105</v>
      </c>
      <c r="H226" t="s">
        <v>20</v>
      </c>
      <c r="I226" t="s">
        <v>126</v>
      </c>
      <c r="J226" t="s">
        <v>57</v>
      </c>
      <c r="K226" t="s">
        <v>551</v>
      </c>
      <c r="L226">
        <v>1089.1500000000001</v>
      </c>
      <c r="M226">
        <v>1088.2</v>
      </c>
      <c r="N226">
        <v>5.0999999999999997E-2</v>
      </c>
      <c r="O226">
        <v>15</v>
      </c>
    </row>
    <row r="227" spans="1:15" x14ac:dyDescent="0.35">
      <c r="A227" t="s">
        <v>552</v>
      </c>
      <c r="B227" s="1">
        <v>45279</v>
      </c>
      <c r="C227" s="1">
        <v>45280</v>
      </c>
      <c r="D227" t="s">
        <v>52</v>
      </c>
      <c r="E227" t="s">
        <v>73</v>
      </c>
      <c r="F227" t="s">
        <v>225</v>
      </c>
      <c r="G227" t="s">
        <v>48</v>
      </c>
      <c r="H227" t="s">
        <v>55</v>
      </c>
      <c r="I227" t="s">
        <v>29</v>
      </c>
      <c r="J227" t="s">
        <v>42</v>
      </c>
      <c r="K227" t="s">
        <v>553</v>
      </c>
      <c r="L227">
        <v>1080.43</v>
      </c>
      <c r="M227">
        <v>2529.15</v>
      </c>
      <c r="N227">
        <v>0.14699999999999999</v>
      </c>
      <c r="O227">
        <v>10</v>
      </c>
    </row>
    <row r="228" spans="1:15" x14ac:dyDescent="0.35">
      <c r="A228" t="s">
        <v>554</v>
      </c>
      <c r="B228" s="1">
        <v>45137</v>
      </c>
      <c r="C228" s="1">
        <v>45145</v>
      </c>
      <c r="D228" t="s">
        <v>45</v>
      </c>
      <c r="E228" t="s">
        <v>46</v>
      </c>
      <c r="F228" t="s">
        <v>231</v>
      </c>
      <c r="G228" t="s">
        <v>27</v>
      </c>
      <c r="H228" t="s">
        <v>40</v>
      </c>
      <c r="I228" t="s">
        <v>75</v>
      </c>
      <c r="J228" t="s">
        <v>35</v>
      </c>
      <c r="K228" t="s">
        <v>555</v>
      </c>
      <c r="L228">
        <v>1352.44</v>
      </c>
      <c r="M228">
        <v>2698.01</v>
      </c>
      <c r="N228">
        <v>0.13100000000000001</v>
      </c>
      <c r="O228">
        <v>13</v>
      </c>
    </row>
    <row r="229" spans="1:15" x14ac:dyDescent="0.35">
      <c r="A229" t="s">
        <v>556</v>
      </c>
      <c r="B229" s="1">
        <v>45203</v>
      </c>
      <c r="C229" s="1">
        <v>45228</v>
      </c>
      <c r="D229" t="s">
        <v>52</v>
      </c>
      <c r="E229" t="s">
        <v>122</v>
      </c>
      <c r="F229" t="s">
        <v>167</v>
      </c>
      <c r="G229" t="s">
        <v>62</v>
      </c>
      <c r="H229" t="s">
        <v>55</v>
      </c>
      <c r="I229" t="s">
        <v>68</v>
      </c>
      <c r="J229" t="s">
        <v>81</v>
      </c>
      <c r="K229" t="s">
        <v>557</v>
      </c>
      <c r="L229">
        <v>1239.8399999999999</v>
      </c>
      <c r="M229">
        <v>1482.75</v>
      </c>
      <c r="N229">
        <v>6.7000000000000004E-2</v>
      </c>
      <c r="O229">
        <v>4</v>
      </c>
    </row>
    <row r="230" spans="1:15" x14ac:dyDescent="0.35">
      <c r="A230" t="s">
        <v>558</v>
      </c>
      <c r="B230" s="1">
        <v>45879</v>
      </c>
      <c r="C230" s="1">
        <v>45899</v>
      </c>
      <c r="D230" t="s">
        <v>52</v>
      </c>
      <c r="E230" t="s">
        <v>122</v>
      </c>
      <c r="F230" t="s">
        <v>167</v>
      </c>
      <c r="G230" t="s">
        <v>19</v>
      </c>
      <c r="H230" t="s">
        <v>40</v>
      </c>
      <c r="I230" t="s">
        <v>95</v>
      </c>
      <c r="J230" t="s">
        <v>30</v>
      </c>
      <c r="K230" t="s">
        <v>559</v>
      </c>
      <c r="L230">
        <v>933.29</v>
      </c>
      <c r="M230">
        <v>1456.81</v>
      </c>
      <c r="N230">
        <v>0.123</v>
      </c>
      <c r="O230">
        <v>13</v>
      </c>
    </row>
    <row r="231" spans="1:15" x14ac:dyDescent="0.35">
      <c r="A231" t="s">
        <v>560</v>
      </c>
      <c r="B231" s="1">
        <v>44992</v>
      </c>
      <c r="C231" s="1">
        <v>45017</v>
      </c>
      <c r="D231" t="s">
        <v>16</v>
      </c>
      <c r="E231" t="s">
        <v>17</v>
      </c>
      <c r="F231" t="s">
        <v>33</v>
      </c>
      <c r="G231" t="s">
        <v>48</v>
      </c>
      <c r="H231" t="s">
        <v>40</v>
      </c>
      <c r="I231" t="s">
        <v>145</v>
      </c>
      <c r="J231" t="s">
        <v>30</v>
      </c>
      <c r="K231" t="s">
        <v>561</v>
      </c>
      <c r="L231">
        <v>1024.0999999999999</v>
      </c>
      <c r="M231">
        <v>918.19</v>
      </c>
      <c r="N231">
        <v>0.189</v>
      </c>
      <c r="O231">
        <v>10</v>
      </c>
    </row>
    <row r="232" spans="1:15" x14ac:dyDescent="0.35">
      <c r="A232" t="s">
        <v>562</v>
      </c>
      <c r="B232" s="1">
        <v>45069</v>
      </c>
      <c r="C232" s="1">
        <v>45087</v>
      </c>
      <c r="D232" t="s">
        <v>45</v>
      </c>
      <c r="E232" t="s">
        <v>116</v>
      </c>
      <c r="F232" t="s">
        <v>162</v>
      </c>
      <c r="G232" t="s">
        <v>19</v>
      </c>
      <c r="H232" t="s">
        <v>55</v>
      </c>
      <c r="I232" t="s">
        <v>63</v>
      </c>
      <c r="J232" t="s">
        <v>22</v>
      </c>
      <c r="K232" t="s">
        <v>563</v>
      </c>
      <c r="L232">
        <v>54.62</v>
      </c>
      <c r="M232">
        <v>48.94</v>
      </c>
      <c r="N232">
        <v>0.14799999999999999</v>
      </c>
      <c r="O232">
        <v>16</v>
      </c>
    </row>
    <row r="233" spans="1:15" x14ac:dyDescent="0.35">
      <c r="A233" t="s">
        <v>564</v>
      </c>
      <c r="B233" s="1">
        <v>45771</v>
      </c>
      <c r="C233" s="1">
        <v>45783</v>
      </c>
      <c r="D233" t="s">
        <v>52</v>
      </c>
      <c r="E233" t="s">
        <v>73</v>
      </c>
      <c r="F233" t="s">
        <v>87</v>
      </c>
      <c r="G233" t="s">
        <v>48</v>
      </c>
      <c r="H233" t="s">
        <v>28</v>
      </c>
      <c r="I233" t="s">
        <v>21</v>
      </c>
      <c r="J233" t="s">
        <v>42</v>
      </c>
      <c r="K233" t="s">
        <v>565</v>
      </c>
      <c r="L233">
        <v>394.13</v>
      </c>
      <c r="M233">
        <v>932.29</v>
      </c>
      <c r="N233">
        <v>0.109</v>
      </c>
      <c r="O233">
        <v>7</v>
      </c>
    </row>
    <row r="234" spans="1:15" x14ac:dyDescent="0.35">
      <c r="A234" t="s">
        <v>566</v>
      </c>
      <c r="B234" s="1">
        <v>45538</v>
      </c>
      <c r="C234" s="1">
        <v>45543</v>
      </c>
      <c r="D234" t="s">
        <v>16</v>
      </c>
      <c r="E234" t="s">
        <v>25</v>
      </c>
      <c r="F234" t="s">
        <v>38</v>
      </c>
      <c r="G234" t="s">
        <v>62</v>
      </c>
      <c r="H234" t="s">
        <v>98</v>
      </c>
      <c r="I234" t="s">
        <v>95</v>
      </c>
      <c r="J234" t="s">
        <v>30</v>
      </c>
      <c r="K234" t="s">
        <v>567</v>
      </c>
      <c r="L234">
        <v>197.63</v>
      </c>
      <c r="M234">
        <v>325.79000000000002</v>
      </c>
      <c r="N234">
        <v>0.11600000000000001</v>
      </c>
      <c r="O234">
        <v>10</v>
      </c>
    </row>
    <row r="235" spans="1:15" x14ac:dyDescent="0.35">
      <c r="A235" t="s">
        <v>568</v>
      </c>
      <c r="B235" s="1">
        <v>45540</v>
      </c>
      <c r="C235" s="1">
        <v>45560</v>
      </c>
      <c r="D235" t="s">
        <v>45</v>
      </c>
      <c r="E235" t="s">
        <v>46</v>
      </c>
      <c r="F235" t="s">
        <v>47</v>
      </c>
      <c r="G235" t="s">
        <v>105</v>
      </c>
      <c r="H235" t="s">
        <v>55</v>
      </c>
      <c r="I235" t="s">
        <v>145</v>
      </c>
      <c r="J235" t="s">
        <v>64</v>
      </c>
      <c r="K235" t="s">
        <v>569</v>
      </c>
      <c r="L235">
        <v>195.54</v>
      </c>
      <c r="M235">
        <v>405.97</v>
      </c>
      <c r="N235">
        <v>0.187</v>
      </c>
      <c r="O235">
        <v>16</v>
      </c>
    </row>
    <row r="236" spans="1:15" x14ac:dyDescent="0.35">
      <c r="A236" t="s">
        <v>570</v>
      </c>
      <c r="B236" s="1">
        <v>44999</v>
      </c>
      <c r="C236" s="1">
        <v>45015</v>
      </c>
      <c r="D236" t="s">
        <v>16</v>
      </c>
      <c r="E236" t="s">
        <v>148</v>
      </c>
      <c r="F236" t="s">
        <v>258</v>
      </c>
      <c r="G236" t="s">
        <v>48</v>
      </c>
      <c r="H236" t="s">
        <v>55</v>
      </c>
      <c r="I236" t="s">
        <v>95</v>
      </c>
      <c r="J236" t="s">
        <v>22</v>
      </c>
      <c r="K236" t="s">
        <v>571</v>
      </c>
      <c r="L236">
        <v>1309.77</v>
      </c>
      <c r="M236">
        <v>1589.07</v>
      </c>
      <c r="N236">
        <v>0.10199999999999999</v>
      </c>
      <c r="O236">
        <v>10</v>
      </c>
    </row>
    <row r="237" spans="1:15" x14ac:dyDescent="0.35">
      <c r="A237" t="s">
        <v>572</v>
      </c>
      <c r="B237" s="1">
        <v>45302</v>
      </c>
      <c r="C237" s="1">
        <v>45324</v>
      </c>
      <c r="D237" t="s">
        <v>45</v>
      </c>
      <c r="E237" t="s">
        <v>46</v>
      </c>
      <c r="F237" t="s">
        <v>231</v>
      </c>
      <c r="G237" t="s">
        <v>62</v>
      </c>
      <c r="H237" t="s">
        <v>28</v>
      </c>
      <c r="J237" t="s">
        <v>30</v>
      </c>
      <c r="K237" t="s">
        <v>573</v>
      </c>
      <c r="L237">
        <v>1237.68</v>
      </c>
      <c r="M237">
        <v>1432.8</v>
      </c>
      <c r="N237">
        <v>6.8000000000000005E-2</v>
      </c>
      <c r="O237">
        <v>13</v>
      </c>
    </row>
    <row r="238" spans="1:15" x14ac:dyDescent="0.35">
      <c r="A238" t="s">
        <v>574</v>
      </c>
      <c r="B238" s="1">
        <v>45548</v>
      </c>
      <c r="C238" s="1">
        <v>45567</v>
      </c>
      <c r="D238" t="s">
        <v>16</v>
      </c>
      <c r="E238" t="s">
        <v>17</v>
      </c>
      <c r="F238" t="s">
        <v>113</v>
      </c>
      <c r="G238" t="s">
        <v>62</v>
      </c>
      <c r="H238" t="s">
        <v>20</v>
      </c>
      <c r="I238" t="s">
        <v>110</v>
      </c>
      <c r="J238" t="s">
        <v>42</v>
      </c>
      <c r="K238" t="s">
        <v>575</v>
      </c>
      <c r="L238">
        <v>1338.99</v>
      </c>
      <c r="M238">
        <v>1765.76</v>
      </c>
      <c r="N238">
        <v>0.126</v>
      </c>
      <c r="O238">
        <v>24</v>
      </c>
    </row>
    <row r="239" spans="1:15" x14ac:dyDescent="0.35">
      <c r="A239" t="s">
        <v>576</v>
      </c>
      <c r="B239" s="1">
        <v>45855</v>
      </c>
      <c r="C239" s="1">
        <v>45861</v>
      </c>
      <c r="D239" t="s">
        <v>52</v>
      </c>
      <c r="E239" t="s">
        <v>53</v>
      </c>
      <c r="F239" t="s">
        <v>179</v>
      </c>
      <c r="G239" t="s">
        <v>48</v>
      </c>
      <c r="H239" t="s">
        <v>28</v>
      </c>
      <c r="I239" t="s">
        <v>92</v>
      </c>
      <c r="J239" t="s">
        <v>22</v>
      </c>
      <c r="K239" t="s">
        <v>577</v>
      </c>
      <c r="L239">
        <v>1364.89</v>
      </c>
      <c r="M239">
        <v>2757.54</v>
      </c>
      <c r="N239">
        <v>0.17199999999999999</v>
      </c>
      <c r="O239">
        <v>61</v>
      </c>
    </row>
    <row r="240" spans="1:15" x14ac:dyDescent="0.35">
      <c r="A240" t="s">
        <v>578</v>
      </c>
      <c r="B240" s="1">
        <v>45258</v>
      </c>
      <c r="C240" s="1">
        <v>45267</v>
      </c>
      <c r="D240" t="s">
        <v>45</v>
      </c>
      <c r="E240" t="s">
        <v>60</v>
      </c>
      <c r="F240" t="s">
        <v>141</v>
      </c>
      <c r="G240" t="s">
        <v>105</v>
      </c>
      <c r="H240" t="s">
        <v>40</v>
      </c>
      <c r="I240" t="s">
        <v>49</v>
      </c>
      <c r="J240" t="s">
        <v>42</v>
      </c>
      <c r="K240" t="s">
        <v>579</v>
      </c>
      <c r="L240">
        <v>699.33</v>
      </c>
      <c r="M240">
        <v>873.75</v>
      </c>
      <c r="N240">
        <v>0.23499999999999999</v>
      </c>
      <c r="O240">
        <v>10</v>
      </c>
    </row>
    <row r="241" spans="1:15" x14ac:dyDescent="0.35">
      <c r="A241" t="s">
        <v>580</v>
      </c>
      <c r="B241" s="1">
        <v>45381</v>
      </c>
      <c r="C241" s="1">
        <v>45406</v>
      </c>
      <c r="D241" t="s">
        <v>52</v>
      </c>
      <c r="E241" t="s">
        <v>122</v>
      </c>
      <c r="F241" t="s">
        <v>326</v>
      </c>
      <c r="G241" t="s">
        <v>39</v>
      </c>
      <c r="H241" t="s">
        <v>28</v>
      </c>
      <c r="I241" t="s">
        <v>41</v>
      </c>
      <c r="J241" t="s">
        <v>57</v>
      </c>
      <c r="K241" t="s">
        <v>581</v>
      </c>
      <c r="L241">
        <v>160.82</v>
      </c>
      <c r="M241">
        <v>258.52</v>
      </c>
      <c r="N241">
        <v>0.13</v>
      </c>
      <c r="O241">
        <v>17</v>
      </c>
    </row>
    <row r="242" spans="1:15" x14ac:dyDescent="0.35">
      <c r="A242" t="s">
        <v>582</v>
      </c>
      <c r="B242" s="1">
        <v>45188</v>
      </c>
      <c r="C242" s="1">
        <v>45207</v>
      </c>
      <c r="D242" t="s">
        <v>45</v>
      </c>
      <c r="E242" t="s">
        <v>60</v>
      </c>
      <c r="F242" t="s">
        <v>61</v>
      </c>
      <c r="G242" t="s">
        <v>27</v>
      </c>
      <c r="H242" t="s">
        <v>98</v>
      </c>
      <c r="I242" t="s">
        <v>29</v>
      </c>
      <c r="J242" t="s">
        <v>30</v>
      </c>
      <c r="K242" t="s">
        <v>583</v>
      </c>
      <c r="L242">
        <v>385.32</v>
      </c>
      <c r="M242">
        <v>606.76</v>
      </c>
      <c r="N242">
        <v>8.5999999999999993E-2</v>
      </c>
      <c r="O242">
        <v>8</v>
      </c>
    </row>
    <row r="243" spans="1:15" x14ac:dyDescent="0.35">
      <c r="A243" t="s">
        <v>584</v>
      </c>
      <c r="B243" s="1">
        <v>45793</v>
      </c>
      <c r="C243" s="1">
        <v>45804</v>
      </c>
      <c r="D243" t="s">
        <v>45</v>
      </c>
      <c r="E243" t="s">
        <v>116</v>
      </c>
      <c r="F243" t="s">
        <v>338</v>
      </c>
      <c r="G243" t="s">
        <v>105</v>
      </c>
      <c r="H243" t="s">
        <v>28</v>
      </c>
      <c r="I243" t="s">
        <v>84</v>
      </c>
      <c r="J243" t="s">
        <v>42</v>
      </c>
      <c r="K243" t="s">
        <v>585</v>
      </c>
      <c r="L243">
        <v>918.12</v>
      </c>
      <c r="M243">
        <v>1337.69</v>
      </c>
      <c r="N243">
        <v>9.5000000000000001E-2</v>
      </c>
      <c r="O243">
        <v>8</v>
      </c>
    </row>
    <row r="244" spans="1:15" x14ac:dyDescent="0.35">
      <c r="A244" t="s">
        <v>586</v>
      </c>
      <c r="B244" s="1">
        <v>45871</v>
      </c>
      <c r="C244" s="1">
        <v>45877</v>
      </c>
      <c r="D244" t="s">
        <v>45</v>
      </c>
      <c r="E244" t="s">
        <v>46</v>
      </c>
      <c r="F244" t="s">
        <v>47</v>
      </c>
      <c r="G244" t="s">
        <v>48</v>
      </c>
      <c r="H244" t="s">
        <v>98</v>
      </c>
      <c r="I244" t="s">
        <v>126</v>
      </c>
      <c r="J244" t="s">
        <v>57</v>
      </c>
      <c r="K244" t="s">
        <v>587</v>
      </c>
      <c r="L244">
        <v>1225.94</v>
      </c>
      <c r="M244">
        <v>1793.08</v>
      </c>
      <c r="N244">
        <v>0.13600000000000001</v>
      </c>
      <c r="O244">
        <v>22</v>
      </c>
    </row>
    <row r="245" spans="1:15" x14ac:dyDescent="0.35">
      <c r="A245" t="s">
        <v>588</v>
      </c>
      <c r="B245" s="1">
        <v>45630</v>
      </c>
      <c r="C245" s="1">
        <v>45638</v>
      </c>
      <c r="D245" t="s">
        <v>78</v>
      </c>
      <c r="E245" t="s">
        <v>79</v>
      </c>
      <c r="F245" t="s">
        <v>335</v>
      </c>
      <c r="G245" t="s">
        <v>105</v>
      </c>
      <c r="H245" t="s">
        <v>40</v>
      </c>
      <c r="I245" t="s">
        <v>56</v>
      </c>
      <c r="J245" t="s">
        <v>30</v>
      </c>
      <c r="K245" t="s">
        <v>589</v>
      </c>
      <c r="L245">
        <v>72.06</v>
      </c>
      <c r="M245">
        <v>122.74</v>
      </c>
      <c r="N245">
        <v>0.23799999999999999</v>
      </c>
      <c r="O245">
        <v>8</v>
      </c>
    </row>
    <row r="246" spans="1:15" x14ac:dyDescent="0.35">
      <c r="A246" t="s">
        <v>590</v>
      </c>
      <c r="B246" s="1">
        <v>45035</v>
      </c>
      <c r="C246" s="1">
        <v>45044</v>
      </c>
      <c r="D246" t="s">
        <v>52</v>
      </c>
      <c r="E246" t="s">
        <v>73</v>
      </c>
      <c r="F246" t="s">
        <v>225</v>
      </c>
      <c r="G246" t="s">
        <v>19</v>
      </c>
      <c r="H246" t="s">
        <v>55</v>
      </c>
      <c r="I246" t="s">
        <v>110</v>
      </c>
      <c r="J246" t="s">
        <v>42</v>
      </c>
      <c r="K246" t="s">
        <v>591</v>
      </c>
      <c r="L246">
        <v>1013.54</v>
      </c>
      <c r="M246">
        <v>927.93</v>
      </c>
      <c r="N246">
        <v>0.17499999999999999</v>
      </c>
      <c r="O246">
        <v>16</v>
      </c>
    </row>
    <row r="247" spans="1:15" x14ac:dyDescent="0.35">
      <c r="A247" t="s">
        <v>592</v>
      </c>
      <c r="B247" s="1">
        <v>45357</v>
      </c>
      <c r="C247" s="1">
        <v>45377</v>
      </c>
      <c r="D247" t="s">
        <v>16</v>
      </c>
      <c r="E247" t="s">
        <v>25</v>
      </c>
      <c r="F247" t="s">
        <v>26</v>
      </c>
      <c r="G247" t="s">
        <v>48</v>
      </c>
      <c r="H247" t="s">
        <v>40</v>
      </c>
      <c r="I247" t="s">
        <v>34</v>
      </c>
      <c r="J247" t="s">
        <v>42</v>
      </c>
      <c r="K247" t="s">
        <v>593</v>
      </c>
      <c r="L247">
        <v>65.64</v>
      </c>
      <c r="M247">
        <v>151.88</v>
      </c>
      <c r="N247">
        <v>0.16700000000000001</v>
      </c>
      <c r="O247">
        <v>23</v>
      </c>
    </row>
    <row r="248" spans="1:15" x14ac:dyDescent="0.35">
      <c r="A248" t="s">
        <v>594</v>
      </c>
      <c r="B248" s="1">
        <v>45338</v>
      </c>
      <c r="C248" s="1">
        <v>45355</v>
      </c>
      <c r="D248" t="s">
        <v>52</v>
      </c>
      <c r="E248" t="s">
        <v>53</v>
      </c>
      <c r="F248" t="s">
        <v>144</v>
      </c>
      <c r="G248" t="s">
        <v>39</v>
      </c>
      <c r="H248" t="s">
        <v>20</v>
      </c>
      <c r="I248" t="s">
        <v>145</v>
      </c>
      <c r="J248" t="s">
        <v>57</v>
      </c>
      <c r="K248" t="s">
        <v>595</v>
      </c>
      <c r="L248">
        <v>1350.98</v>
      </c>
      <c r="M248">
        <v>2210.4</v>
      </c>
      <c r="N248">
        <v>0.26300000000000001</v>
      </c>
      <c r="O248">
        <v>6</v>
      </c>
    </row>
    <row r="249" spans="1:15" x14ac:dyDescent="0.35">
      <c r="A249" t="s">
        <v>596</v>
      </c>
      <c r="B249" s="1">
        <v>45769</v>
      </c>
      <c r="C249" s="1">
        <v>45779</v>
      </c>
      <c r="D249" t="s">
        <v>78</v>
      </c>
      <c r="E249" t="s">
        <v>79</v>
      </c>
      <c r="F249" t="s">
        <v>80</v>
      </c>
      <c r="G249" t="s">
        <v>19</v>
      </c>
      <c r="H249" t="s">
        <v>40</v>
      </c>
      <c r="I249" t="s">
        <v>21</v>
      </c>
      <c r="J249" t="s">
        <v>64</v>
      </c>
      <c r="K249" t="s">
        <v>597</v>
      </c>
      <c r="L249">
        <v>20.149999999999999</v>
      </c>
      <c r="M249">
        <v>39.74</v>
      </c>
      <c r="N249">
        <v>0.151</v>
      </c>
      <c r="O249">
        <v>18</v>
      </c>
    </row>
    <row r="250" spans="1:15" x14ac:dyDescent="0.35">
      <c r="A250" t="s">
        <v>598</v>
      </c>
      <c r="B250" s="1">
        <v>45604</v>
      </c>
      <c r="C250" s="1">
        <v>45604</v>
      </c>
      <c r="D250" t="s">
        <v>16</v>
      </c>
      <c r="E250" t="s">
        <v>17</v>
      </c>
      <c r="F250" t="s">
        <v>135</v>
      </c>
      <c r="G250" t="s">
        <v>105</v>
      </c>
      <c r="H250" t="s">
        <v>40</v>
      </c>
      <c r="I250" t="s">
        <v>110</v>
      </c>
      <c r="J250" t="s">
        <v>35</v>
      </c>
      <c r="K250" t="s">
        <v>599</v>
      </c>
      <c r="L250">
        <v>803.28</v>
      </c>
      <c r="M250">
        <v>1009</v>
      </c>
      <c r="N250">
        <v>0.11</v>
      </c>
      <c r="O250">
        <v>4</v>
      </c>
    </row>
    <row r="251" spans="1:15" x14ac:dyDescent="0.35">
      <c r="A251" t="s">
        <v>600</v>
      </c>
      <c r="B251" s="1">
        <v>45912</v>
      </c>
      <c r="C251" s="1">
        <v>45930</v>
      </c>
      <c r="D251" t="s">
        <v>45</v>
      </c>
      <c r="E251" t="s">
        <v>46</v>
      </c>
      <c r="F251" t="s">
        <v>231</v>
      </c>
      <c r="G251" t="s">
        <v>39</v>
      </c>
      <c r="H251" t="s">
        <v>40</v>
      </c>
      <c r="I251" t="s">
        <v>84</v>
      </c>
      <c r="J251" t="s">
        <v>64</v>
      </c>
      <c r="K251" t="s">
        <v>601</v>
      </c>
      <c r="L251">
        <v>1212.99</v>
      </c>
      <c r="M251">
        <v>1653.64</v>
      </c>
      <c r="N251">
        <v>0.107</v>
      </c>
      <c r="O251">
        <v>8</v>
      </c>
    </row>
    <row r="252" spans="1:15" x14ac:dyDescent="0.35">
      <c r="A252" t="s">
        <v>602</v>
      </c>
      <c r="B252" s="1">
        <v>45537</v>
      </c>
      <c r="C252" s="1">
        <v>45543</v>
      </c>
      <c r="D252" t="s">
        <v>52</v>
      </c>
      <c r="E252" t="s">
        <v>122</v>
      </c>
      <c r="F252" t="s">
        <v>326</v>
      </c>
      <c r="G252" t="s">
        <v>48</v>
      </c>
      <c r="H252" t="s">
        <v>98</v>
      </c>
      <c r="I252" t="s">
        <v>92</v>
      </c>
      <c r="J252" t="s">
        <v>22</v>
      </c>
      <c r="K252" t="s">
        <v>603</v>
      </c>
      <c r="L252">
        <v>462.94</v>
      </c>
      <c r="M252">
        <v>1015.7</v>
      </c>
      <c r="N252">
        <v>0.14299999999999999</v>
      </c>
      <c r="O252">
        <v>14</v>
      </c>
    </row>
    <row r="253" spans="1:15" x14ac:dyDescent="0.35">
      <c r="A253" t="s">
        <v>604</v>
      </c>
      <c r="B253" s="1">
        <v>44989</v>
      </c>
      <c r="C253" s="1">
        <v>45009</v>
      </c>
      <c r="D253" t="s">
        <v>52</v>
      </c>
      <c r="E253" t="s">
        <v>53</v>
      </c>
      <c r="F253" t="s">
        <v>144</v>
      </c>
      <c r="G253" t="s">
        <v>48</v>
      </c>
      <c r="H253" t="s">
        <v>55</v>
      </c>
      <c r="I253" t="s">
        <v>34</v>
      </c>
      <c r="J253" t="s">
        <v>57</v>
      </c>
      <c r="K253" t="s">
        <v>605</v>
      </c>
      <c r="L253">
        <v>481.71</v>
      </c>
      <c r="M253">
        <v>912.45</v>
      </c>
      <c r="N253">
        <v>0.20300000000000001</v>
      </c>
      <c r="O253">
        <v>24</v>
      </c>
    </row>
    <row r="254" spans="1:15" x14ac:dyDescent="0.35">
      <c r="A254" t="s">
        <v>606</v>
      </c>
      <c r="B254" s="1">
        <v>45366</v>
      </c>
      <c r="C254" s="1">
        <v>45391</v>
      </c>
      <c r="D254" t="s">
        <v>52</v>
      </c>
      <c r="E254" t="s">
        <v>53</v>
      </c>
      <c r="F254" t="s">
        <v>179</v>
      </c>
      <c r="G254" t="s">
        <v>48</v>
      </c>
      <c r="H254" t="s">
        <v>28</v>
      </c>
      <c r="I254" t="s">
        <v>84</v>
      </c>
      <c r="J254" t="s">
        <v>64</v>
      </c>
      <c r="K254" t="s">
        <v>607</v>
      </c>
      <c r="L254">
        <v>648.64</v>
      </c>
      <c r="M254">
        <v>815.19</v>
      </c>
      <c r="N254">
        <v>0.22500000000000001</v>
      </c>
      <c r="O254">
        <v>28</v>
      </c>
    </row>
    <row r="255" spans="1:15" x14ac:dyDescent="0.35">
      <c r="A255" t="s">
        <v>608</v>
      </c>
      <c r="B255" s="1">
        <v>45502</v>
      </c>
      <c r="C255" s="1">
        <v>45504</v>
      </c>
      <c r="D255" t="s">
        <v>52</v>
      </c>
      <c r="E255" t="s">
        <v>122</v>
      </c>
      <c r="F255" t="s">
        <v>387</v>
      </c>
      <c r="G255" t="s">
        <v>27</v>
      </c>
      <c r="H255" t="s">
        <v>40</v>
      </c>
      <c r="I255" t="s">
        <v>34</v>
      </c>
      <c r="J255" t="s">
        <v>30</v>
      </c>
      <c r="K255" t="s">
        <v>609</v>
      </c>
      <c r="L255">
        <v>798.97</v>
      </c>
      <c r="M255">
        <v>1814.06</v>
      </c>
      <c r="N255">
        <v>0.122</v>
      </c>
      <c r="O255">
        <v>16</v>
      </c>
    </row>
    <row r="256" spans="1:15" x14ac:dyDescent="0.35">
      <c r="A256" t="s">
        <v>610</v>
      </c>
      <c r="B256" s="1">
        <v>45592</v>
      </c>
      <c r="C256" s="1">
        <v>45616</v>
      </c>
      <c r="D256" t="s">
        <v>45</v>
      </c>
      <c r="E256" t="s">
        <v>46</v>
      </c>
      <c r="F256" t="s">
        <v>231</v>
      </c>
      <c r="G256" t="s">
        <v>39</v>
      </c>
      <c r="H256" t="s">
        <v>28</v>
      </c>
      <c r="I256" t="s">
        <v>92</v>
      </c>
      <c r="J256" t="s">
        <v>64</v>
      </c>
      <c r="K256" t="s">
        <v>611</v>
      </c>
      <c r="L256">
        <v>317.25</v>
      </c>
      <c r="M256">
        <v>758.92</v>
      </c>
      <c r="N256">
        <v>5.2999999999999999E-2</v>
      </c>
      <c r="O256">
        <v>9</v>
      </c>
    </row>
    <row r="257" spans="1:15" x14ac:dyDescent="0.35">
      <c r="A257" t="s">
        <v>612</v>
      </c>
      <c r="B257" s="1">
        <v>45411</v>
      </c>
      <c r="C257" s="1">
        <v>45431</v>
      </c>
      <c r="D257" t="s">
        <v>78</v>
      </c>
      <c r="E257" t="s">
        <v>79</v>
      </c>
      <c r="F257" t="s">
        <v>335</v>
      </c>
      <c r="G257" t="s">
        <v>105</v>
      </c>
      <c r="H257" t="s">
        <v>40</v>
      </c>
      <c r="I257" t="s">
        <v>21</v>
      </c>
      <c r="J257" t="s">
        <v>57</v>
      </c>
      <c r="K257" t="s">
        <v>613</v>
      </c>
      <c r="L257">
        <v>668.97</v>
      </c>
      <c r="M257">
        <v>1667.44</v>
      </c>
      <c r="N257">
        <v>3.4000000000000002E-2</v>
      </c>
      <c r="O257">
        <v>15</v>
      </c>
    </row>
    <row r="258" spans="1:15" x14ac:dyDescent="0.35">
      <c r="A258" t="s">
        <v>614</v>
      </c>
      <c r="B258" s="1">
        <v>45204</v>
      </c>
      <c r="C258" s="1">
        <v>45205</v>
      </c>
      <c r="D258" t="s">
        <v>45</v>
      </c>
      <c r="E258" t="s">
        <v>60</v>
      </c>
      <c r="F258" t="s">
        <v>61</v>
      </c>
      <c r="G258" t="s">
        <v>39</v>
      </c>
      <c r="H258" t="s">
        <v>28</v>
      </c>
      <c r="I258" t="s">
        <v>34</v>
      </c>
      <c r="J258" t="s">
        <v>22</v>
      </c>
      <c r="K258" t="s">
        <v>615</v>
      </c>
      <c r="L258">
        <v>1470.26</v>
      </c>
      <c r="M258">
        <v>2562.5500000000002</v>
      </c>
      <c r="N258">
        <v>0.17299999999999999</v>
      </c>
      <c r="O258">
        <v>9</v>
      </c>
    </row>
    <row r="259" spans="1:15" x14ac:dyDescent="0.35">
      <c r="A259" t="s">
        <v>616</v>
      </c>
      <c r="B259" s="1">
        <v>45035</v>
      </c>
      <c r="C259" s="1">
        <v>45053</v>
      </c>
      <c r="D259" t="s">
        <v>78</v>
      </c>
      <c r="E259" t="s">
        <v>108</v>
      </c>
      <c r="F259" t="s">
        <v>152</v>
      </c>
      <c r="G259" t="s">
        <v>39</v>
      </c>
      <c r="H259" t="s">
        <v>98</v>
      </c>
      <c r="I259" t="s">
        <v>92</v>
      </c>
      <c r="J259" t="s">
        <v>35</v>
      </c>
      <c r="K259" t="s">
        <v>617</v>
      </c>
      <c r="L259">
        <v>516.96</v>
      </c>
      <c r="M259">
        <v>745.38</v>
      </c>
      <c r="N259">
        <v>0.19700000000000001</v>
      </c>
      <c r="O259">
        <v>4</v>
      </c>
    </row>
    <row r="260" spans="1:15" x14ac:dyDescent="0.35">
      <c r="A260" t="s">
        <v>618</v>
      </c>
      <c r="B260" s="1">
        <v>45835</v>
      </c>
      <c r="C260" s="1">
        <v>45843</v>
      </c>
      <c r="D260" t="s">
        <v>78</v>
      </c>
      <c r="E260" t="s">
        <v>79</v>
      </c>
      <c r="F260" t="s">
        <v>159</v>
      </c>
      <c r="G260" t="s">
        <v>62</v>
      </c>
      <c r="H260" t="s">
        <v>98</v>
      </c>
      <c r="I260" t="s">
        <v>41</v>
      </c>
      <c r="J260" t="s">
        <v>64</v>
      </c>
      <c r="K260" t="s">
        <v>619</v>
      </c>
      <c r="L260">
        <v>314.93</v>
      </c>
      <c r="M260">
        <v>687.95</v>
      </c>
      <c r="N260">
        <v>0.20499999999999999</v>
      </c>
      <c r="O260">
        <v>8</v>
      </c>
    </row>
    <row r="261" spans="1:15" x14ac:dyDescent="0.35">
      <c r="A261" t="s">
        <v>620</v>
      </c>
      <c r="B261" s="1">
        <v>45210</v>
      </c>
      <c r="C261" s="1">
        <v>45212</v>
      </c>
      <c r="D261" t="s">
        <v>52</v>
      </c>
      <c r="E261" t="s">
        <v>73</v>
      </c>
      <c r="F261" t="s">
        <v>87</v>
      </c>
      <c r="G261" t="s">
        <v>48</v>
      </c>
      <c r="H261" t="s">
        <v>55</v>
      </c>
      <c r="J261" t="s">
        <v>81</v>
      </c>
      <c r="K261" t="s">
        <v>621</v>
      </c>
      <c r="L261">
        <v>715.94</v>
      </c>
      <c r="M261">
        <v>550.07000000000005</v>
      </c>
      <c r="N261">
        <v>0.14000000000000001</v>
      </c>
      <c r="O261">
        <v>16</v>
      </c>
    </row>
    <row r="262" spans="1:15" x14ac:dyDescent="0.35">
      <c r="A262" t="s">
        <v>622</v>
      </c>
      <c r="B262" s="1">
        <v>45066</v>
      </c>
      <c r="C262" s="1">
        <v>45084</v>
      </c>
      <c r="D262" t="s">
        <v>16</v>
      </c>
      <c r="E262" t="s">
        <v>25</v>
      </c>
      <c r="F262" t="s">
        <v>26</v>
      </c>
      <c r="G262" t="s">
        <v>105</v>
      </c>
      <c r="H262" t="s">
        <v>55</v>
      </c>
      <c r="I262" t="s">
        <v>63</v>
      </c>
      <c r="J262" t="s">
        <v>22</v>
      </c>
      <c r="K262" t="s">
        <v>623</v>
      </c>
      <c r="L262">
        <v>1120.06</v>
      </c>
      <c r="M262">
        <v>2068.21</v>
      </c>
      <c r="N262">
        <v>7.8E-2</v>
      </c>
      <c r="O262">
        <v>12</v>
      </c>
    </row>
    <row r="263" spans="1:15" x14ac:dyDescent="0.35">
      <c r="A263" t="s">
        <v>624</v>
      </c>
      <c r="B263" s="1">
        <v>45073</v>
      </c>
      <c r="C263" s="1">
        <v>45096</v>
      </c>
      <c r="D263" t="s">
        <v>78</v>
      </c>
      <c r="E263" t="s">
        <v>79</v>
      </c>
      <c r="F263" t="s">
        <v>80</v>
      </c>
      <c r="G263" t="s">
        <v>27</v>
      </c>
      <c r="H263" t="s">
        <v>20</v>
      </c>
      <c r="I263" t="s">
        <v>68</v>
      </c>
      <c r="J263" t="s">
        <v>81</v>
      </c>
      <c r="K263" t="s">
        <v>625</v>
      </c>
      <c r="L263">
        <v>1471.58</v>
      </c>
      <c r="M263">
        <v>2576.65</v>
      </c>
      <c r="N263">
        <v>4.0000000000000001E-3</v>
      </c>
      <c r="O263">
        <v>7</v>
      </c>
    </row>
    <row r="264" spans="1:15" x14ac:dyDescent="0.35">
      <c r="A264" t="s">
        <v>626</v>
      </c>
      <c r="B264" s="1">
        <v>45142</v>
      </c>
      <c r="C264" s="1">
        <v>45162</v>
      </c>
      <c r="D264" t="s">
        <v>52</v>
      </c>
      <c r="E264" t="s">
        <v>73</v>
      </c>
      <c r="F264" t="s">
        <v>87</v>
      </c>
      <c r="G264" t="s">
        <v>39</v>
      </c>
      <c r="H264" t="s">
        <v>98</v>
      </c>
      <c r="J264" t="s">
        <v>35</v>
      </c>
      <c r="K264" t="s">
        <v>627</v>
      </c>
      <c r="L264">
        <v>582.88</v>
      </c>
      <c r="M264">
        <v>1044.1400000000001</v>
      </c>
      <c r="N264">
        <v>0.216</v>
      </c>
      <c r="O264">
        <v>10</v>
      </c>
    </row>
    <row r="265" spans="1:15" x14ac:dyDescent="0.35">
      <c r="A265" t="s">
        <v>628</v>
      </c>
      <c r="B265" s="1">
        <v>45829</v>
      </c>
      <c r="C265" s="1">
        <v>45835</v>
      </c>
      <c r="D265" t="s">
        <v>16</v>
      </c>
      <c r="E265" t="s">
        <v>148</v>
      </c>
      <c r="F265" t="s">
        <v>172</v>
      </c>
      <c r="G265" t="s">
        <v>105</v>
      </c>
      <c r="H265" t="s">
        <v>55</v>
      </c>
      <c r="I265" t="s">
        <v>126</v>
      </c>
      <c r="J265" t="s">
        <v>42</v>
      </c>
      <c r="K265" t="s">
        <v>629</v>
      </c>
      <c r="L265">
        <v>93.91</v>
      </c>
      <c r="M265">
        <v>99.04</v>
      </c>
      <c r="N265">
        <v>5.7000000000000002E-2</v>
      </c>
      <c r="O265">
        <v>6</v>
      </c>
    </row>
    <row r="266" spans="1:15" x14ac:dyDescent="0.35">
      <c r="A266" t="s">
        <v>630</v>
      </c>
      <c r="B266" s="1">
        <v>45763</v>
      </c>
      <c r="C266" s="1">
        <v>45773</v>
      </c>
      <c r="D266" t="s">
        <v>16</v>
      </c>
      <c r="E266" t="s">
        <v>25</v>
      </c>
      <c r="F266" t="s">
        <v>26</v>
      </c>
      <c r="G266" t="s">
        <v>105</v>
      </c>
      <c r="H266" t="s">
        <v>40</v>
      </c>
      <c r="I266" t="s">
        <v>84</v>
      </c>
      <c r="J266" t="s">
        <v>57</v>
      </c>
      <c r="K266" t="s">
        <v>631</v>
      </c>
      <c r="L266">
        <v>1457.44</v>
      </c>
      <c r="M266">
        <v>1996.81</v>
      </c>
      <c r="N266">
        <v>0.126</v>
      </c>
      <c r="O266">
        <v>23</v>
      </c>
    </row>
    <row r="267" spans="1:15" x14ac:dyDescent="0.35">
      <c r="A267" t="s">
        <v>632</v>
      </c>
      <c r="B267" s="1">
        <v>45902</v>
      </c>
      <c r="C267" s="1">
        <v>45911</v>
      </c>
      <c r="D267" t="s">
        <v>52</v>
      </c>
      <c r="E267" t="s">
        <v>53</v>
      </c>
      <c r="F267" t="s">
        <v>54</v>
      </c>
      <c r="G267" t="s">
        <v>19</v>
      </c>
      <c r="H267" t="s">
        <v>55</v>
      </c>
      <c r="I267" t="s">
        <v>110</v>
      </c>
      <c r="J267" t="s">
        <v>30</v>
      </c>
      <c r="K267" t="s">
        <v>633</v>
      </c>
      <c r="L267">
        <v>1207.6300000000001</v>
      </c>
      <c r="M267">
        <v>921.68</v>
      </c>
      <c r="N267">
        <v>0.19600000000000001</v>
      </c>
      <c r="O267">
        <v>17</v>
      </c>
    </row>
    <row r="268" spans="1:15" x14ac:dyDescent="0.35">
      <c r="A268" t="s">
        <v>634</v>
      </c>
      <c r="B268" s="1">
        <v>45573</v>
      </c>
      <c r="C268" s="1">
        <v>45573</v>
      </c>
      <c r="D268" t="s">
        <v>78</v>
      </c>
      <c r="E268" t="s">
        <v>108</v>
      </c>
      <c r="F268" t="s">
        <v>152</v>
      </c>
      <c r="G268" t="s">
        <v>19</v>
      </c>
      <c r="H268" t="s">
        <v>28</v>
      </c>
      <c r="I268" t="s">
        <v>63</v>
      </c>
      <c r="J268" t="s">
        <v>64</v>
      </c>
      <c r="K268" t="s">
        <v>635</v>
      </c>
      <c r="L268">
        <v>1108.1099999999999</v>
      </c>
      <c r="M268">
        <v>2503.79</v>
      </c>
      <c r="N268">
        <v>0.184</v>
      </c>
      <c r="O268">
        <v>19</v>
      </c>
    </row>
    <row r="269" spans="1:15" x14ac:dyDescent="0.35">
      <c r="A269" t="s">
        <v>636</v>
      </c>
      <c r="B269" s="1">
        <v>45053</v>
      </c>
      <c r="C269" s="1">
        <v>45051</v>
      </c>
      <c r="D269" t="s">
        <v>16</v>
      </c>
      <c r="E269" t="s">
        <v>25</v>
      </c>
      <c r="F269" t="s">
        <v>26</v>
      </c>
      <c r="G269" t="s">
        <v>39</v>
      </c>
      <c r="H269" t="s">
        <v>40</v>
      </c>
      <c r="I269" t="s">
        <v>75</v>
      </c>
      <c r="J269" t="s">
        <v>22</v>
      </c>
      <c r="K269" t="s">
        <v>637</v>
      </c>
      <c r="L269">
        <v>1269.6500000000001</v>
      </c>
      <c r="M269">
        <v>2462.77</v>
      </c>
      <c r="N269">
        <v>0.107</v>
      </c>
      <c r="O269">
        <v>8</v>
      </c>
    </row>
    <row r="270" spans="1:15" x14ac:dyDescent="0.35">
      <c r="A270" t="s">
        <v>638</v>
      </c>
      <c r="B270" s="1">
        <v>45284</v>
      </c>
      <c r="C270" s="1">
        <v>45292</v>
      </c>
      <c r="D270" t="s">
        <v>52</v>
      </c>
      <c r="E270" t="s">
        <v>73</v>
      </c>
      <c r="F270" t="s">
        <v>74</v>
      </c>
      <c r="G270" t="s">
        <v>27</v>
      </c>
      <c r="H270" t="s">
        <v>98</v>
      </c>
      <c r="I270" t="s">
        <v>21</v>
      </c>
      <c r="J270" t="s">
        <v>42</v>
      </c>
      <c r="K270" t="s">
        <v>639</v>
      </c>
      <c r="L270">
        <v>526.49</v>
      </c>
      <c r="M270">
        <v>496.2</v>
      </c>
      <c r="N270">
        <v>0</v>
      </c>
      <c r="O270">
        <v>14</v>
      </c>
    </row>
    <row r="271" spans="1:15" x14ac:dyDescent="0.35">
      <c r="A271" t="s">
        <v>640</v>
      </c>
      <c r="B271" s="1">
        <v>45301</v>
      </c>
      <c r="C271" s="1">
        <v>45314</v>
      </c>
      <c r="D271" t="s">
        <v>78</v>
      </c>
      <c r="E271" t="s">
        <v>90</v>
      </c>
      <c r="F271" t="s">
        <v>91</v>
      </c>
      <c r="G271" t="s">
        <v>19</v>
      </c>
      <c r="H271" t="s">
        <v>98</v>
      </c>
      <c r="I271" t="s">
        <v>75</v>
      </c>
      <c r="J271" t="s">
        <v>30</v>
      </c>
      <c r="K271" t="s">
        <v>641</v>
      </c>
      <c r="L271">
        <v>720</v>
      </c>
      <c r="M271">
        <v>907.59</v>
      </c>
      <c r="N271">
        <v>0.154</v>
      </c>
      <c r="O271">
        <v>10</v>
      </c>
    </row>
    <row r="272" spans="1:15" x14ac:dyDescent="0.35">
      <c r="A272" t="s">
        <v>642</v>
      </c>
      <c r="B272" s="1">
        <v>45141</v>
      </c>
      <c r="C272" s="1">
        <v>45152</v>
      </c>
      <c r="D272" t="s">
        <v>52</v>
      </c>
      <c r="E272" t="s">
        <v>73</v>
      </c>
      <c r="F272" t="s">
        <v>87</v>
      </c>
      <c r="G272" t="s">
        <v>19</v>
      </c>
      <c r="H272" t="s">
        <v>98</v>
      </c>
      <c r="I272" t="s">
        <v>29</v>
      </c>
      <c r="J272" t="s">
        <v>81</v>
      </c>
      <c r="K272" t="s">
        <v>643</v>
      </c>
      <c r="L272">
        <v>232.73</v>
      </c>
      <c r="M272">
        <v>334.19</v>
      </c>
      <c r="N272">
        <v>0.13400000000000001</v>
      </c>
      <c r="O272">
        <v>25</v>
      </c>
    </row>
    <row r="273" spans="1:15" x14ac:dyDescent="0.35">
      <c r="A273" t="s">
        <v>644</v>
      </c>
      <c r="B273" s="1">
        <v>45707</v>
      </c>
      <c r="C273" s="1">
        <v>45725</v>
      </c>
      <c r="D273" t="s">
        <v>45</v>
      </c>
      <c r="E273" t="s">
        <v>60</v>
      </c>
      <c r="F273" t="s">
        <v>141</v>
      </c>
      <c r="G273" t="s">
        <v>62</v>
      </c>
      <c r="H273" t="s">
        <v>98</v>
      </c>
      <c r="I273" t="s">
        <v>68</v>
      </c>
      <c r="J273" t="s">
        <v>64</v>
      </c>
      <c r="K273" t="s">
        <v>645</v>
      </c>
      <c r="L273">
        <v>325.87</v>
      </c>
      <c r="M273">
        <v>538.79</v>
      </c>
      <c r="N273">
        <v>0.17399999999999999</v>
      </c>
      <c r="O273">
        <v>16</v>
      </c>
    </row>
    <row r="274" spans="1:15" x14ac:dyDescent="0.35">
      <c r="A274" t="s">
        <v>646</v>
      </c>
      <c r="B274" s="1">
        <v>45382</v>
      </c>
      <c r="C274" s="1">
        <v>45399</v>
      </c>
      <c r="D274" t="s">
        <v>78</v>
      </c>
      <c r="E274" t="s">
        <v>79</v>
      </c>
      <c r="F274" t="s">
        <v>335</v>
      </c>
      <c r="G274" t="s">
        <v>27</v>
      </c>
      <c r="H274" t="s">
        <v>98</v>
      </c>
      <c r="I274" t="s">
        <v>92</v>
      </c>
      <c r="J274" t="s">
        <v>64</v>
      </c>
      <c r="K274" t="s">
        <v>647</v>
      </c>
      <c r="L274">
        <v>1025.51</v>
      </c>
      <c r="M274">
        <v>1436.54</v>
      </c>
      <c r="N274">
        <v>0.13900000000000001</v>
      </c>
      <c r="O274">
        <v>28</v>
      </c>
    </row>
    <row r="275" spans="1:15" x14ac:dyDescent="0.35">
      <c r="A275" t="s">
        <v>648</v>
      </c>
      <c r="B275" s="1">
        <v>45131</v>
      </c>
      <c r="C275" s="1">
        <v>45151</v>
      </c>
      <c r="D275" t="s">
        <v>52</v>
      </c>
      <c r="E275" t="s">
        <v>53</v>
      </c>
      <c r="F275" t="s">
        <v>144</v>
      </c>
      <c r="G275" t="s">
        <v>27</v>
      </c>
      <c r="H275" t="s">
        <v>98</v>
      </c>
      <c r="I275" t="s">
        <v>21</v>
      </c>
      <c r="J275" t="s">
        <v>64</v>
      </c>
      <c r="K275" t="s">
        <v>649</v>
      </c>
      <c r="L275">
        <v>1082.3800000000001</v>
      </c>
      <c r="M275">
        <v>1766.55</v>
      </c>
      <c r="N275">
        <v>0.16400000000000001</v>
      </c>
      <c r="O275">
        <v>20</v>
      </c>
    </row>
    <row r="276" spans="1:15" x14ac:dyDescent="0.35">
      <c r="A276" t="s">
        <v>650</v>
      </c>
      <c r="B276" s="1">
        <v>45367</v>
      </c>
      <c r="C276" s="1">
        <v>45395</v>
      </c>
      <c r="D276" t="s">
        <v>78</v>
      </c>
      <c r="E276" t="s">
        <v>90</v>
      </c>
      <c r="F276" t="s">
        <v>217</v>
      </c>
      <c r="G276" t="s">
        <v>62</v>
      </c>
      <c r="H276" t="s">
        <v>28</v>
      </c>
      <c r="I276" t="s">
        <v>95</v>
      </c>
      <c r="J276" t="s">
        <v>30</v>
      </c>
      <c r="K276" t="s">
        <v>651</v>
      </c>
      <c r="L276">
        <v>287.61</v>
      </c>
      <c r="M276">
        <v>628.54</v>
      </c>
      <c r="N276">
        <v>0.13500000000000001</v>
      </c>
      <c r="O276">
        <v>21</v>
      </c>
    </row>
    <row r="277" spans="1:15" x14ac:dyDescent="0.35">
      <c r="A277" t="s">
        <v>652</v>
      </c>
      <c r="B277" s="1">
        <v>45316</v>
      </c>
      <c r="C277" s="1">
        <v>45318</v>
      </c>
      <c r="D277" t="s">
        <v>52</v>
      </c>
      <c r="E277" t="s">
        <v>73</v>
      </c>
      <c r="F277" t="s">
        <v>74</v>
      </c>
      <c r="G277" t="s">
        <v>39</v>
      </c>
      <c r="H277" t="s">
        <v>40</v>
      </c>
      <c r="I277" t="s">
        <v>126</v>
      </c>
      <c r="J277" t="s">
        <v>57</v>
      </c>
      <c r="K277" t="s">
        <v>653</v>
      </c>
      <c r="L277">
        <v>1410.97</v>
      </c>
      <c r="M277">
        <v>1650.75</v>
      </c>
      <c r="N277">
        <v>0.13500000000000001</v>
      </c>
      <c r="O277">
        <v>6</v>
      </c>
    </row>
    <row r="278" spans="1:15" x14ac:dyDescent="0.35">
      <c r="A278" t="s">
        <v>654</v>
      </c>
      <c r="B278" s="1">
        <v>45378</v>
      </c>
      <c r="C278" s="1">
        <v>45393</v>
      </c>
      <c r="D278" t="s">
        <v>52</v>
      </c>
      <c r="E278" t="s">
        <v>122</v>
      </c>
      <c r="F278" t="s">
        <v>167</v>
      </c>
      <c r="G278" t="s">
        <v>62</v>
      </c>
      <c r="H278" t="s">
        <v>98</v>
      </c>
      <c r="I278" t="s">
        <v>68</v>
      </c>
      <c r="J278" t="s">
        <v>35</v>
      </c>
      <c r="K278" t="s">
        <v>655</v>
      </c>
      <c r="L278">
        <v>1338.35</v>
      </c>
      <c r="M278">
        <v>2247.14</v>
      </c>
      <c r="N278">
        <v>0.115</v>
      </c>
      <c r="O278">
        <v>40</v>
      </c>
    </row>
    <row r="279" spans="1:15" x14ac:dyDescent="0.35">
      <c r="A279" t="s">
        <v>656</v>
      </c>
      <c r="B279" s="1">
        <v>45832</v>
      </c>
      <c r="C279" s="1">
        <v>45852</v>
      </c>
      <c r="D279" t="s">
        <v>78</v>
      </c>
      <c r="E279" t="s">
        <v>79</v>
      </c>
      <c r="F279" t="s">
        <v>80</v>
      </c>
      <c r="G279" t="s">
        <v>19</v>
      </c>
      <c r="H279" t="s">
        <v>98</v>
      </c>
      <c r="I279" t="s">
        <v>68</v>
      </c>
      <c r="J279" t="s">
        <v>81</v>
      </c>
      <c r="K279" t="s">
        <v>657</v>
      </c>
      <c r="L279">
        <v>385.08</v>
      </c>
      <c r="M279">
        <v>893.19</v>
      </c>
      <c r="N279">
        <v>0.151</v>
      </c>
      <c r="O279">
        <v>8</v>
      </c>
    </row>
    <row r="280" spans="1:15" x14ac:dyDescent="0.35">
      <c r="A280" t="s">
        <v>658</v>
      </c>
      <c r="B280" s="1">
        <v>45459</v>
      </c>
      <c r="C280" s="1">
        <v>45476</v>
      </c>
      <c r="D280" t="s">
        <v>16</v>
      </c>
      <c r="E280" t="s">
        <v>148</v>
      </c>
      <c r="F280" t="s">
        <v>149</v>
      </c>
      <c r="G280" t="s">
        <v>105</v>
      </c>
      <c r="H280" t="s">
        <v>40</v>
      </c>
      <c r="I280" t="s">
        <v>84</v>
      </c>
      <c r="J280" t="s">
        <v>42</v>
      </c>
      <c r="K280" t="s">
        <v>659</v>
      </c>
      <c r="L280">
        <v>1173.83</v>
      </c>
      <c r="M280">
        <v>2328.9</v>
      </c>
      <c r="N280">
        <v>0.12</v>
      </c>
      <c r="O280">
        <v>17</v>
      </c>
    </row>
    <row r="281" spans="1:15" x14ac:dyDescent="0.35">
      <c r="A281" t="s">
        <v>660</v>
      </c>
      <c r="B281" s="1">
        <v>45229</v>
      </c>
      <c r="C281" s="1">
        <v>45244</v>
      </c>
      <c r="D281" t="s">
        <v>45</v>
      </c>
      <c r="E281" t="s">
        <v>60</v>
      </c>
      <c r="F281" t="s">
        <v>61</v>
      </c>
      <c r="G281" t="s">
        <v>19</v>
      </c>
      <c r="H281" t="s">
        <v>28</v>
      </c>
      <c r="I281" t="s">
        <v>84</v>
      </c>
      <c r="J281" t="s">
        <v>57</v>
      </c>
      <c r="K281" t="s">
        <v>661</v>
      </c>
      <c r="L281">
        <v>953.46</v>
      </c>
      <c r="M281">
        <v>2066.75</v>
      </c>
      <c r="N281">
        <v>0.13800000000000001</v>
      </c>
      <c r="O281">
        <v>5</v>
      </c>
    </row>
    <row r="282" spans="1:15" x14ac:dyDescent="0.35">
      <c r="A282" t="s">
        <v>662</v>
      </c>
      <c r="B282" s="1">
        <v>45092</v>
      </c>
      <c r="C282" s="1">
        <v>45100</v>
      </c>
      <c r="D282" t="s">
        <v>52</v>
      </c>
      <c r="E282" t="s">
        <v>122</v>
      </c>
      <c r="F282" t="s">
        <v>167</v>
      </c>
      <c r="G282" t="s">
        <v>48</v>
      </c>
      <c r="H282" t="s">
        <v>55</v>
      </c>
      <c r="I282" t="s">
        <v>68</v>
      </c>
      <c r="J282" t="s">
        <v>64</v>
      </c>
      <c r="K282" t="s">
        <v>663</v>
      </c>
      <c r="L282">
        <v>1097.0899999999999</v>
      </c>
      <c r="M282">
        <v>2182.31</v>
      </c>
      <c r="N282">
        <v>0.112</v>
      </c>
      <c r="O282">
        <v>9</v>
      </c>
    </row>
    <row r="283" spans="1:15" x14ac:dyDescent="0.35">
      <c r="A283" t="s">
        <v>664</v>
      </c>
      <c r="B283" s="1">
        <v>45730</v>
      </c>
      <c r="C283" s="1">
        <v>45745</v>
      </c>
      <c r="D283" t="s">
        <v>45</v>
      </c>
      <c r="E283" t="s">
        <v>46</v>
      </c>
      <c r="F283" t="s">
        <v>214</v>
      </c>
      <c r="G283" t="s">
        <v>39</v>
      </c>
      <c r="H283" t="s">
        <v>98</v>
      </c>
      <c r="I283" t="s">
        <v>92</v>
      </c>
      <c r="J283" t="s">
        <v>35</v>
      </c>
      <c r="K283" t="s">
        <v>665</v>
      </c>
      <c r="L283">
        <v>1106.96</v>
      </c>
      <c r="M283">
        <v>2726.62</v>
      </c>
      <c r="N283">
        <v>0.317</v>
      </c>
      <c r="O283">
        <v>7</v>
      </c>
    </row>
    <row r="284" spans="1:15" x14ac:dyDescent="0.35">
      <c r="A284" t="s">
        <v>666</v>
      </c>
      <c r="B284" s="1">
        <v>45153</v>
      </c>
      <c r="C284" s="1">
        <v>45163</v>
      </c>
      <c r="D284" t="s">
        <v>16</v>
      </c>
      <c r="E284" t="s">
        <v>17</v>
      </c>
      <c r="F284" t="s">
        <v>33</v>
      </c>
      <c r="G284" t="s">
        <v>62</v>
      </c>
      <c r="H284" t="s">
        <v>20</v>
      </c>
      <c r="I284" t="s">
        <v>126</v>
      </c>
      <c r="J284" t="s">
        <v>42</v>
      </c>
      <c r="K284" t="s">
        <v>667</v>
      </c>
      <c r="L284">
        <v>91.85</v>
      </c>
      <c r="M284">
        <v>111.29</v>
      </c>
      <c r="N284">
        <v>0</v>
      </c>
      <c r="O284">
        <v>6</v>
      </c>
    </row>
    <row r="285" spans="1:15" x14ac:dyDescent="0.35">
      <c r="A285" t="s">
        <v>668</v>
      </c>
      <c r="B285" s="1">
        <v>45794</v>
      </c>
      <c r="C285" s="1">
        <v>45805</v>
      </c>
      <c r="D285" t="s">
        <v>45</v>
      </c>
      <c r="E285" t="s">
        <v>60</v>
      </c>
      <c r="F285" t="s">
        <v>61</v>
      </c>
      <c r="G285" t="s">
        <v>19</v>
      </c>
      <c r="H285" t="s">
        <v>55</v>
      </c>
      <c r="I285" t="s">
        <v>56</v>
      </c>
      <c r="J285" t="s">
        <v>57</v>
      </c>
      <c r="K285" t="s">
        <v>669</v>
      </c>
      <c r="L285">
        <v>623.4</v>
      </c>
      <c r="M285">
        <v>1100.0899999999999</v>
      </c>
      <c r="N285">
        <v>0.114</v>
      </c>
      <c r="O285">
        <v>12</v>
      </c>
    </row>
    <row r="286" spans="1:15" x14ac:dyDescent="0.35">
      <c r="A286" t="s">
        <v>670</v>
      </c>
      <c r="B286" s="1">
        <v>45304</v>
      </c>
      <c r="C286" s="1">
        <v>45327</v>
      </c>
      <c r="D286" t="s">
        <v>78</v>
      </c>
      <c r="E286" t="s">
        <v>79</v>
      </c>
      <c r="F286" t="s">
        <v>335</v>
      </c>
      <c r="G286" t="s">
        <v>27</v>
      </c>
      <c r="H286" t="s">
        <v>98</v>
      </c>
      <c r="I286" t="s">
        <v>56</v>
      </c>
      <c r="J286" t="s">
        <v>57</v>
      </c>
      <c r="K286" t="s">
        <v>671</v>
      </c>
      <c r="L286">
        <v>1017.93</v>
      </c>
      <c r="M286">
        <v>1529.14</v>
      </c>
      <c r="N286">
        <v>0.155</v>
      </c>
      <c r="O286">
        <v>12</v>
      </c>
    </row>
    <row r="287" spans="1:15" x14ac:dyDescent="0.35">
      <c r="A287" t="s">
        <v>672</v>
      </c>
      <c r="B287" s="1">
        <v>45101</v>
      </c>
      <c r="C287" s="1">
        <v>45128</v>
      </c>
      <c r="D287" t="s">
        <v>45</v>
      </c>
      <c r="E287" t="s">
        <v>46</v>
      </c>
      <c r="F287" t="s">
        <v>231</v>
      </c>
      <c r="G287" t="s">
        <v>48</v>
      </c>
      <c r="H287" t="s">
        <v>40</v>
      </c>
      <c r="I287" t="s">
        <v>29</v>
      </c>
      <c r="J287" t="s">
        <v>42</v>
      </c>
      <c r="K287" t="s">
        <v>673</v>
      </c>
      <c r="L287">
        <v>554.76</v>
      </c>
      <c r="M287">
        <v>728.69</v>
      </c>
      <c r="N287">
        <v>0.22</v>
      </c>
      <c r="O287">
        <v>7</v>
      </c>
    </row>
    <row r="288" spans="1:15" x14ac:dyDescent="0.35">
      <c r="A288" t="s">
        <v>674</v>
      </c>
      <c r="B288" s="1">
        <v>45751</v>
      </c>
      <c r="C288" s="1">
        <v>45760</v>
      </c>
      <c r="D288" t="s">
        <v>78</v>
      </c>
      <c r="E288" t="s">
        <v>79</v>
      </c>
      <c r="F288" t="s">
        <v>159</v>
      </c>
      <c r="G288" t="s">
        <v>48</v>
      </c>
      <c r="H288" t="s">
        <v>40</v>
      </c>
      <c r="I288" t="s">
        <v>84</v>
      </c>
      <c r="J288" t="s">
        <v>42</v>
      </c>
      <c r="K288" t="s">
        <v>675</v>
      </c>
      <c r="L288">
        <v>7.02</v>
      </c>
      <c r="M288">
        <v>6.28</v>
      </c>
      <c r="N288">
        <v>0.13400000000000001</v>
      </c>
      <c r="O288">
        <v>14</v>
      </c>
    </row>
    <row r="289" spans="1:15" x14ac:dyDescent="0.35">
      <c r="A289" t="s">
        <v>676</v>
      </c>
      <c r="B289" s="1">
        <v>45542</v>
      </c>
      <c r="C289" s="1">
        <v>45542</v>
      </c>
      <c r="D289" t="s">
        <v>45</v>
      </c>
      <c r="E289" t="s">
        <v>60</v>
      </c>
      <c r="F289" t="s">
        <v>220</v>
      </c>
      <c r="G289" t="s">
        <v>27</v>
      </c>
      <c r="H289" t="s">
        <v>55</v>
      </c>
      <c r="I289" t="s">
        <v>56</v>
      </c>
      <c r="J289" t="s">
        <v>35</v>
      </c>
      <c r="K289" t="s">
        <v>677</v>
      </c>
      <c r="L289">
        <v>1066.6500000000001</v>
      </c>
      <c r="M289">
        <v>2569.77</v>
      </c>
      <c r="N289">
        <v>0.13400000000000001</v>
      </c>
      <c r="O289">
        <v>9</v>
      </c>
    </row>
    <row r="290" spans="1:15" x14ac:dyDescent="0.35">
      <c r="A290" t="s">
        <v>678</v>
      </c>
      <c r="B290" s="1">
        <v>45319</v>
      </c>
      <c r="C290" s="1">
        <v>45321</v>
      </c>
      <c r="D290" t="s">
        <v>16</v>
      </c>
      <c r="E290" t="s">
        <v>148</v>
      </c>
      <c r="F290" t="s">
        <v>258</v>
      </c>
      <c r="G290" t="s">
        <v>48</v>
      </c>
      <c r="H290" t="s">
        <v>98</v>
      </c>
      <c r="I290" t="s">
        <v>84</v>
      </c>
      <c r="J290" t="s">
        <v>81</v>
      </c>
      <c r="K290" t="s">
        <v>679</v>
      </c>
      <c r="L290">
        <v>798.45</v>
      </c>
      <c r="M290">
        <v>1592.02</v>
      </c>
      <c r="N290">
        <v>6.6000000000000003E-2</v>
      </c>
      <c r="O290">
        <v>18</v>
      </c>
    </row>
    <row r="291" spans="1:15" x14ac:dyDescent="0.35">
      <c r="A291" t="s">
        <v>680</v>
      </c>
      <c r="B291" s="1">
        <v>45125</v>
      </c>
      <c r="C291" s="1">
        <v>45148</v>
      </c>
      <c r="D291" t="s">
        <v>16</v>
      </c>
      <c r="E291" t="s">
        <v>148</v>
      </c>
      <c r="F291" t="s">
        <v>149</v>
      </c>
      <c r="G291" t="s">
        <v>62</v>
      </c>
      <c r="H291" t="s">
        <v>20</v>
      </c>
      <c r="I291" t="s">
        <v>49</v>
      </c>
      <c r="J291" t="s">
        <v>22</v>
      </c>
      <c r="K291" t="s">
        <v>681</v>
      </c>
      <c r="L291">
        <v>1271.56</v>
      </c>
      <c r="M291">
        <v>995.47</v>
      </c>
      <c r="N291">
        <v>0.192</v>
      </c>
      <c r="O291">
        <v>13</v>
      </c>
    </row>
    <row r="292" spans="1:15" x14ac:dyDescent="0.35">
      <c r="A292" t="s">
        <v>682</v>
      </c>
      <c r="B292" s="1">
        <v>45897</v>
      </c>
      <c r="C292" s="1">
        <v>45895</v>
      </c>
      <c r="D292" t="s">
        <v>16</v>
      </c>
      <c r="E292" t="s">
        <v>25</v>
      </c>
      <c r="F292" t="s">
        <v>26</v>
      </c>
      <c r="G292" t="s">
        <v>62</v>
      </c>
      <c r="H292" t="s">
        <v>20</v>
      </c>
      <c r="I292" t="s">
        <v>75</v>
      </c>
      <c r="J292" t="s">
        <v>81</v>
      </c>
      <c r="K292" t="s">
        <v>683</v>
      </c>
      <c r="L292">
        <v>521.05999999999995</v>
      </c>
      <c r="M292">
        <v>1240.31</v>
      </c>
      <c r="N292">
        <v>0.14599999999999999</v>
      </c>
      <c r="O292">
        <v>18</v>
      </c>
    </row>
    <row r="293" spans="1:15" x14ac:dyDescent="0.35">
      <c r="A293" t="s">
        <v>684</v>
      </c>
      <c r="B293" s="1">
        <v>45746</v>
      </c>
      <c r="C293" s="1">
        <v>45754</v>
      </c>
      <c r="D293" t="s">
        <v>52</v>
      </c>
      <c r="E293" t="s">
        <v>73</v>
      </c>
      <c r="F293" t="s">
        <v>74</v>
      </c>
      <c r="G293" t="s">
        <v>39</v>
      </c>
      <c r="H293" t="s">
        <v>98</v>
      </c>
      <c r="I293" t="s">
        <v>49</v>
      </c>
      <c r="J293" t="s">
        <v>30</v>
      </c>
      <c r="K293" t="s">
        <v>685</v>
      </c>
      <c r="L293">
        <v>71.62</v>
      </c>
      <c r="M293">
        <v>118.37</v>
      </c>
      <c r="N293">
        <v>0.156</v>
      </c>
      <c r="O293">
        <v>11</v>
      </c>
    </row>
    <row r="294" spans="1:15" x14ac:dyDescent="0.35">
      <c r="A294" t="s">
        <v>686</v>
      </c>
      <c r="B294" s="1">
        <v>45220</v>
      </c>
      <c r="C294" s="1">
        <v>45239</v>
      </c>
      <c r="D294" t="s">
        <v>78</v>
      </c>
      <c r="E294" t="s">
        <v>108</v>
      </c>
      <c r="F294" t="s">
        <v>152</v>
      </c>
      <c r="G294" t="s">
        <v>39</v>
      </c>
      <c r="H294" t="s">
        <v>98</v>
      </c>
      <c r="I294" t="s">
        <v>75</v>
      </c>
      <c r="J294" t="s">
        <v>81</v>
      </c>
      <c r="K294" t="s">
        <v>687</v>
      </c>
      <c r="L294">
        <v>1142.48</v>
      </c>
      <c r="M294">
        <v>2105.5300000000002</v>
      </c>
      <c r="N294">
        <v>0.20699999999999999</v>
      </c>
      <c r="O294">
        <v>14</v>
      </c>
    </row>
    <row r="295" spans="1:15" x14ac:dyDescent="0.35">
      <c r="A295" t="s">
        <v>688</v>
      </c>
      <c r="B295" s="1">
        <v>45161</v>
      </c>
      <c r="C295" s="1">
        <v>45191</v>
      </c>
      <c r="D295" t="s">
        <v>78</v>
      </c>
      <c r="E295" t="s">
        <v>108</v>
      </c>
      <c r="F295" t="s">
        <v>152</v>
      </c>
      <c r="G295" t="s">
        <v>48</v>
      </c>
      <c r="H295" t="s">
        <v>55</v>
      </c>
      <c r="I295" t="s">
        <v>68</v>
      </c>
      <c r="J295" t="s">
        <v>81</v>
      </c>
      <c r="K295" t="s">
        <v>689</v>
      </c>
      <c r="L295">
        <v>209.81</v>
      </c>
      <c r="M295">
        <v>523</v>
      </c>
      <c r="N295">
        <v>5.8999999999999997E-2</v>
      </c>
      <c r="O295">
        <v>15</v>
      </c>
    </row>
    <row r="296" spans="1:15" x14ac:dyDescent="0.35">
      <c r="A296" t="s">
        <v>690</v>
      </c>
      <c r="B296" s="1">
        <v>45758</v>
      </c>
      <c r="C296" s="1">
        <v>45781</v>
      </c>
      <c r="D296" t="s">
        <v>45</v>
      </c>
      <c r="E296" t="s">
        <v>46</v>
      </c>
      <c r="F296" t="s">
        <v>47</v>
      </c>
      <c r="G296" t="s">
        <v>62</v>
      </c>
      <c r="H296" t="s">
        <v>28</v>
      </c>
      <c r="I296" t="s">
        <v>110</v>
      </c>
      <c r="J296" t="s">
        <v>22</v>
      </c>
      <c r="K296" t="s">
        <v>691</v>
      </c>
      <c r="L296">
        <v>786.2</v>
      </c>
      <c r="M296">
        <v>1075.3</v>
      </c>
      <c r="N296">
        <v>0.08</v>
      </c>
      <c r="O296">
        <v>9</v>
      </c>
    </row>
    <row r="297" spans="1:15" x14ac:dyDescent="0.35">
      <c r="A297" t="s">
        <v>692</v>
      </c>
      <c r="B297" s="1">
        <v>45809</v>
      </c>
      <c r="C297" s="1">
        <v>45835</v>
      </c>
      <c r="D297" t="s">
        <v>78</v>
      </c>
      <c r="E297" t="s">
        <v>79</v>
      </c>
      <c r="F297" t="s">
        <v>159</v>
      </c>
      <c r="G297" t="s">
        <v>48</v>
      </c>
      <c r="H297" t="s">
        <v>55</v>
      </c>
      <c r="I297" t="s">
        <v>63</v>
      </c>
      <c r="J297" t="s">
        <v>57</v>
      </c>
      <c r="K297" t="s">
        <v>693</v>
      </c>
      <c r="L297">
        <v>1362.31</v>
      </c>
      <c r="M297">
        <v>3294.57</v>
      </c>
      <c r="N297">
        <v>0.113</v>
      </c>
      <c r="O297">
        <v>7</v>
      </c>
    </row>
    <row r="298" spans="1:15" x14ac:dyDescent="0.35">
      <c r="A298" t="s">
        <v>694</v>
      </c>
      <c r="B298" s="1">
        <v>45353</v>
      </c>
      <c r="C298" s="1">
        <v>45367</v>
      </c>
      <c r="D298" t="s">
        <v>52</v>
      </c>
      <c r="E298" t="s">
        <v>53</v>
      </c>
      <c r="F298" t="s">
        <v>179</v>
      </c>
      <c r="G298" t="s">
        <v>39</v>
      </c>
      <c r="H298" t="s">
        <v>98</v>
      </c>
      <c r="I298" t="s">
        <v>68</v>
      </c>
      <c r="J298" t="s">
        <v>30</v>
      </c>
      <c r="K298" t="s">
        <v>695</v>
      </c>
      <c r="L298">
        <v>248.24</v>
      </c>
      <c r="M298">
        <v>464.05</v>
      </c>
      <c r="N298">
        <v>0.16900000000000001</v>
      </c>
      <c r="O298">
        <v>11</v>
      </c>
    </row>
    <row r="299" spans="1:15" x14ac:dyDescent="0.35">
      <c r="A299" t="s">
        <v>696</v>
      </c>
      <c r="B299" s="1">
        <v>45097</v>
      </c>
      <c r="C299" s="1">
        <v>45115</v>
      </c>
      <c r="D299" t="s">
        <v>52</v>
      </c>
      <c r="E299" t="s">
        <v>122</v>
      </c>
      <c r="F299" t="s">
        <v>326</v>
      </c>
      <c r="G299" t="s">
        <v>39</v>
      </c>
      <c r="H299" t="s">
        <v>98</v>
      </c>
      <c r="I299" t="s">
        <v>84</v>
      </c>
      <c r="J299" t="s">
        <v>64</v>
      </c>
      <c r="K299" t="s">
        <v>697</v>
      </c>
      <c r="L299">
        <v>337</v>
      </c>
      <c r="M299">
        <v>511.03</v>
      </c>
      <c r="N299">
        <v>0.108</v>
      </c>
      <c r="O299">
        <v>7</v>
      </c>
    </row>
    <row r="300" spans="1:15" x14ac:dyDescent="0.35">
      <c r="A300" t="s">
        <v>698</v>
      </c>
      <c r="B300" s="1">
        <v>45377</v>
      </c>
      <c r="C300" s="1">
        <v>45387</v>
      </c>
      <c r="D300" t="s">
        <v>52</v>
      </c>
      <c r="E300" t="s">
        <v>122</v>
      </c>
      <c r="F300" t="s">
        <v>326</v>
      </c>
      <c r="G300" t="s">
        <v>48</v>
      </c>
      <c r="H300" t="s">
        <v>98</v>
      </c>
      <c r="I300" t="s">
        <v>29</v>
      </c>
      <c r="J300" t="s">
        <v>64</v>
      </c>
      <c r="K300" t="s">
        <v>699</v>
      </c>
      <c r="L300">
        <v>5.66</v>
      </c>
      <c r="M300">
        <v>4.22</v>
      </c>
      <c r="N300">
        <v>0.11899999999999999</v>
      </c>
      <c r="O300">
        <v>18</v>
      </c>
    </row>
    <row r="301" spans="1:15" x14ac:dyDescent="0.35">
      <c r="A301" t="s">
        <v>700</v>
      </c>
      <c r="B301" s="1">
        <v>45679</v>
      </c>
      <c r="C301" s="1">
        <v>45679</v>
      </c>
      <c r="D301" t="s">
        <v>78</v>
      </c>
      <c r="E301" t="s">
        <v>90</v>
      </c>
      <c r="F301" t="s">
        <v>138</v>
      </c>
      <c r="G301" t="s">
        <v>62</v>
      </c>
      <c r="H301" t="s">
        <v>28</v>
      </c>
      <c r="I301" t="s">
        <v>56</v>
      </c>
      <c r="J301" t="s">
        <v>81</v>
      </c>
      <c r="K301" t="s">
        <v>701</v>
      </c>
      <c r="L301">
        <v>591.72</v>
      </c>
      <c r="M301">
        <v>577.24</v>
      </c>
      <c r="N301">
        <v>0</v>
      </c>
      <c r="O301">
        <v>22</v>
      </c>
    </row>
    <row r="302" spans="1:15" x14ac:dyDescent="0.35">
      <c r="A302" t="s">
        <v>702</v>
      </c>
      <c r="B302" s="1">
        <v>45787</v>
      </c>
      <c r="C302" s="1">
        <v>45804</v>
      </c>
      <c r="D302" t="s">
        <v>52</v>
      </c>
      <c r="E302" t="s">
        <v>53</v>
      </c>
      <c r="F302" t="s">
        <v>179</v>
      </c>
      <c r="G302" t="s">
        <v>27</v>
      </c>
      <c r="H302" t="s">
        <v>98</v>
      </c>
      <c r="I302" t="s">
        <v>21</v>
      </c>
      <c r="J302" t="s">
        <v>22</v>
      </c>
      <c r="K302" t="s">
        <v>703</v>
      </c>
      <c r="L302">
        <v>862.89</v>
      </c>
      <c r="M302">
        <v>1426.03</v>
      </c>
      <c r="N302">
        <v>5.6000000000000001E-2</v>
      </c>
      <c r="O302">
        <v>19</v>
      </c>
    </row>
    <row r="303" spans="1:15" x14ac:dyDescent="0.35">
      <c r="A303" t="s">
        <v>704</v>
      </c>
      <c r="B303" s="1">
        <v>45204</v>
      </c>
      <c r="C303" s="1">
        <v>45230</v>
      </c>
      <c r="D303" t="s">
        <v>45</v>
      </c>
      <c r="E303" t="s">
        <v>116</v>
      </c>
      <c r="F303" t="s">
        <v>162</v>
      </c>
      <c r="G303" t="s">
        <v>48</v>
      </c>
      <c r="I303" t="s">
        <v>29</v>
      </c>
      <c r="J303" t="s">
        <v>30</v>
      </c>
      <c r="K303" t="s">
        <v>705</v>
      </c>
      <c r="L303">
        <v>649.91</v>
      </c>
      <c r="M303">
        <v>1360.12</v>
      </c>
      <c r="N303">
        <v>0.19400000000000001</v>
      </c>
      <c r="O303">
        <v>9</v>
      </c>
    </row>
    <row r="304" spans="1:15" x14ac:dyDescent="0.35">
      <c r="A304" t="s">
        <v>706</v>
      </c>
      <c r="B304" s="1">
        <v>45125</v>
      </c>
      <c r="C304" s="1">
        <v>45129</v>
      </c>
      <c r="D304" t="s">
        <v>52</v>
      </c>
      <c r="E304" t="s">
        <v>73</v>
      </c>
      <c r="F304" t="s">
        <v>74</v>
      </c>
      <c r="G304" t="s">
        <v>48</v>
      </c>
      <c r="H304" t="s">
        <v>98</v>
      </c>
      <c r="I304" t="s">
        <v>84</v>
      </c>
      <c r="J304" t="s">
        <v>35</v>
      </c>
      <c r="K304" t="s">
        <v>707</v>
      </c>
      <c r="L304">
        <v>1269.55</v>
      </c>
      <c r="M304">
        <v>2071.1</v>
      </c>
      <c r="N304">
        <v>0.129</v>
      </c>
      <c r="O304">
        <v>22</v>
      </c>
    </row>
    <row r="305" spans="1:15" x14ac:dyDescent="0.35">
      <c r="A305" t="s">
        <v>708</v>
      </c>
      <c r="B305" s="1">
        <v>45830</v>
      </c>
      <c r="C305" s="1">
        <v>45846</v>
      </c>
      <c r="D305" t="s">
        <v>78</v>
      </c>
      <c r="E305" t="s">
        <v>108</v>
      </c>
      <c r="F305" t="s">
        <v>152</v>
      </c>
      <c r="G305" t="s">
        <v>27</v>
      </c>
      <c r="H305" t="s">
        <v>98</v>
      </c>
      <c r="I305" t="s">
        <v>75</v>
      </c>
      <c r="J305" t="s">
        <v>42</v>
      </c>
      <c r="K305" t="s">
        <v>709</v>
      </c>
      <c r="L305">
        <v>892.73</v>
      </c>
      <c r="M305">
        <v>979.84</v>
      </c>
      <c r="N305">
        <v>0.17399999999999999</v>
      </c>
      <c r="O305">
        <v>10</v>
      </c>
    </row>
    <row r="306" spans="1:15" x14ac:dyDescent="0.35">
      <c r="A306" t="s">
        <v>710</v>
      </c>
      <c r="B306" s="1">
        <v>45462</v>
      </c>
      <c r="C306" s="1">
        <v>45463</v>
      </c>
      <c r="D306" t="s">
        <v>16</v>
      </c>
      <c r="E306" t="s">
        <v>17</v>
      </c>
      <c r="F306" t="s">
        <v>18</v>
      </c>
      <c r="G306" t="s">
        <v>62</v>
      </c>
      <c r="H306" t="s">
        <v>98</v>
      </c>
      <c r="I306" t="s">
        <v>29</v>
      </c>
      <c r="J306" t="s">
        <v>57</v>
      </c>
      <c r="K306" t="s">
        <v>711</v>
      </c>
      <c r="L306">
        <v>231.63</v>
      </c>
      <c r="M306">
        <v>537.39</v>
      </c>
      <c r="N306">
        <v>0.08</v>
      </c>
      <c r="O306">
        <v>12</v>
      </c>
    </row>
    <row r="307" spans="1:15" x14ac:dyDescent="0.35">
      <c r="A307" t="s">
        <v>712</v>
      </c>
      <c r="B307" s="1">
        <v>45756</v>
      </c>
      <c r="C307" s="1">
        <v>45759</v>
      </c>
      <c r="D307" t="s">
        <v>78</v>
      </c>
      <c r="E307" t="s">
        <v>90</v>
      </c>
      <c r="F307" t="s">
        <v>138</v>
      </c>
      <c r="G307" t="s">
        <v>62</v>
      </c>
      <c r="H307" t="s">
        <v>55</v>
      </c>
      <c r="I307" t="s">
        <v>92</v>
      </c>
      <c r="J307" t="s">
        <v>64</v>
      </c>
      <c r="K307" t="s">
        <v>713</v>
      </c>
      <c r="L307">
        <v>86.68</v>
      </c>
      <c r="M307">
        <v>213.32</v>
      </c>
      <c r="N307">
        <v>3.7999999999999999E-2</v>
      </c>
      <c r="O307">
        <v>8</v>
      </c>
    </row>
    <row r="308" spans="1:15" x14ac:dyDescent="0.35">
      <c r="A308" t="s">
        <v>714</v>
      </c>
      <c r="B308" s="1">
        <v>45741</v>
      </c>
      <c r="C308" s="1">
        <v>45742</v>
      </c>
      <c r="D308" t="s">
        <v>16</v>
      </c>
      <c r="E308" t="s">
        <v>25</v>
      </c>
      <c r="F308" t="s">
        <v>38</v>
      </c>
      <c r="G308" t="s">
        <v>27</v>
      </c>
      <c r="H308" t="s">
        <v>55</v>
      </c>
      <c r="I308" t="s">
        <v>41</v>
      </c>
      <c r="J308" t="s">
        <v>81</v>
      </c>
      <c r="K308" t="s">
        <v>715</v>
      </c>
      <c r="L308">
        <v>1450.43</v>
      </c>
      <c r="M308">
        <v>1994.67</v>
      </c>
      <c r="N308">
        <v>0.1</v>
      </c>
      <c r="O308">
        <v>24</v>
      </c>
    </row>
    <row r="309" spans="1:15" x14ac:dyDescent="0.35">
      <c r="A309" t="s">
        <v>716</v>
      </c>
      <c r="B309" s="1">
        <v>45795</v>
      </c>
      <c r="C309" s="1">
        <v>45817</v>
      </c>
      <c r="D309" t="s">
        <v>52</v>
      </c>
      <c r="E309" t="s">
        <v>122</v>
      </c>
      <c r="F309" t="s">
        <v>387</v>
      </c>
      <c r="G309" t="s">
        <v>48</v>
      </c>
      <c r="H309" t="s">
        <v>20</v>
      </c>
      <c r="I309" t="s">
        <v>92</v>
      </c>
      <c r="J309" t="s">
        <v>35</v>
      </c>
      <c r="K309" t="s">
        <v>717</v>
      </c>
      <c r="L309">
        <v>382.96</v>
      </c>
      <c r="M309">
        <v>552.84</v>
      </c>
      <c r="N309">
        <v>0.17599999999999999</v>
      </c>
      <c r="O309">
        <v>8</v>
      </c>
    </row>
    <row r="310" spans="1:15" x14ac:dyDescent="0.35">
      <c r="A310" t="s">
        <v>718</v>
      </c>
      <c r="B310" s="1">
        <v>45679</v>
      </c>
      <c r="C310" s="1">
        <v>45692</v>
      </c>
      <c r="D310" t="s">
        <v>45</v>
      </c>
      <c r="E310" t="s">
        <v>46</v>
      </c>
      <c r="F310" t="s">
        <v>214</v>
      </c>
      <c r="G310" t="s">
        <v>62</v>
      </c>
      <c r="H310" t="s">
        <v>55</v>
      </c>
      <c r="I310" t="s">
        <v>49</v>
      </c>
      <c r="J310" t="s">
        <v>30</v>
      </c>
      <c r="K310" t="s">
        <v>719</v>
      </c>
      <c r="L310">
        <v>122.29</v>
      </c>
      <c r="M310">
        <v>224.95</v>
      </c>
      <c r="N310">
        <v>0.153</v>
      </c>
      <c r="O310">
        <v>28</v>
      </c>
    </row>
    <row r="311" spans="1:15" x14ac:dyDescent="0.35">
      <c r="A311" t="s">
        <v>720</v>
      </c>
      <c r="B311" s="1">
        <v>44936</v>
      </c>
      <c r="C311" s="1">
        <v>44955</v>
      </c>
      <c r="D311" t="s">
        <v>78</v>
      </c>
      <c r="E311" t="s">
        <v>90</v>
      </c>
      <c r="F311" t="s">
        <v>138</v>
      </c>
      <c r="G311" t="s">
        <v>39</v>
      </c>
      <c r="H311" t="s">
        <v>98</v>
      </c>
      <c r="I311" t="s">
        <v>145</v>
      </c>
      <c r="J311" t="s">
        <v>57</v>
      </c>
      <c r="K311" t="s">
        <v>721</v>
      </c>
      <c r="L311">
        <v>401.66</v>
      </c>
      <c r="M311">
        <v>772.09</v>
      </c>
      <c r="N311">
        <v>8.8999999999999996E-2</v>
      </c>
      <c r="O311">
        <v>14</v>
      </c>
    </row>
    <row r="312" spans="1:15" x14ac:dyDescent="0.35">
      <c r="A312" t="s">
        <v>722</v>
      </c>
      <c r="B312" s="1">
        <v>45655</v>
      </c>
      <c r="C312" s="1">
        <v>45669</v>
      </c>
      <c r="D312" t="s">
        <v>78</v>
      </c>
      <c r="E312" t="s">
        <v>108</v>
      </c>
      <c r="F312" t="s">
        <v>228</v>
      </c>
      <c r="G312" t="s">
        <v>19</v>
      </c>
      <c r="H312" t="s">
        <v>98</v>
      </c>
      <c r="I312" t="s">
        <v>56</v>
      </c>
      <c r="J312" t="s">
        <v>64</v>
      </c>
      <c r="K312" t="s">
        <v>723</v>
      </c>
      <c r="L312">
        <v>1399.72</v>
      </c>
      <c r="M312">
        <v>3149.21</v>
      </c>
      <c r="N312">
        <v>0.185</v>
      </c>
      <c r="O312">
        <v>12</v>
      </c>
    </row>
    <row r="313" spans="1:15" x14ac:dyDescent="0.35">
      <c r="A313" t="s">
        <v>724</v>
      </c>
      <c r="B313" s="1">
        <v>45435</v>
      </c>
      <c r="C313" s="1">
        <v>45449</v>
      </c>
      <c r="D313" t="s">
        <v>52</v>
      </c>
      <c r="E313" t="s">
        <v>73</v>
      </c>
      <c r="F313" t="s">
        <v>225</v>
      </c>
      <c r="G313" t="s">
        <v>39</v>
      </c>
      <c r="H313" t="s">
        <v>28</v>
      </c>
      <c r="I313" t="s">
        <v>34</v>
      </c>
      <c r="J313" t="s">
        <v>35</v>
      </c>
      <c r="K313" t="s">
        <v>725</v>
      </c>
      <c r="L313">
        <v>51.13</v>
      </c>
      <c r="M313">
        <v>57.53</v>
      </c>
      <c r="N313">
        <v>4.4999999999999998E-2</v>
      </c>
      <c r="O313">
        <v>16</v>
      </c>
    </row>
    <row r="314" spans="1:15" x14ac:dyDescent="0.35">
      <c r="A314" t="s">
        <v>726</v>
      </c>
      <c r="B314" s="1">
        <v>45101</v>
      </c>
      <c r="C314" s="1">
        <v>45099</v>
      </c>
      <c r="D314" t="s">
        <v>52</v>
      </c>
      <c r="E314" t="s">
        <v>53</v>
      </c>
      <c r="F314" t="s">
        <v>54</v>
      </c>
      <c r="G314" t="s">
        <v>39</v>
      </c>
      <c r="H314" t="s">
        <v>20</v>
      </c>
      <c r="I314" t="s">
        <v>110</v>
      </c>
      <c r="J314" t="s">
        <v>81</v>
      </c>
      <c r="K314" t="s">
        <v>727</v>
      </c>
      <c r="L314">
        <v>471.42</v>
      </c>
      <c r="M314">
        <v>824.81</v>
      </c>
      <c r="N314">
        <v>8.7999999999999995E-2</v>
      </c>
      <c r="O314">
        <v>15</v>
      </c>
    </row>
    <row r="315" spans="1:15" x14ac:dyDescent="0.35">
      <c r="A315" t="s">
        <v>728</v>
      </c>
      <c r="B315" s="1">
        <v>45600</v>
      </c>
      <c r="C315" s="1">
        <v>45601</v>
      </c>
      <c r="D315" t="s">
        <v>78</v>
      </c>
      <c r="E315" t="s">
        <v>108</v>
      </c>
      <c r="F315" t="s">
        <v>152</v>
      </c>
      <c r="G315" t="s">
        <v>19</v>
      </c>
      <c r="H315" t="s">
        <v>20</v>
      </c>
      <c r="I315" t="s">
        <v>110</v>
      </c>
      <c r="J315" t="s">
        <v>30</v>
      </c>
      <c r="K315" t="s">
        <v>729</v>
      </c>
      <c r="L315">
        <v>840.68</v>
      </c>
      <c r="M315">
        <v>1493.53</v>
      </c>
      <c r="N315">
        <v>0</v>
      </c>
      <c r="O315">
        <v>27</v>
      </c>
    </row>
    <row r="316" spans="1:15" x14ac:dyDescent="0.35">
      <c r="A316" t="s">
        <v>730</v>
      </c>
      <c r="B316" s="1">
        <v>45451</v>
      </c>
      <c r="C316" s="1">
        <v>45467</v>
      </c>
      <c r="D316" t="s">
        <v>16</v>
      </c>
      <c r="E316" t="s">
        <v>148</v>
      </c>
      <c r="F316" t="s">
        <v>172</v>
      </c>
      <c r="G316" t="s">
        <v>27</v>
      </c>
      <c r="H316" t="s">
        <v>55</v>
      </c>
      <c r="I316" t="s">
        <v>92</v>
      </c>
      <c r="J316" t="s">
        <v>64</v>
      </c>
      <c r="K316" t="s">
        <v>731</v>
      </c>
      <c r="L316">
        <v>597.85</v>
      </c>
      <c r="M316">
        <v>741.92</v>
      </c>
      <c r="N316">
        <v>3.1E-2</v>
      </c>
      <c r="O316">
        <v>7</v>
      </c>
    </row>
    <row r="317" spans="1:15" x14ac:dyDescent="0.35">
      <c r="A317" t="s">
        <v>732</v>
      </c>
      <c r="B317" s="1">
        <v>45809</v>
      </c>
      <c r="C317" s="1">
        <v>45814</v>
      </c>
      <c r="D317" t="s">
        <v>78</v>
      </c>
      <c r="E317" t="s">
        <v>90</v>
      </c>
      <c r="F317" t="s">
        <v>217</v>
      </c>
      <c r="G317" t="s">
        <v>48</v>
      </c>
      <c r="H317" t="s">
        <v>55</v>
      </c>
      <c r="I317" t="s">
        <v>41</v>
      </c>
      <c r="J317" t="s">
        <v>22</v>
      </c>
      <c r="K317" t="s">
        <v>733</v>
      </c>
      <c r="L317">
        <v>379.45</v>
      </c>
      <c r="M317">
        <v>742.23</v>
      </c>
      <c r="N317">
        <v>0.09</v>
      </c>
      <c r="O317">
        <v>13</v>
      </c>
    </row>
    <row r="318" spans="1:15" x14ac:dyDescent="0.35">
      <c r="A318" t="s">
        <v>734</v>
      </c>
      <c r="B318" s="1">
        <v>45052</v>
      </c>
      <c r="C318" s="1">
        <v>45060</v>
      </c>
      <c r="D318" t="s">
        <v>45</v>
      </c>
      <c r="E318" t="s">
        <v>46</v>
      </c>
      <c r="F318" t="s">
        <v>47</v>
      </c>
      <c r="G318" t="s">
        <v>105</v>
      </c>
      <c r="H318" t="s">
        <v>40</v>
      </c>
      <c r="I318" t="s">
        <v>56</v>
      </c>
      <c r="J318" t="s">
        <v>42</v>
      </c>
      <c r="K318" t="s">
        <v>735</v>
      </c>
      <c r="L318">
        <v>291.18</v>
      </c>
      <c r="M318">
        <v>479.54</v>
      </c>
      <c r="N318">
        <v>0.14099999999999999</v>
      </c>
      <c r="O318">
        <v>22</v>
      </c>
    </row>
    <row r="319" spans="1:15" x14ac:dyDescent="0.35">
      <c r="A319" t="s">
        <v>736</v>
      </c>
      <c r="B319" s="1">
        <v>45244</v>
      </c>
      <c r="C319" s="1">
        <v>45260</v>
      </c>
      <c r="D319" t="s">
        <v>52</v>
      </c>
      <c r="E319" t="s">
        <v>73</v>
      </c>
      <c r="F319" t="s">
        <v>74</v>
      </c>
      <c r="G319" t="s">
        <v>105</v>
      </c>
      <c r="H319" t="s">
        <v>98</v>
      </c>
      <c r="I319" t="s">
        <v>95</v>
      </c>
      <c r="J319" t="s">
        <v>35</v>
      </c>
      <c r="K319" t="s">
        <v>737</v>
      </c>
      <c r="L319">
        <v>1017.92</v>
      </c>
      <c r="M319">
        <v>1175.25</v>
      </c>
      <c r="N319">
        <v>7.4999999999999997E-2</v>
      </c>
      <c r="O319">
        <v>15</v>
      </c>
    </row>
    <row r="320" spans="1:15" x14ac:dyDescent="0.35">
      <c r="A320" t="s">
        <v>738</v>
      </c>
      <c r="B320" s="1">
        <v>45748</v>
      </c>
      <c r="C320" s="1">
        <v>45774</v>
      </c>
      <c r="D320" t="s">
        <v>52</v>
      </c>
      <c r="E320" t="s">
        <v>122</v>
      </c>
      <c r="F320" t="s">
        <v>167</v>
      </c>
      <c r="G320" t="s">
        <v>19</v>
      </c>
      <c r="H320" t="s">
        <v>98</v>
      </c>
      <c r="I320" t="s">
        <v>34</v>
      </c>
      <c r="J320" t="s">
        <v>64</v>
      </c>
      <c r="K320" t="s">
        <v>739</v>
      </c>
      <c r="L320">
        <v>156.55000000000001</v>
      </c>
      <c r="M320">
        <v>227.45</v>
      </c>
      <c r="N320">
        <v>1.4E-2</v>
      </c>
      <c r="O320">
        <v>13</v>
      </c>
    </row>
    <row r="321" spans="1:15" x14ac:dyDescent="0.35">
      <c r="A321" t="s">
        <v>740</v>
      </c>
      <c r="B321" s="1">
        <v>45008</v>
      </c>
      <c r="C321" s="1">
        <v>45031</v>
      </c>
      <c r="D321" t="s">
        <v>16</v>
      </c>
      <c r="E321" t="s">
        <v>17</v>
      </c>
      <c r="F321" t="s">
        <v>113</v>
      </c>
      <c r="G321" t="s">
        <v>62</v>
      </c>
      <c r="H321" t="s">
        <v>20</v>
      </c>
      <c r="I321" t="s">
        <v>21</v>
      </c>
      <c r="J321" t="s">
        <v>81</v>
      </c>
      <c r="K321" t="s">
        <v>741</v>
      </c>
      <c r="L321">
        <v>875.36</v>
      </c>
      <c r="M321">
        <v>1178.6199999999999</v>
      </c>
      <c r="N321">
        <v>0.151</v>
      </c>
      <c r="O321">
        <v>53</v>
      </c>
    </row>
    <row r="322" spans="1:15" x14ac:dyDescent="0.35">
      <c r="A322" t="s">
        <v>742</v>
      </c>
      <c r="B322" s="1">
        <v>45440</v>
      </c>
      <c r="C322" s="1">
        <v>45461</v>
      </c>
      <c r="D322" t="s">
        <v>78</v>
      </c>
      <c r="E322" t="s">
        <v>79</v>
      </c>
      <c r="F322" t="s">
        <v>335</v>
      </c>
      <c r="G322" t="s">
        <v>62</v>
      </c>
      <c r="H322" t="s">
        <v>28</v>
      </c>
      <c r="I322" t="s">
        <v>63</v>
      </c>
      <c r="J322" t="s">
        <v>42</v>
      </c>
      <c r="K322" t="s">
        <v>743</v>
      </c>
      <c r="L322">
        <v>986.85</v>
      </c>
      <c r="M322">
        <v>2422.1</v>
      </c>
      <c r="N322">
        <v>7.5999999999999998E-2</v>
      </c>
      <c r="O322">
        <v>10</v>
      </c>
    </row>
    <row r="323" spans="1:15" x14ac:dyDescent="0.35">
      <c r="A323" t="s">
        <v>744</v>
      </c>
      <c r="B323" s="1">
        <v>45293</v>
      </c>
      <c r="C323" s="1">
        <v>45292</v>
      </c>
      <c r="D323" t="s">
        <v>52</v>
      </c>
      <c r="E323" t="s">
        <v>122</v>
      </c>
      <c r="F323" t="s">
        <v>123</v>
      </c>
      <c r="G323" t="s">
        <v>27</v>
      </c>
      <c r="H323" t="s">
        <v>40</v>
      </c>
      <c r="I323" t="s">
        <v>56</v>
      </c>
      <c r="J323" t="s">
        <v>35</v>
      </c>
      <c r="K323" t="s">
        <v>745</v>
      </c>
      <c r="L323">
        <v>404.77</v>
      </c>
      <c r="M323">
        <v>433.88</v>
      </c>
      <c r="N323">
        <v>0.215</v>
      </c>
      <c r="O323">
        <v>22</v>
      </c>
    </row>
    <row r="324" spans="1:15" x14ac:dyDescent="0.35">
      <c r="A324" t="s">
        <v>746</v>
      </c>
      <c r="B324" s="1">
        <v>44985</v>
      </c>
      <c r="C324" s="1">
        <v>44984</v>
      </c>
      <c r="D324" t="s">
        <v>78</v>
      </c>
      <c r="E324" t="s">
        <v>90</v>
      </c>
      <c r="F324" t="s">
        <v>91</v>
      </c>
      <c r="G324" t="s">
        <v>19</v>
      </c>
      <c r="H324" t="s">
        <v>20</v>
      </c>
      <c r="I324" t="s">
        <v>95</v>
      </c>
      <c r="J324" t="s">
        <v>35</v>
      </c>
      <c r="K324" t="s">
        <v>747</v>
      </c>
      <c r="L324">
        <v>1299.81</v>
      </c>
      <c r="M324">
        <v>3149.13</v>
      </c>
      <c r="N324">
        <v>0.10299999999999999</v>
      </c>
      <c r="O324">
        <v>14</v>
      </c>
    </row>
    <row r="325" spans="1:15" x14ac:dyDescent="0.35">
      <c r="A325" t="s">
        <v>748</v>
      </c>
      <c r="B325" s="1">
        <v>45340</v>
      </c>
      <c r="C325" s="1">
        <v>45362</v>
      </c>
      <c r="D325" t="s">
        <v>52</v>
      </c>
      <c r="E325" t="s">
        <v>73</v>
      </c>
      <c r="F325" t="s">
        <v>74</v>
      </c>
      <c r="G325" t="s">
        <v>48</v>
      </c>
      <c r="H325" t="s">
        <v>28</v>
      </c>
      <c r="I325" t="s">
        <v>75</v>
      </c>
      <c r="J325" t="s">
        <v>22</v>
      </c>
      <c r="K325" t="s">
        <v>749</v>
      </c>
      <c r="L325">
        <v>80.48</v>
      </c>
      <c r="M325">
        <v>65.650000000000006</v>
      </c>
      <c r="N325">
        <v>0.17599999999999999</v>
      </c>
      <c r="O325">
        <v>13</v>
      </c>
    </row>
    <row r="326" spans="1:15" x14ac:dyDescent="0.35">
      <c r="A326" t="s">
        <v>750</v>
      </c>
      <c r="B326" s="1">
        <v>45544</v>
      </c>
      <c r="C326" s="1">
        <v>45573</v>
      </c>
      <c r="D326" t="s">
        <v>52</v>
      </c>
      <c r="E326" t="s">
        <v>73</v>
      </c>
      <c r="F326" t="s">
        <v>74</v>
      </c>
      <c r="G326" t="s">
        <v>27</v>
      </c>
      <c r="H326" t="s">
        <v>98</v>
      </c>
      <c r="I326" t="s">
        <v>29</v>
      </c>
      <c r="J326" t="s">
        <v>22</v>
      </c>
      <c r="K326" t="s">
        <v>751</v>
      </c>
      <c r="L326">
        <v>1010.33</v>
      </c>
      <c r="M326">
        <v>2492.14</v>
      </c>
      <c r="N326">
        <v>5.0999999999999997E-2</v>
      </c>
      <c r="O326">
        <v>11</v>
      </c>
    </row>
    <row r="327" spans="1:15" x14ac:dyDescent="0.35">
      <c r="A327" t="s">
        <v>752</v>
      </c>
      <c r="B327" s="1">
        <v>45053</v>
      </c>
      <c r="C327" s="1">
        <v>45075</v>
      </c>
      <c r="D327" t="s">
        <v>16</v>
      </c>
      <c r="E327" t="s">
        <v>148</v>
      </c>
      <c r="F327" t="s">
        <v>172</v>
      </c>
      <c r="G327" t="s">
        <v>27</v>
      </c>
      <c r="H327" t="s">
        <v>55</v>
      </c>
      <c r="I327" t="s">
        <v>95</v>
      </c>
      <c r="J327" t="s">
        <v>81</v>
      </c>
      <c r="K327" t="s">
        <v>753</v>
      </c>
      <c r="L327">
        <v>653.86</v>
      </c>
      <c r="M327">
        <v>931.84</v>
      </c>
      <c r="N327">
        <v>0.121</v>
      </c>
      <c r="O327">
        <v>12</v>
      </c>
    </row>
    <row r="328" spans="1:15" x14ac:dyDescent="0.35">
      <c r="A328" t="s">
        <v>754</v>
      </c>
      <c r="B328" s="1">
        <v>45303</v>
      </c>
      <c r="C328" s="1">
        <v>45320</v>
      </c>
      <c r="D328" t="s">
        <v>45</v>
      </c>
      <c r="E328" t="s">
        <v>60</v>
      </c>
      <c r="F328" t="s">
        <v>281</v>
      </c>
      <c r="G328" t="s">
        <v>62</v>
      </c>
      <c r="H328" t="s">
        <v>98</v>
      </c>
      <c r="I328" t="s">
        <v>56</v>
      </c>
      <c r="J328" t="s">
        <v>22</v>
      </c>
      <c r="K328" t="s">
        <v>755</v>
      </c>
      <c r="L328">
        <v>310.02</v>
      </c>
      <c r="M328">
        <v>619.51</v>
      </c>
      <c r="N328">
        <v>4.2000000000000003E-2</v>
      </c>
      <c r="O328">
        <v>4</v>
      </c>
    </row>
    <row r="329" spans="1:15" x14ac:dyDescent="0.35">
      <c r="A329" t="s">
        <v>756</v>
      </c>
      <c r="B329" s="1">
        <v>45087</v>
      </c>
      <c r="C329" s="1">
        <v>45095</v>
      </c>
      <c r="D329" t="s">
        <v>16</v>
      </c>
      <c r="E329" t="s">
        <v>17</v>
      </c>
      <c r="F329" t="s">
        <v>135</v>
      </c>
      <c r="G329" t="s">
        <v>105</v>
      </c>
      <c r="H329" t="s">
        <v>98</v>
      </c>
      <c r="I329" t="s">
        <v>92</v>
      </c>
      <c r="J329" t="s">
        <v>42</v>
      </c>
      <c r="K329" t="s">
        <v>757</v>
      </c>
      <c r="L329">
        <v>894.23</v>
      </c>
      <c r="M329">
        <v>1421.55</v>
      </c>
      <c r="N329">
        <v>0.109</v>
      </c>
      <c r="O329">
        <v>3</v>
      </c>
    </row>
    <row r="330" spans="1:15" x14ac:dyDescent="0.35">
      <c r="A330" t="s">
        <v>758</v>
      </c>
      <c r="B330" s="1">
        <v>45796</v>
      </c>
      <c r="C330" s="1">
        <v>45794</v>
      </c>
      <c r="D330" t="s">
        <v>52</v>
      </c>
      <c r="E330" t="s">
        <v>73</v>
      </c>
      <c r="F330" t="s">
        <v>74</v>
      </c>
      <c r="G330" t="s">
        <v>62</v>
      </c>
      <c r="H330" t="s">
        <v>55</v>
      </c>
      <c r="I330" t="s">
        <v>49</v>
      </c>
      <c r="J330" t="s">
        <v>64</v>
      </c>
      <c r="K330" t="s">
        <v>759</v>
      </c>
      <c r="L330">
        <v>383.77</v>
      </c>
      <c r="M330">
        <v>952.56</v>
      </c>
      <c r="N330">
        <v>0.34599999999999997</v>
      </c>
      <c r="O330">
        <v>10</v>
      </c>
    </row>
    <row r="331" spans="1:15" x14ac:dyDescent="0.35">
      <c r="A331" t="s">
        <v>760</v>
      </c>
      <c r="B331" s="1">
        <v>45221</v>
      </c>
      <c r="C331" s="1">
        <v>45246</v>
      </c>
      <c r="D331" t="s">
        <v>52</v>
      </c>
      <c r="E331" t="s">
        <v>53</v>
      </c>
      <c r="F331" t="s">
        <v>54</v>
      </c>
      <c r="G331" t="s">
        <v>62</v>
      </c>
      <c r="H331" t="s">
        <v>40</v>
      </c>
      <c r="I331" t="s">
        <v>34</v>
      </c>
      <c r="J331" t="s">
        <v>57</v>
      </c>
      <c r="K331" t="s">
        <v>761</v>
      </c>
      <c r="L331">
        <v>1373.31</v>
      </c>
      <c r="M331">
        <v>3154.14</v>
      </c>
      <c r="N331">
        <v>0.2</v>
      </c>
      <c r="O331">
        <v>11</v>
      </c>
    </row>
    <row r="332" spans="1:15" x14ac:dyDescent="0.35">
      <c r="A332" t="s">
        <v>762</v>
      </c>
      <c r="B332" s="1">
        <v>45668</v>
      </c>
      <c r="C332" s="1">
        <v>45680</v>
      </c>
      <c r="D332" t="s">
        <v>52</v>
      </c>
      <c r="E332" t="s">
        <v>122</v>
      </c>
      <c r="F332" t="s">
        <v>326</v>
      </c>
      <c r="G332" t="s">
        <v>48</v>
      </c>
      <c r="H332" t="s">
        <v>55</v>
      </c>
      <c r="I332" t="s">
        <v>92</v>
      </c>
      <c r="J332" t="s">
        <v>42</v>
      </c>
      <c r="K332" t="s">
        <v>763</v>
      </c>
      <c r="L332">
        <v>100.69</v>
      </c>
      <c r="M332">
        <v>226.14</v>
      </c>
      <c r="N332">
        <v>6.5000000000000002E-2</v>
      </c>
      <c r="O332">
        <v>12</v>
      </c>
    </row>
    <row r="333" spans="1:15" x14ac:dyDescent="0.35">
      <c r="A333" t="s">
        <v>764</v>
      </c>
      <c r="B333" s="1">
        <v>45914</v>
      </c>
      <c r="C333" s="1">
        <v>45926</v>
      </c>
      <c r="D333" t="s">
        <v>78</v>
      </c>
      <c r="E333" t="s">
        <v>108</v>
      </c>
      <c r="F333" t="s">
        <v>152</v>
      </c>
      <c r="G333" t="s">
        <v>62</v>
      </c>
      <c r="H333" t="s">
        <v>98</v>
      </c>
      <c r="I333" t="s">
        <v>126</v>
      </c>
      <c r="J333" t="s">
        <v>35</v>
      </c>
      <c r="K333" t="s">
        <v>765</v>
      </c>
      <c r="L333">
        <v>425.15</v>
      </c>
      <c r="M333">
        <v>885.92</v>
      </c>
      <c r="N333">
        <v>0.23899999999999999</v>
      </c>
      <c r="O333">
        <v>13</v>
      </c>
    </row>
    <row r="334" spans="1:15" x14ac:dyDescent="0.35">
      <c r="A334" t="s">
        <v>766</v>
      </c>
      <c r="B334" s="1">
        <v>45168</v>
      </c>
      <c r="C334" s="1">
        <v>45172</v>
      </c>
      <c r="D334" t="s">
        <v>45</v>
      </c>
      <c r="E334" t="s">
        <v>60</v>
      </c>
      <c r="F334" t="s">
        <v>141</v>
      </c>
      <c r="G334" t="s">
        <v>62</v>
      </c>
      <c r="H334" t="s">
        <v>40</v>
      </c>
      <c r="I334" t="s">
        <v>49</v>
      </c>
      <c r="J334" t="s">
        <v>81</v>
      </c>
      <c r="K334" t="s">
        <v>767</v>
      </c>
      <c r="L334">
        <v>1082.25</v>
      </c>
      <c r="M334">
        <v>2433.34</v>
      </c>
      <c r="N334">
        <v>0.27</v>
      </c>
      <c r="O334">
        <v>4</v>
      </c>
    </row>
    <row r="335" spans="1:15" x14ac:dyDescent="0.35">
      <c r="A335" t="s">
        <v>768</v>
      </c>
      <c r="B335" s="1">
        <v>45245</v>
      </c>
      <c r="C335" s="1">
        <v>45266</v>
      </c>
      <c r="D335" t="s">
        <v>78</v>
      </c>
      <c r="E335" t="s">
        <v>108</v>
      </c>
      <c r="F335" t="s">
        <v>228</v>
      </c>
      <c r="G335" t="s">
        <v>27</v>
      </c>
      <c r="H335" t="s">
        <v>98</v>
      </c>
      <c r="I335" t="s">
        <v>92</v>
      </c>
      <c r="J335" t="s">
        <v>81</v>
      </c>
      <c r="K335" t="s">
        <v>769</v>
      </c>
      <c r="L335">
        <v>1184.99</v>
      </c>
      <c r="M335">
        <v>1154.3399999999999</v>
      </c>
      <c r="N335">
        <v>2.8000000000000001E-2</v>
      </c>
      <c r="O335">
        <v>5</v>
      </c>
    </row>
    <row r="336" spans="1:15" x14ac:dyDescent="0.35">
      <c r="A336" t="s">
        <v>770</v>
      </c>
      <c r="B336" s="1">
        <v>45774</v>
      </c>
      <c r="C336" s="1">
        <v>45804</v>
      </c>
      <c r="D336" t="s">
        <v>45</v>
      </c>
      <c r="E336" t="s">
        <v>60</v>
      </c>
      <c r="G336" t="s">
        <v>105</v>
      </c>
      <c r="H336" t="s">
        <v>40</v>
      </c>
      <c r="I336" t="s">
        <v>92</v>
      </c>
      <c r="J336" t="s">
        <v>42</v>
      </c>
      <c r="K336" t="s">
        <v>771</v>
      </c>
      <c r="L336">
        <v>481.32</v>
      </c>
      <c r="M336">
        <v>1135.99</v>
      </c>
      <c r="N336">
        <v>0.14499999999999999</v>
      </c>
      <c r="O336">
        <v>5</v>
      </c>
    </row>
    <row r="337" spans="1:15" x14ac:dyDescent="0.35">
      <c r="A337" t="s">
        <v>772</v>
      </c>
      <c r="B337" s="1">
        <v>45391</v>
      </c>
      <c r="C337" s="1">
        <v>45400</v>
      </c>
      <c r="D337" t="s">
        <v>78</v>
      </c>
      <c r="E337" t="s">
        <v>90</v>
      </c>
      <c r="F337" t="s">
        <v>138</v>
      </c>
      <c r="G337" t="s">
        <v>48</v>
      </c>
      <c r="H337" t="s">
        <v>28</v>
      </c>
      <c r="I337" t="s">
        <v>63</v>
      </c>
      <c r="J337" t="s">
        <v>30</v>
      </c>
      <c r="K337" t="s">
        <v>773</v>
      </c>
      <c r="L337">
        <v>1288.8499999999999</v>
      </c>
      <c r="M337">
        <v>2751.84</v>
      </c>
      <c r="N337">
        <v>0.158</v>
      </c>
      <c r="O337">
        <v>7</v>
      </c>
    </row>
    <row r="338" spans="1:15" x14ac:dyDescent="0.35">
      <c r="A338" t="s">
        <v>774</v>
      </c>
      <c r="B338" s="1">
        <v>45484</v>
      </c>
      <c r="C338" s="1">
        <v>45504</v>
      </c>
      <c r="D338" t="s">
        <v>45</v>
      </c>
      <c r="E338" t="s">
        <v>116</v>
      </c>
      <c r="F338" t="s">
        <v>117</v>
      </c>
      <c r="G338" t="s">
        <v>48</v>
      </c>
      <c r="H338" t="s">
        <v>28</v>
      </c>
      <c r="I338" t="s">
        <v>41</v>
      </c>
      <c r="J338" t="s">
        <v>42</v>
      </c>
      <c r="K338" t="s">
        <v>775</v>
      </c>
      <c r="L338">
        <v>647.26</v>
      </c>
      <c r="M338">
        <v>1374.72</v>
      </c>
      <c r="N338">
        <v>6.6000000000000003E-2</v>
      </c>
      <c r="O338">
        <v>22</v>
      </c>
    </row>
    <row r="339" spans="1:15" x14ac:dyDescent="0.35">
      <c r="A339" t="s">
        <v>776</v>
      </c>
      <c r="B339" s="1">
        <v>45340</v>
      </c>
      <c r="C339" s="1">
        <v>45354</v>
      </c>
      <c r="D339" t="s">
        <v>52</v>
      </c>
      <c r="E339" t="s">
        <v>73</v>
      </c>
      <c r="G339" t="s">
        <v>105</v>
      </c>
      <c r="H339" t="s">
        <v>55</v>
      </c>
      <c r="I339" t="s">
        <v>75</v>
      </c>
      <c r="J339" t="s">
        <v>30</v>
      </c>
      <c r="K339" t="s">
        <v>777</v>
      </c>
      <c r="L339">
        <v>624.23</v>
      </c>
      <c r="M339">
        <v>1318.37</v>
      </c>
      <c r="N339">
        <v>0.21</v>
      </c>
      <c r="O339">
        <v>37</v>
      </c>
    </row>
    <row r="340" spans="1:15" x14ac:dyDescent="0.35">
      <c r="A340" t="s">
        <v>778</v>
      </c>
      <c r="B340" s="1">
        <v>45132</v>
      </c>
      <c r="C340" s="1">
        <v>45148</v>
      </c>
      <c r="D340" t="s">
        <v>16</v>
      </c>
      <c r="E340" t="s">
        <v>25</v>
      </c>
      <c r="F340" t="s">
        <v>26</v>
      </c>
      <c r="G340" t="s">
        <v>19</v>
      </c>
      <c r="H340" t="s">
        <v>55</v>
      </c>
      <c r="I340" t="s">
        <v>34</v>
      </c>
      <c r="J340" t="s">
        <v>81</v>
      </c>
      <c r="K340" t="s">
        <v>779</v>
      </c>
      <c r="L340">
        <v>506.83</v>
      </c>
      <c r="M340">
        <v>441.74</v>
      </c>
      <c r="N340">
        <v>0.24</v>
      </c>
      <c r="O340">
        <v>9</v>
      </c>
    </row>
    <row r="341" spans="1:15" x14ac:dyDescent="0.35">
      <c r="A341" t="s">
        <v>780</v>
      </c>
      <c r="B341" s="1">
        <v>45121</v>
      </c>
      <c r="C341" s="1">
        <v>45128</v>
      </c>
      <c r="D341" t="s">
        <v>16</v>
      </c>
      <c r="E341" t="s">
        <v>148</v>
      </c>
      <c r="F341" t="s">
        <v>172</v>
      </c>
      <c r="G341" t="s">
        <v>105</v>
      </c>
      <c r="H341" t="s">
        <v>40</v>
      </c>
      <c r="J341" t="s">
        <v>64</v>
      </c>
      <c r="K341" t="s">
        <v>781</v>
      </c>
      <c r="L341">
        <v>620.74</v>
      </c>
      <c r="M341">
        <v>1330.07</v>
      </c>
      <c r="N341">
        <v>0.29899999999999999</v>
      </c>
      <c r="O341">
        <v>28</v>
      </c>
    </row>
    <row r="342" spans="1:15" x14ac:dyDescent="0.35">
      <c r="A342" t="s">
        <v>782</v>
      </c>
      <c r="B342" s="1">
        <v>45131</v>
      </c>
      <c r="C342" s="1">
        <v>45157</v>
      </c>
      <c r="D342" t="s">
        <v>16</v>
      </c>
      <c r="E342" t="s">
        <v>17</v>
      </c>
      <c r="F342" t="s">
        <v>33</v>
      </c>
      <c r="G342" t="s">
        <v>105</v>
      </c>
      <c r="H342" t="s">
        <v>55</v>
      </c>
      <c r="I342" t="s">
        <v>110</v>
      </c>
      <c r="J342" t="s">
        <v>81</v>
      </c>
      <c r="K342" t="s">
        <v>783</v>
      </c>
      <c r="L342">
        <v>661.45</v>
      </c>
      <c r="M342">
        <v>1634.86</v>
      </c>
      <c r="N342">
        <v>0.56499999999999995</v>
      </c>
      <c r="O342">
        <v>24</v>
      </c>
    </row>
    <row r="343" spans="1:15" x14ac:dyDescent="0.35">
      <c r="A343" t="s">
        <v>784</v>
      </c>
      <c r="B343" s="1">
        <v>45029</v>
      </c>
      <c r="C343" s="1">
        <v>45027</v>
      </c>
      <c r="D343" t="s">
        <v>52</v>
      </c>
      <c r="E343" t="s">
        <v>122</v>
      </c>
      <c r="F343" t="s">
        <v>167</v>
      </c>
      <c r="G343" t="s">
        <v>27</v>
      </c>
      <c r="H343" t="s">
        <v>40</v>
      </c>
      <c r="I343" t="s">
        <v>41</v>
      </c>
      <c r="J343" t="s">
        <v>35</v>
      </c>
      <c r="K343" t="s">
        <v>785</v>
      </c>
      <c r="L343">
        <v>32.1</v>
      </c>
      <c r="M343">
        <v>70.599999999999994</v>
      </c>
      <c r="N343">
        <v>0.28199999999999997</v>
      </c>
      <c r="O343">
        <v>22</v>
      </c>
    </row>
    <row r="344" spans="1:15" x14ac:dyDescent="0.35">
      <c r="A344" t="s">
        <v>786</v>
      </c>
      <c r="B344" s="1">
        <v>45594</v>
      </c>
      <c r="C344" s="1">
        <v>45600</v>
      </c>
      <c r="D344" t="s">
        <v>16</v>
      </c>
      <c r="E344" t="s">
        <v>17</v>
      </c>
      <c r="F344" t="s">
        <v>33</v>
      </c>
      <c r="G344" t="s">
        <v>19</v>
      </c>
      <c r="H344" t="s">
        <v>55</v>
      </c>
      <c r="I344" t="s">
        <v>110</v>
      </c>
      <c r="J344" t="s">
        <v>30</v>
      </c>
      <c r="K344" t="s">
        <v>787</v>
      </c>
      <c r="L344">
        <v>805.81</v>
      </c>
      <c r="M344">
        <v>1823.04</v>
      </c>
      <c r="N344">
        <v>0</v>
      </c>
      <c r="O344">
        <v>11</v>
      </c>
    </row>
    <row r="345" spans="1:15" x14ac:dyDescent="0.35">
      <c r="A345" t="s">
        <v>788</v>
      </c>
      <c r="B345" s="1">
        <v>45339</v>
      </c>
      <c r="C345" s="1">
        <v>45355</v>
      </c>
      <c r="D345" t="s">
        <v>45</v>
      </c>
      <c r="E345" t="s">
        <v>60</v>
      </c>
      <c r="F345" t="s">
        <v>141</v>
      </c>
      <c r="G345" t="s">
        <v>62</v>
      </c>
      <c r="H345" t="s">
        <v>40</v>
      </c>
      <c r="I345" t="s">
        <v>84</v>
      </c>
      <c r="J345" t="s">
        <v>42</v>
      </c>
      <c r="K345" t="s">
        <v>789</v>
      </c>
      <c r="L345">
        <v>1231.8</v>
      </c>
      <c r="M345">
        <v>2015.99</v>
      </c>
      <c r="N345">
        <v>0.26100000000000001</v>
      </c>
      <c r="O345">
        <v>6</v>
      </c>
    </row>
    <row r="346" spans="1:15" x14ac:dyDescent="0.35">
      <c r="A346" t="s">
        <v>790</v>
      </c>
      <c r="B346" s="1">
        <v>45486</v>
      </c>
      <c r="C346" s="1">
        <v>45485</v>
      </c>
      <c r="D346" t="s">
        <v>45</v>
      </c>
      <c r="E346" t="s">
        <v>46</v>
      </c>
      <c r="F346" t="s">
        <v>231</v>
      </c>
      <c r="G346" t="s">
        <v>62</v>
      </c>
      <c r="H346" t="s">
        <v>40</v>
      </c>
      <c r="I346" t="s">
        <v>84</v>
      </c>
      <c r="J346" t="s">
        <v>35</v>
      </c>
      <c r="K346" t="s">
        <v>791</v>
      </c>
      <c r="L346">
        <v>105.13</v>
      </c>
      <c r="M346">
        <v>244.13</v>
      </c>
      <c r="N346">
        <v>7.0999999999999994E-2</v>
      </c>
      <c r="O346">
        <v>14</v>
      </c>
    </row>
    <row r="347" spans="1:15" x14ac:dyDescent="0.35">
      <c r="A347" t="s">
        <v>792</v>
      </c>
      <c r="B347" s="1">
        <v>45261</v>
      </c>
      <c r="C347" s="1">
        <v>45278</v>
      </c>
      <c r="D347" t="s">
        <v>45</v>
      </c>
      <c r="E347" t="s">
        <v>46</v>
      </c>
      <c r="F347" t="s">
        <v>231</v>
      </c>
      <c r="G347" t="s">
        <v>62</v>
      </c>
      <c r="H347" t="s">
        <v>98</v>
      </c>
      <c r="I347" t="s">
        <v>126</v>
      </c>
      <c r="J347" t="s">
        <v>57</v>
      </c>
      <c r="K347" t="s">
        <v>793</v>
      </c>
      <c r="L347">
        <v>1495.79</v>
      </c>
      <c r="M347">
        <v>2783.12</v>
      </c>
      <c r="N347">
        <v>0.02</v>
      </c>
      <c r="O347">
        <v>5</v>
      </c>
    </row>
    <row r="348" spans="1:15" x14ac:dyDescent="0.35">
      <c r="A348" t="s">
        <v>794</v>
      </c>
      <c r="B348" s="1">
        <v>45498</v>
      </c>
      <c r="C348" s="1">
        <v>45506</v>
      </c>
      <c r="D348" t="s">
        <v>52</v>
      </c>
      <c r="E348" t="s">
        <v>53</v>
      </c>
      <c r="F348" t="s">
        <v>144</v>
      </c>
      <c r="G348" t="s">
        <v>48</v>
      </c>
      <c r="H348" t="s">
        <v>98</v>
      </c>
      <c r="I348" t="s">
        <v>29</v>
      </c>
      <c r="J348" t="s">
        <v>81</v>
      </c>
      <c r="K348" t="s">
        <v>795</v>
      </c>
      <c r="L348">
        <v>986.81</v>
      </c>
      <c r="M348">
        <v>2050.31</v>
      </c>
      <c r="N348">
        <v>0.10299999999999999</v>
      </c>
      <c r="O348">
        <v>43</v>
      </c>
    </row>
    <row r="349" spans="1:15" x14ac:dyDescent="0.35">
      <c r="A349" t="s">
        <v>796</v>
      </c>
      <c r="B349" s="1">
        <v>45050</v>
      </c>
      <c r="C349" s="1">
        <v>45062</v>
      </c>
      <c r="D349" t="s">
        <v>16</v>
      </c>
      <c r="E349" t="s">
        <v>25</v>
      </c>
      <c r="F349" t="s">
        <v>67</v>
      </c>
      <c r="G349" t="s">
        <v>62</v>
      </c>
      <c r="H349" t="s">
        <v>40</v>
      </c>
      <c r="I349" t="s">
        <v>29</v>
      </c>
      <c r="J349" t="s">
        <v>42</v>
      </c>
      <c r="K349" t="s">
        <v>797</v>
      </c>
      <c r="L349">
        <v>77.739999999999995</v>
      </c>
      <c r="M349">
        <v>147.12</v>
      </c>
      <c r="N349">
        <v>0</v>
      </c>
      <c r="O349">
        <v>15</v>
      </c>
    </row>
    <row r="350" spans="1:15" x14ac:dyDescent="0.35">
      <c r="A350" t="s">
        <v>798</v>
      </c>
      <c r="B350" s="1">
        <v>45281</v>
      </c>
      <c r="C350" s="1">
        <v>45297</v>
      </c>
      <c r="D350" t="s">
        <v>16</v>
      </c>
      <c r="E350" t="s">
        <v>25</v>
      </c>
      <c r="G350" t="s">
        <v>19</v>
      </c>
      <c r="H350" t="s">
        <v>40</v>
      </c>
      <c r="I350" t="s">
        <v>95</v>
      </c>
      <c r="J350" t="s">
        <v>22</v>
      </c>
      <c r="K350" t="s">
        <v>799</v>
      </c>
      <c r="L350">
        <v>932.61</v>
      </c>
      <c r="M350">
        <v>1982.98</v>
      </c>
      <c r="N350">
        <v>0.14399999999999999</v>
      </c>
      <c r="O350">
        <v>16</v>
      </c>
    </row>
    <row r="351" spans="1:15" x14ac:dyDescent="0.35">
      <c r="A351" t="s">
        <v>800</v>
      </c>
      <c r="B351" s="1">
        <v>45825</v>
      </c>
      <c r="C351" s="1">
        <v>45843</v>
      </c>
      <c r="D351" t="s">
        <v>45</v>
      </c>
      <c r="E351" t="s">
        <v>60</v>
      </c>
      <c r="F351" t="s">
        <v>141</v>
      </c>
      <c r="G351" t="s">
        <v>48</v>
      </c>
      <c r="H351" t="s">
        <v>40</v>
      </c>
      <c r="I351" t="s">
        <v>49</v>
      </c>
      <c r="J351" t="s">
        <v>57</v>
      </c>
      <c r="K351" t="s">
        <v>801</v>
      </c>
      <c r="L351">
        <v>982.93</v>
      </c>
      <c r="M351">
        <v>2299.3000000000002</v>
      </c>
      <c r="N351">
        <v>0.113</v>
      </c>
      <c r="O351">
        <v>6</v>
      </c>
    </row>
    <row r="352" spans="1:15" x14ac:dyDescent="0.35">
      <c r="A352" t="s">
        <v>802</v>
      </c>
      <c r="B352" s="1">
        <v>44980</v>
      </c>
      <c r="C352" s="1">
        <v>44993</v>
      </c>
      <c r="D352" t="s">
        <v>78</v>
      </c>
      <c r="E352" t="s">
        <v>108</v>
      </c>
      <c r="F352" t="s">
        <v>228</v>
      </c>
      <c r="G352" t="s">
        <v>62</v>
      </c>
      <c r="H352" t="s">
        <v>98</v>
      </c>
      <c r="I352" t="s">
        <v>21</v>
      </c>
      <c r="J352" t="s">
        <v>30</v>
      </c>
      <c r="K352" t="s">
        <v>803</v>
      </c>
      <c r="L352">
        <v>307.37</v>
      </c>
      <c r="M352">
        <v>462.61</v>
      </c>
      <c r="N352">
        <v>0.188</v>
      </c>
      <c r="O352">
        <v>11</v>
      </c>
    </row>
    <row r="353" spans="1:15" x14ac:dyDescent="0.35">
      <c r="A353" t="s">
        <v>804</v>
      </c>
      <c r="B353" s="1">
        <v>45262</v>
      </c>
      <c r="C353" s="1">
        <v>45276</v>
      </c>
      <c r="D353" t="s">
        <v>78</v>
      </c>
      <c r="E353" t="s">
        <v>79</v>
      </c>
      <c r="F353" t="s">
        <v>335</v>
      </c>
      <c r="G353" t="s">
        <v>27</v>
      </c>
      <c r="H353" t="s">
        <v>98</v>
      </c>
      <c r="I353" t="s">
        <v>126</v>
      </c>
      <c r="J353" t="s">
        <v>64</v>
      </c>
      <c r="K353" t="s">
        <v>805</v>
      </c>
      <c r="L353">
        <v>879.08</v>
      </c>
      <c r="M353">
        <v>1093.3900000000001</v>
      </c>
      <c r="N353">
        <v>0.113</v>
      </c>
      <c r="O353">
        <v>17</v>
      </c>
    </row>
    <row r="354" spans="1:15" x14ac:dyDescent="0.35">
      <c r="A354" t="s">
        <v>806</v>
      </c>
      <c r="B354" s="1">
        <v>45121</v>
      </c>
      <c r="C354" s="1">
        <v>45121</v>
      </c>
      <c r="D354" t="s">
        <v>16</v>
      </c>
      <c r="E354" t="s">
        <v>25</v>
      </c>
      <c r="F354" t="s">
        <v>38</v>
      </c>
      <c r="G354" t="s">
        <v>27</v>
      </c>
      <c r="H354" t="s">
        <v>20</v>
      </c>
      <c r="I354" t="s">
        <v>34</v>
      </c>
      <c r="J354" t="s">
        <v>81</v>
      </c>
      <c r="K354" t="s">
        <v>807</v>
      </c>
      <c r="L354">
        <v>956.38</v>
      </c>
      <c r="M354">
        <v>1454.22</v>
      </c>
      <c r="N354">
        <v>3.9E-2</v>
      </c>
      <c r="O354">
        <v>19</v>
      </c>
    </row>
    <row r="355" spans="1:15" x14ac:dyDescent="0.35">
      <c r="A355" t="s">
        <v>808</v>
      </c>
      <c r="B355" s="1">
        <v>45512</v>
      </c>
      <c r="C355" s="1">
        <v>45524</v>
      </c>
      <c r="D355" t="s">
        <v>45</v>
      </c>
      <c r="E355" t="s">
        <v>46</v>
      </c>
      <c r="F355" t="s">
        <v>47</v>
      </c>
      <c r="G355" t="s">
        <v>62</v>
      </c>
      <c r="H355" t="s">
        <v>20</v>
      </c>
      <c r="I355" t="s">
        <v>92</v>
      </c>
      <c r="J355" t="s">
        <v>35</v>
      </c>
      <c r="K355" t="s">
        <v>809</v>
      </c>
      <c r="L355">
        <v>1233.3599999999999</v>
      </c>
      <c r="M355">
        <v>2120.4</v>
      </c>
      <c r="N355">
        <v>0.17899999999999999</v>
      </c>
      <c r="O355">
        <v>20</v>
      </c>
    </row>
    <row r="356" spans="1:15" x14ac:dyDescent="0.35">
      <c r="A356" t="s">
        <v>810</v>
      </c>
      <c r="B356" s="1">
        <v>45603</v>
      </c>
      <c r="C356" s="1">
        <v>45622</v>
      </c>
      <c r="D356" t="s">
        <v>52</v>
      </c>
      <c r="E356" t="s">
        <v>73</v>
      </c>
      <c r="F356" t="s">
        <v>225</v>
      </c>
      <c r="G356" t="s">
        <v>39</v>
      </c>
      <c r="H356" t="s">
        <v>55</v>
      </c>
      <c r="I356" t="s">
        <v>29</v>
      </c>
      <c r="J356" t="s">
        <v>30</v>
      </c>
      <c r="K356" t="s">
        <v>811</v>
      </c>
      <c r="L356">
        <v>55.35</v>
      </c>
      <c r="M356">
        <v>128.68</v>
      </c>
      <c r="N356">
        <v>0.128</v>
      </c>
      <c r="O356">
        <v>10</v>
      </c>
    </row>
    <row r="357" spans="1:15" x14ac:dyDescent="0.35">
      <c r="A357" t="s">
        <v>812</v>
      </c>
      <c r="B357" s="1">
        <v>45292</v>
      </c>
      <c r="C357" s="1">
        <v>45318</v>
      </c>
      <c r="D357" t="s">
        <v>78</v>
      </c>
      <c r="E357" t="s">
        <v>108</v>
      </c>
      <c r="F357" t="s">
        <v>228</v>
      </c>
      <c r="G357" t="s">
        <v>27</v>
      </c>
      <c r="H357" t="s">
        <v>55</v>
      </c>
      <c r="I357" t="s">
        <v>145</v>
      </c>
      <c r="J357" t="s">
        <v>81</v>
      </c>
      <c r="K357" t="s">
        <v>813</v>
      </c>
      <c r="L357">
        <v>657.45</v>
      </c>
      <c r="M357">
        <v>1325.96</v>
      </c>
      <c r="N357">
        <v>0.16700000000000001</v>
      </c>
      <c r="O357">
        <v>21</v>
      </c>
    </row>
    <row r="358" spans="1:15" x14ac:dyDescent="0.35">
      <c r="A358" t="s">
        <v>814</v>
      </c>
      <c r="B358" s="1">
        <v>45883</v>
      </c>
      <c r="C358" s="1">
        <v>45911</v>
      </c>
      <c r="D358" t="s">
        <v>52</v>
      </c>
      <c r="E358" t="s">
        <v>73</v>
      </c>
      <c r="F358" t="s">
        <v>74</v>
      </c>
      <c r="G358" t="s">
        <v>39</v>
      </c>
      <c r="H358" t="s">
        <v>98</v>
      </c>
      <c r="I358" t="s">
        <v>84</v>
      </c>
      <c r="J358" t="s">
        <v>30</v>
      </c>
      <c r="K358" t="s">
        <v>815</v>
      </c>
      <c r="L358">
        <v>1203.02</v>
      </c>
      <c r="M358">
        <v>2439.33</v>
      </c>
      <c r="N358">
        <v>0</v>
      </c>
      <c r="O358">
        <v>18</v>
      </c>
    </row>
    <row r="359" spans="1:15" x14ac:dyDescent="0.35">
      <c r="A359" t="s">
        <v>816</v>
      </c>
      <c r="B359" s="1">
        <v>45385</v>
      </c>
      <c r="C359" s="1">
        <v>45403</v>
      </c>
      <c r="D359" t="s">
        <v>52</v>
      </c>
      <c r="E359" t="s">
        <v>73</v>
      </c>
      <c r="F359" t="s">
        <v>87</v>
      </c>
      <c r="G359" t="s">
        <v>62</v>
      </c>
      <c r="H359" t="s">
        <v>55</v>
      </c>
      <c r="I359" t="s">
        <v>56</v>
      </c>
      <c r="J359" t="s">
        <v>35</v>
      </c>
      <c r="K359" t="s">
        <v>817</v>
      </c>
      <c r="L359">
        <v>1176.69</v>
      </c>
      <c r="M359">
        <v>2201.54</v>
      </c>
      <c r="N359">
        <v>0.17</v>
      </c>
      <c r="O359">
        <v>27</v>
      </c>
    </row>
    <row r="360" spans="1:15" x14ac:dyDescent="0.35">
      <c r="A360" t="s">
        <v>818</v>
      </c>
      <c r="B360" s="1">
        <v>45621</v>
      </c>
      <c r="C360" s="1">
        <v>45633</v>
      </c>
      <c r="D360" t="s">
        <v>45</v>
      </c>
      <c r="E360" t="s">
        <v>116</v>
      </c>
      <c r="F360" t="s">
        <v>162</v>
      </c>
      <c r="G360" t="s">
        <v>19</v>
      </c>
      <c r="H360" t="s">
        <v>55</v>
      </c>
      <c r="I360" t="s">
        <v>75</v>
      </c>
      <c r="J360" t="s">
        <v>81</v>
      </c>
      <c r="K360" t="s">
        <v>819</v>
      </c>
      <c r="L360">
        <v>769.9</v>
      </c>
      <c r="M360">
        <v>814.36</v>
      </c>
      <c r="N360">
        <v>0</v>
      </c>
      <c r="O360">
        <v>5</v>
      </c>
    </row>
    <row r="361" spans="1:15" x14ac:dyDescent="0.35">
      <c r="A361" t="s">
        <v>820</v>
      </c>
      <c r="B361" s="1">
        <v>45309</v>
      </c>
      <c r="C361" s="1">
        <v>45325</v>
      </c>
      <c r="D361" t="s">
        <v>16</v>
      </c>
      <c r="E361" t="s">
        <v>148</v>
      </c>
      <c r="F361" t="s">
        <v>258</v>
      </c>
      <c r="G361" t="s">
        <v>39</v>
      </c>
      <c r="H361" t="s">
        <v>55</v>
      </c>
      <c r="I361" t="s">
        <v>49</v>
      </c>
      <c r="J361" t="s">
        <v>30</v>
      </c>
      <c r="K361" t="s">
        <v>821</v>
      </c>
      <c r="L361">
        <v>666.23</v>
      </c>
      <c r="M361">
        <v>1382.91</v>
      </c>
      <c r="N361">
        <v>0.17599999999999999</v>
      </c>
      <c r="O361">
        <v>13</v>
      </c>
    </row>
    <row r="362" spans="1:15" x14ac:dyDescent="0.35">
      <c r="A362" t="s">
        <v>822</v>
      </c>
      <c r="B362" s="1">
        <v>45466</v>
      </c>
      <c r="C362" s="1">
        <v>45468</v>
      </c>
      <c r="D362" t="s">
        <v>78</v>
      </c>
      <c r="E362" t="s">
        <v>108</v>
      </c>
      <c r="F362" t="s">
        <v>109</v>
      </c>
      <c r="G362" t="s">
        <v>62</v>
      </c>
      <c r="H362" t="s">
        <v>40</v>
      </c>
      <c r="I362" t="s">
        <v>49</v>
      </c>
      <c r="J362" t="s">
        <v>81</v>
      </c>
      <c r="K362" t="s">
        <v>823</v>
      </c>
      <c r="L362">
        <v>951.44</v>
      </c>
      <c r="M362">
        <v>1646.43</v>
      </c>
      <c r="N362">
        <v>0.11</v>
      </c>
      <c r="O362">
        <v>24</v>
      </c>
    </row>
    <row r="363" spans="1:15" x14ac:dyDescent="0.35">
      <c r="A363" t="s">
        <v>824</v>
      </c>
      <c r="B363" s="1">
        <v>45833</v>
      </c>
      <c r="C363" s="1">
        <v>45848</v>
      </c>
      <c r="D363" t="s">
        <v>78</v>
      </c>
      <c r="E363" t="s">
        <v>108</v>
      </c>
      <c r="F363" t="s">
        <v>109</v>
      </c>
      <c r="G363" t="s">
        <v>39</v>
      </c>
      <c r="H363" t="s">
        <v>40</v>
      </c>
      <c r="I363" t="s">
        <v>145</v>
      </c>
      <c r="J363" t="s">
        <v>42</v>
      </c>
      <c r="K363" t="s">
        <v>825</v>
      </c>
      <c r="L363">
        <v>546.83000000000004</v>
      </c>
      <c r="M363">
        <v>400.84</v>
      </c>
      <c r="N363">
        <v>7.8E-2</v>
      </c>
      <c r="O363">
        <v>13</v>
      </c>
    </row>
    <row r="364" spans="1:15" x14ac:dyDescent="0.35">
      <c r="A364" t="s">
        <v>826</v>
      </c>
      <c r="B364" s="1">
        <v>45108</v>
      </c>
      <c r="C364" s="1">
        <v>45115</v>
      </c>
      <c r="D364" t="s">
        <v>16</v>
      </c>
      <c r="E364" t="s">
        <v>25</v>
      </c>
      <c r="F364" t="s">
        <v>26</v>
      </c>
      <c r="G364" t="s">
        <v>19</v>
      </c>
      <c r="H364" t="s">
        <v>20</v>
      </c>
      <c r="I364" t="s">
        <v>75</v>
      </c>
      <c r="J364" t="s">
        <v>57</v>
      </c>
      <c r="K364" t="s">
        <v>827</v>
      </c>
      <c r="L364">
        <v>834.26</v>
      </c>
      <c r="M364">
        <v>1780.56</v>
      </c>
      <c r="N364">
        <v>1.4E-2</v>
      </c>
      <c r="O364">
        <v>47</v>
      </c>
    </row>
    <row r="365" spans="1:15" x14ac:dyDescent="0.35">
      <c r="A365" t="s">
        <v>828</v>
      </c>
      <c r="B365" s="1">
        <v>45360</v>
      </c>
      <c r="C365" s="1">
        <v>45377</v>
      </c>
      <c r="D365" t="s">
        <v>45</v>
      </c>
      <c r="E365" t="s">
        <v>116</v>
      </c>
      <c r="F365" t="s">
        <v>117</v>
      </c>
      <c r="G365" t="s">
        <v>105</v>
      </c>
      <c r="H365" t="s">
        <v>28</v>
      </c>
      <c r="I365" t="s">
        <v>95</v>
      </c>
      <c r="J365" t="s">
        <v>64</v>
      </c>
      <c r="K365" t="s">
        <v>829</v>
      </c>
      <c r="L365">
        <v>1029.67</v>
      </c>
      <c r="M365">
        <v>1118.43</v>
      </c>
      <c r="N365">
        <v>0.27200000000000002</v>
      </c>
      <c r="O365">
        <v>9</v>
      </c>
    </row>
    <row r="366" spans="1:15" x14ac:dyDescent="0.35">
      <c r="A366" t="s">
        <v>830</v>
      </c>
      <c r="B366" s="1">
        <v>45082</v>
      </c>
      <c r="C366" s="1">
        <v>45105</v>
      </c>
      <c r="D366" t="s">
        <v>78</v>
      </c>
      <c r="E366" t="s">
        <v>108</v>
      </c>
      <c r="F366" t="s">
        <v>109</v>
      </c>
      <c r="G366" t="s">
        <v>19</v>
      </c>
      <c r="H366" t="s">
        <v>98</v>
      </c>
      <c r="I366" t="s">
        <v>95</v>
      </c>
      <c r="J366" t="s">
        <v>30</v>
      </c>
      <c r="K366" t="s">
        <v>831</v>
      </c>
      <c r="L366">
        <v>605.82000000000005</v>
      </c>
      <c r="M366">
        <v>771.12</v>
      </c>
      <c r="N366">
        <v>0.13200000000000001</v>
      </c>
      <c r="O366">
        <v>19</v>
      </c>
    </row>
    <row r="367" spans="1:15" x14ac:dyDescent="0.35">
      <c r="A367" t="s">
        <v>832</v>
      </c>
      <c r="B367" s="1">
        <v>45737</v>
      </c>
      <c r="C367" s="1">
        <v>45756</v>
      </c>
      <c r="D367" t="s">
        <v>45</v>
      </c>
      <c r="E367" t="s">
        <v>46</v>
      </c>
      <c r="F367" t="s">
        <v>214</v>
      </c>
      <c r="G367" t="s">
        <v>62</v>
      </c>
      <c r="H367" t="s">
        <v>55</v>
      </c>
      <c r="I367" t="s">
        <v>63</v>
      </c>
      <c r="J367" t="s">
        <v>22</v>
      </c>
      <c r="K367" t="s">
        <v>833</v>
      </c>
      <c r="L367">
        <v>1055.45</v>
      </c>
      <c r="M367">
        <v>1210.04</v>
      </c>
      <c r="N367">
        <v>8.9999999999999993E-3</v>
      </c>
      <c r="O367">
        <v>18</v>
      </c>
    </row>
    <row r="368" spans="1:15" x14ac:dyDescent="0.35">
      <c r="A368" t="s">
        <v>834</v>
      </c>
      <c r="B368" s="1">
        <v>45445</v>
      </c>
      <c r="C368" s="1">
        <v>45458</v>
      </c>
      <c r="D368" t="s">
        <v>16</v>
      </c>
      <c r="E368" t="s">
        <v>17</v>
      </c>
      <c r="F368" t="s">
        <v>113</v>
      </c>
      <c r="G368" t="s">
        <v>27</v>
      </c>
      <c r="H368" t="s">
        <v>28</v>
      </c>
      <c r="I368" t="s">
        <v>68</v>
      </c>
      <c r="J368" t="s">
        <v>42</v>
      </c>
      <c r="K368" t="s">
        <v>835</v>
      </c>
      <c r="L368">
        <v>1295.18</v>
      </c>
      <c r="M368">
        <v>3024.03</v>
      </c>
      <c r="N368">
        <v>0.192</v>
      </c>
      <c r="O368">
        <v>8</v>
      </c>
    </row>
    <row r="369" spans="1:15" x14ac:dyDescent="0.35">
      <c r="A369" t="s">
        <v>836</v>
      </c>
      <c r="B369" s="1">
        <v>45731</v>
      </c>
      <c r="C369" s="1">
        <v>45745</v>
      </c>
      <c r="D369" t="s">
        <v>45</v>
      </c>
      <c r="E369" t="s">
        <v>60</v>
      </c>
      <c r="F369" t="s">
        <v>220</v>
      </c>
      <c r="G369" t="s">
        <v>105</v>
      </c>
      <c r="H369" t="s">
        <v>98</v>
      </c>
      <c r="I369" t="s">
        <v>21</v>
      </c>
      <c r="J369" t="s">
        <v>22</v>
      </c>
      <c r="K369" t="s">
        <v>837</v>
      </c>
      <c r="L369">
        <v>935.83</v>
      </c>
      <c r="M369">
        <v>2303.46</v>
      </c>
      <c r="N369">
        <v>0.105</v>
      </c>
      <c r="O369">
        <v>9</v>
      </c>
    </row>
    <row r="370" spans="1:15" x14ac:dyDescent="0.35">
      <c r="A370" t="s">
        <v>838</v>
      </c>
      <c r="B370" s="1">
        <v>45194</v>
      </c>
      <c r="C370" s="1">
        <v>45208</v>
      </c>
      <c r="D370" t="s">
        <v>52</v>
      </c>
      <c r="E370" t="s">
        <v>122</v>
      </c>
      <c r="F370" t="s">
        <v>387</v>
      </c>
      <c r="G370" t="s">
        <v>62</v>
      </c>
      <c r="H370" t="s">
        <v>40</v>
      </c>
      <c r="I370" t="s">
        <v>29</v>
      </c>
      <c r="J370" t="s">
        <v>57</v>
      </c>
      <c r="K370" t="s">
        <v>839</v>
      </c>
      <c r="L370">
        <v>1279.56</v>
      </c>
      <c r="M370">
        <v>3083.8</v>
      </c>
      <c r="N370">
        <v>0.106</v>
      </c>
      <c r="O370">
        <v>5</v>
      </c>
    </row>
    <row r="371" spans="1:15" x14ac:dyDescent="0.35">
      <c r="A371" t="s">
        <v>840</v>
      </c>
      <c r="B371" s="1">
        <v>45832</v>
      </c>
      <c r="C371" s="1">
        <v>45861</v>
      </c>
      <c r="D371" t="s">
        <v>52</v>
      </c>
      <c r="E371" t="s">
        <v>53</v>
      </c>
      <c r="F371" t="s">
        <v>179</v>
      </c>
      <c r="G371" t="s">
        <v>39</v>
      </c>
      <c r="H371" t="s">
        <v>40</v>
      </c>
      <c r="I371" t="s">
        <v>34</v>
      </c>
      <c r="J371" t="s">
        <v>30</v>
      </c>
      <c r="K371" t="s">
        <v>841</v>
      </c>
      <c r="L371">
        <v>255.4</v>
      </c>
      <c r="M371">
        <v>322.70999999999998</v>
      </c>
      <c r="N371">
        <v>0.115</v>
      </c>
      <c r="O371">
        <v>16</v>
      </c>
    </row>
    <row r="372" spans="1:15" x14ac:dyDescent="0.35">
      <c r="A372" t="s">
        <v>842</v>
      </c>
      <c r="B372" s="1">
        <v>45286</v>
      </c>
      <c r="C372" s="1">
        <v>45294</v>
      </c>
      <c r="D372" t="s">
        <v>78</v>
      </c>
      <c r="E372" t="s">
        <v>90</v>
      </c>
      <c r="F372" t="s">
        <v>138</v>
      </c>
      <c r="G372" t="s">
        <v>62</v>
      </c>
      <c r="H372" t="s">
        <v>20</v>
      </c>
      <c r="I372" t="s">
        <v>110</v>
      </c>
      <c r="J372" t="s">
        <v>57</v>
      </c>
      <c r="K372" t="s">
        <v>843</v>
      </c>
      <c r="L372">
        <v>492.75</v>
      </c>
      <c r="M372">
        <v>731.29</v>
      </c>
      <c r="N372">
        <v>5.8000000000000003E-2</v>
      </c>
      <c r="O372">
        <v>6</v>
      </c>
    </row>
    <row r="373" spans="1:15" x14ac:dyDescent="0.35">
      <c r="A373" t="s">
        <v>844</v>
      </c>
      <c r="B373" s="1">
        <v>44962</v>
      </c>
      <c r="C373" s="1">
        <v>44985</v>
      </c>
      <c r="D373" t="s">
        <v>52</v>
      </c>
      <c r="E373" t="s">
        <v>122</v>
      </c>
      <c r="F373" t="s">
        <v>326</v>
      </c>
      <c r="G373" t="s">
        <v>39</v>
      </c>
      <c r="H373" t="s">
        <v>55</v>
      </c>
      <c r="I373" t="s">
        <v>49</v>
      </c>
      <c r="J373" t="s">
        <v>42</v>
      </c>
      <c r="K373" t="s">
        <v>845</v>
      </c>
      <c r="L373">
        <v>1214.49</v>
      </c>
      <c r="M373">
        <v>1533.95</v>
      </c>
      <c r="N373">
        <v>0</v>
      </c>
      <c r="O373">
        <v>11</v>
      </c>
    </row>
    <row r="374" spans="1:15" x14ac:dyDescent="0.35">
      <c r="A374" t="s">
        <v>846</v>
      </c>
      <c r="B374" s="1">
        <v>45022</v>
      </c>
      <c r="C374" s="1">
        <v>45024</v>
      </c>
      <c r="D374" t="s">
        <v>16</v>
      </c>
      <c r="E374" t="s">
        <v>25</v>
      </c>
      <c r="F374" t="s">
        <v>67</v>
      </c>
      <c r="G374" t="s">
        <v>62</v>
      </c>
      <c r="H374" t="s">
        <v>40</v>
      </c>
      <c r="I374" t="s">
        <v>95</v>
      </c>
      <c r="J374" t="s">
        <v>64</v>
      </c>
      <c r="K374" t="s">
        <v>847</v>
      </c>
      <c r="L374">
        <v>720.35</v>
      </c>
      <c r="M374">
        <v>1571.66</v>
      </c>
      <c r="N374">
        <v>0.107</v>
      </c>
      <c r="O374">
        <v>23</v>
      </c>
    </row>
    <row r="375" spans="1:15" x14ac:dyDescent="0.35">
      <c r="A375" t="s">
        <v>848</v>
      </c>
      <c r="B375" s="1">
        <v>45751</v>
      </c>
      <c r="C375" s="1">
        <v>45757</v>
      </c>
      <c r="D375" t="s">
        <v>78</v>
      </c>
      <c r="E375" t="s">
        <v>108</v>
      </c>
      <c r="F375" t="s">
        <v>109</v>
      </c>
      <c r="G375" t="s">
        <v>39</v>
      </c>
      <c r="H375" t="s">
        <v>98</v>
      </c>
      <c r="I375" t="s">
        <v>126</v>
      </c>
      <c r="J375" t="s">
        <v>30</v>
      </c>
      <c r="K375" t="s">
        <v>849</v>
      </c>
      <c r="L375">
        <v>290.14</v>
      </c>
      <c r="M375">
        <v>250.73</v>
      </c>
      <c r="N375">
        <v>3.4000000000000002E-2</v>
      </c>
      <c r="O375">
        <v>17</v>
      </c>
    </row>
    <row r="376" spans="1:15" x14ac:dyDescent="0.35">
      <c r="A376" t="s">
        <v>850</v>
      </c>
      <c r="B376" s="1">
        <v>45429</v>
      </c>
      <c r="C376" s="1">
        <v>45439</v>
      </c>
      <c r="D376" t="s">
        <v>52</v>
      </c>
      <c r="E376" t="s">
        <v>122</v>
      </c>
      <c r="F376" t="s">
        <v>326</v>
      </c>
      <c r="G376" t="s">
        <v>39</v>
      </c>
      <c r="H376" t="s">
        <v>28</v>
      </c>
      <c r="I376" t="s">
        <v>21</v>
      </c>
      <c r="J376" t="s">
        <v>42</v>
      </c>
      <c r="K376" t="s">
        <v>851</v>
      </c>
      <c r="L376">
        <v>1484.23</v>
      </c>
      <c r="M376">
        <v>3472.81</v>
      </c>
      <c r="N376">
        <v>0.25600000000000001</v>
      </c>
      <c r="O376">
        <v>12</v>
      </c>
    </row>
    <row r="377" spans="1:15" x14ac:dyDescent="0.35">
      <c r="A377" t="s">
        <v>852</v>
      </c>
      <c r="B377" s="1">
        <v>45354</v>
      </c>
      <c r="C377" s="1">
        <v>45370</v>
      </c>
      <c r="D377" t="s">
        <v>45</v>
      </c>
      <c r="E377" t="s">
        <v>116</v>
      </c>
      <c r="F377" t="s">
        <v>338</v>
      </c>
      <c r="G377" t="s">
        <v>48</v>
      </c>
      <c r="H377" t="s">
        <v>55</v>
      </c>
      <c r="I377" t="s">
        <v>41</v>
      </c>
      <c r="J377" t="s">
        <v>42</v>
      </c>
      <c r="K377" t="s">
        <v>853</v>
      </c>
      <c r="L377">
        <v>988.83</v>
      </c>
      <c r="M377">
        <v>1206.04</v>
      </c>
      <c r="N377">
        <v>6.3E-2</v>
      </c>
      <c r="O377">
        <v>34</v>
      </c>
    </row>
    <row r="378" spans="1:15" x14ac:dyDescent="0.35">
      <c r="A378" t="s">
        <v>854</v>
      </c>
      <c r="B378" s="1">
        <v>45835</v>
      </c>
      <c r="C378" s="1">
        <v>45849</v>
      </c>
      <c r="D378" t="s">
        <v>45</v>
      </c>
      <c r="E378" t="s">
        <v>116</v>
      </c>
      <c r="F378" t="s">
        <v>162</v>
      </c>
      <c r="G378" t="s">
        <v>62</v>
      </c>
      <c r="H378" t="s">
        <v>40</v>
      </c>
      <c r="I378" t="s">
        <v>49</v>
      </c>
      <c r="J378" t="s">
        <v>35</v>
      </c>
      <c r="K378" t="s">
        <v>855</v>
      </c>
      <c r="L378">
        <v>1227.7</v>
      </c>
      <c r="M378">
        <v>2197.23</v>
      </c>
      <c r="N378">
        <v>9.9000000000000005E-2</v>
      </c>
      <c r="O378">
        <v>22</v>
      </c>
    </row>
    <row r="379" spans="1:15" x14ac:dyDescent="0.35">
      <c r="A379" t="s">
        <v>856</v>
      </c>
      <c r="B379" s="1">
        <v>44998</v>
      </c>
      <c r="C379" s="1">
        <v>45020</v>
      </c>
      <c r="D379" t="s">
        <v>16</v>
      </c>
      <c r="E379" t="s">
        <v>148</v>
      </c>
      <c r="F379" t="s">
        <v>172</v>
      </c>
      <c r="G379" t="s">
        <v>62</v>
      </c>
      <c r="H379" t="s">
        <v>20</v>
      </c>
      <c r="I379" t="s">
        <v>75</v>
      </c>
      <c r="J379" t="s">
        <v>22</v>
      </c>
      <c r="K379" t="s">
        <v>857</v>
      </c>
      <c r="L379">
        <v>1113.7</v>
      </c>
      <c r="M379">
        <v>1620.6</v>
      </c>
      <c r="N379">
        <v>0.13900000000000001</v>
      </c>
      <c r="O379">
        <v>11</v>
      </c>
    </row>
    <row r="380" spans="1:15" x14ac:dyDescent="0.35">
      <c r="A380" t="s">
        <v>858</v>
      </c>
      <c r="B380" s="1">
        <v>45664</v>
      </c>
      <c r="C380" s="1">
        <v>45677</v>
      </c>
      <c r="D380" t="s">
        <v>16</v>
      </c>
      <c r="E380" t="s">
        <v>148</v>
      </c>
      <c r="F380" t="s">
        <v>258</v>
      </c>
      <c r="G380" t="s">
        <v>19</v>
      </c>
      <c r="H380" t="s">
        <v>98</v>
      </c>
      <c r="I380" t="s">
        <v>95</v>
      </c>
      <c r="J380" t="s">
        <v>35</v>
      </c>
      <c r="K380" t="s">
        <v>859</v>
      </c>
      <c r="L380">
        <v>432.13</v>
      </c>
      <c r="M380">
        <v>1034.6600000000001</v>
      </c>
      <c r="N380">
        <v>9.1999999999999998E-2</v>
      </c>
      <c r="O380">
        <v>7</v>
      </c>
    </row>
    <row r="381" spans="1:15" x14ac:dyDescent="0.35">
      <c r="A381" t="s">
        <v>860</v>
      </c>
      <c r="B381" s="1">
        <v>45694</v>
      </c>
      <c r="C381" s="1">
        <v>45703</v>
      </c>
      <c r="D381" t="s">
        <v>52</v>
      </c>
      <c r="E381" t="s">
        <v>73</v>
      </c>
      <c r="F381" t="s">
        <v>74</v>
      </c>
      <c r="G381" t="s">
        <v>39</v>
      </c>
      <c r="H381" t="s">
        <v>55</v>
      </c>
      <c r="I381" t="s">
        <v>84</v>
      </c>
      <c r="J381" t="s">
        <v>35</v>
      </c>
      <c r="K381" t="s">
        <v>861</v>
      </c>
      <c r="L381">
        <v>837.39</v>
      </c>
      <c r="M381">
        <v>1905.42</v>
      </c>
      <c r="N381">
        <v>3.2000000000000001E-2</v>
      </c>
      <c r="O381">
        <v>18</v>
      </c>
    </row>
    <row r="382" spans="1:15" x14ac:dyDescent="0.35">
      <c r="A382" t="s">
        <v>862</v>
      </c>
      <c r="B382" s="1">
        <v>45688</v>
      </c>
      <c r="C382" s="1">
        <v>45705</v>
      </c>
      <c r="D382" t="s">
        <v>78</v>
      </c>
      <c r="E382" t="s">
        <v>108</v>
      </c>
      <c r="F382" t="s">
        <v>152</v>
      </c>
      <c r="G382" t="s">
        <v>105</v>
      </c>
      <c r="H382" t="s">
        <v>20</v>
      </c>
      <c r="I382" t="s">
        <v>92</v>
      </c>
      <c r="J382" t="s">
        <v>22</v>
      </c>
      <c r="K382" t="s">
        <v>254</v>
      </c>
      <c r="L382">
        <v>378.26</v>
      </c>
      <c r="M382">
        <v>541.55999999999995</v>
      </c>
      <c r="N382">
        <v>0.16300000000000001</v>
      </c>
      <c r="O382">
        <v>25</v>
      </c>
    </row>
    <row r="383" spans="1:15" x14ac:dyDescent="0.35">
      <c r="A383" t="s">
        <v>863</v>
      </c>
      <c r="B383" s="1">
        <v>45876</v>
      </c>
      <c r="C383" s="1">
        <v>45906</v>
      </c>
      <c r="D383" t="s">
        <v>52</v>
      </c>
      <c r="E383" t="s">
        <v>53</v>
      </c>
      <c r="F383" t="s">
        <v>144</v>
      </c>
      <c r="G383" t="s">
        <v>27</v>
      </c>
      <c r="H383" t="s">
        <v>98</v>
      </c>
      <c r="I383" t="s">
        <v>110</v>
      </c>
      <c r="J383" t="s">
        <v>35</v>
      </c>
      <c r="K383" t="s">
        <v>864</v>
      </c>
      <c r="L383">
        <v>833.73</v>
      </c>
      <c r="M383">
        <v>1116.5999999999999</v>
      </c>
      <c r="N383">
        <v>0.17599999999999999</v>
      </c>
      <c r="O383">
        <v>14</v>
      </c>
    </row>
    <row r="384" spans="1:15" x14ac:dyDescent="0.35">
      <c r="A384" t="s">
        <v>865</v>
      </c>
      <c r="B384" s="1">
        <v>45861</v>
      </c>
      <c r="C384" s="1">
        <v>45886</v>
      </c>
      <c r="D384" t="s">
        <v>78</v>
      </c>
      <c r="E384" t="s">
        <v>108</v>
      </c>
      <c r="F384" t="s">
        <v>109</v>
      </c>
      <c r="G384" t="s">
        <v>27</v>
      </c>
      <c r="H384" t="s">
        <v>28</v>
      </c>
      <c r="I384" t="s">
        <v>34</v>
      </c>
      <c r="J384" t="s">
        <v>30</v>
      </c>
      <c r="K384" t="s">
        <v>866</v>
      </c>
      <c r="L384">
        <v>1142.06</v>
      </c>
      <c r="M384">
        <v>1455</v>
      </c>
      <c r="N384">
        <v>7.8E-2</v>
      </c>
      <c r="O384">
        <v>28</v>
      </c>
    </row>
    <row r="385" spans="1:15" x14ac:dyDescent="0.35">
      <c r="A385" t="s">
        <v>867</v>
      </c>
      <c r="B385" s="1">
        <v>45097</v>
      </c>
      <c r="C385" s="1">
        <v>45115</v>
      </c>
      <c r="D385" t="s">
        <v>52</v>
      </c>
      <c r="E385" t="s">
        <v>122</v>
      </c>
      <c r="F385" t="s">
        <v>387</v>
      </c>
      <c r="G385" t="s">
        <v>48</v>
      </c>
      <c r="H385" t="s">
        <v>40</v>
      </c>
      <c r="I385" t="s">
        <v>68</v>
      </c>
      <c r="J385" t="s">
        <v>35</v>
      </c>
      <c r="K385" t="s">
        <v>868</v>
      </c>
      <c r="L385">
        <v>1145.53</v>
      </c>
      <c r="M385">
        <v>1278.3</v>
      </c>
      <c r="N385">
        <v>0.09</v>
      </c>
      <c r="O385">
        <v>41</v>
      </c>
    </row>
    <row r="386" spans="1:15" x14ac:dyDescent="0.35">
      <c r="A386" t="s">
        <v>869</v>
      </c>
      <c r="B386" s="1">
        <v>45491</v>
      </c>
      <c r="C386" s="1">
        <v>45511</v>
      </c>
      <c r="D386" t="s">
        <v>78</v>
      </c>
      <c r="E386" t="s">
        <v>90</v>
      </c>
      <c r="F386" t="s">
        <v>91</v>
      </c>
      <c r="G386" t="s">
        <v>19</v>
      </c>
      <c r="H386" t="s">
        <v>20</v>
      </c>
      <c r="I386" t="s">
        <v>84</v>
      </c>
      <c r="J386" t="s">
        <v>64</v>
      </c>
      <c r="K386" t="s">
        <v>870</v>
      </c>
      <c r="L386">
        <v>941.35</v>
      </c>
      <c r="M386">
        <v>899.83</v>
      </c>
      <c r="N386">
        <v>5.8000000000000003E-2</v>
      </c>
      <c r="O386">
        <v>18</v>
      </c>
    </row>
    <row r="387" spans="1:15" x14ac:dyDescent="0.35">
      <c r="A387" t="s">
        <v>871</v>
      </c>
      <c r="B387" s="1">
        <v>45066</v>
      </c>
      <c r="C387" s="1">
        <v>45096</v>
      </c>
      <c r="D387" t="s">
        <v>45</v>
      </c>
      <c r="E387" t="s">
        <v>60</v>
      </c>
      <c r="F387" t="s">
        <v>141</v>
      </c>
      <c r="G387" t="s">
        <v>39</v>
      </c>
      <c r="H387" t="s">
        <v>40</v>
      </c>
      <c r="I387" t="s">
        <v>92</v>
      </c>
      <c r="J387" t="s">
        <v>57</v>
      </c>
      <c r="K387" t="s">
        <v>872</v>
      </c>
      <c r="L387">
        <v>1161.2</v>
      </c>
      <c r="M387">
        <v>878.73</v>
      </c>
      <c r="N387">
        <v>0.19</v>
      </c>
      <c r="O387">
        <v>31</v>
      </c>
    </row>
    <row r="388" spans="1:15" x14ac:dyDescent="0.35">
      <c r="A388" t="s">
        <v>873</v>
      </c>
      <c r="B388" s="1">
        <v>45789</v>
      </c>
      <c r="C388" s="1">
        <v>45803</v>
      </c>
      <c r="D388" t="s">
        <v>45</v>
      </c>
      <c r="E388" t="s">
        <v>60</v>
      </c>
      <c r="F388" t="s">
        <v>281</v>
      </c>
      <c r="G388" t="s">
        <v>19</v>
      </c>
      <c r="H388" t="s">
        <v>40</v>
      </c>
      <c r="I388" t="s">
        <v>41</v>
      </c>
      <c r="J388" t="s">
        <v>30</v>
      </c>
      <c r="K388" t="s">
        <v>874</v>
      </c>
      <c r="L388">
        <v>320.12</v>
      </c>
      <c r="M388">
        <v>594.41999999999996</v>
      </c>
      <c r="N388">
        <v>0.104</v>
      </c>
      <c r="O388">
        <v>18</v>
      </c>
    </row>
    <row r="389" spans="1:15" x14ac:dyDescent="0.35">
      <c r="A389" t="s">
        <v>875</v>
      </c>
      <c r="B389" s="1">
        <v>45419</v>
      </c>
      <c r="C389" s="1">
        <v>45424</v>
      </c>
      <c r="D389" t="s">
        <v>16</v>
      </c>
      <c r="E389" t="s">
        <v>25</v>
      </c>
      <c r="F389" t="s">
        <v>67</v>
      </c>
      <c r="G389" t="s">
        <v>39</v>
      </c>
      <c r="H389" t="s">
        <v>55</v>
      </c>
      <c r="I389" t="s">
        <v>49</v>
      </c>
      <c r="J389" t="s">
        <v>57</v>
      </c>
      <c r="K389" t="s">
        <v>876</v>
      </c>
      <c r="L389">
        <v>1163.99</v>
      </c>
      <c r="M389">
        <v>1617.85</v>
      </c>
      <c r="N389">
        <v>0.127</v>
      </c>
      <c r="O389">
        <v>14</v>
      </c>
    </row>
    <row r="390" spans="1:15" x14ac:dyDescent="0.35">
      <c r="A390" t="s">
        <v>877</v>
      </c>
      <c r="B390" s="1">
        <v>45199</v>
      </c>
      <c r="C390" s="1">
        <v>45202</v>
      </c>
      <c r="D390" t="s">
        <v>45</v>
      </c>
      <c r="E390" t="s">
        <v>116</v>
      </c>
      <c r="F390" t="s">
        <v>338</v>
      </c>
      <c r="G390" t="s">
        <v>39</v>
      </c>
      <c r="H390" t="s">
        <v>20</v>
      </c>
      <c r="I390" t="s">
        <v>29</v>
      </c>
      <c r="J390" t="s">
        <v>57</v>
      </c>
      <c r="K390" t="s">
        <v>878</v>
      </c>
      <c r="L390">
        <v>1019.36</v>
      </c>
      <c r="M390">
        <v>972.91</v>
      </c>
      <c r="N390">
        <v>0.14699999999999999</v>
      </c>
      <c r="O390">
        <v>17</v>
      </c>
    </row>
    <row r="391" spans="1:15" x14ac:dyDescent="0.35">
      <c r="A391" t="s">
        <v>879</v>
      </c>
      <c r="B391" s="1">
        <v>45225</v>
      </c>
      <c r="C391" s="1">
        <v>45235</v>
      </c>
      <c r="D391" t="s">
        <v>16</v>
      </c>
      <c r="E391" t="s">
        <v>148</v>
      </c>
      <c r="F391" t="s">
        <v>258</v>
      </c>
      <c r="G391" t="s">
        <v>39</v>
      </c>
      <c r="H391" t="s">
        <v>28</v>
      </c>
      <c r="I391" t="s">
        <v>34</v>
      </c>
      <c r="J391" t="s">
        <v>57</v>
      </c>
      <c r="K391" t="s">
        <v>880</v>
      </c>
      <c r="L391">
        <v>20.38</v>
      </c>
      <c r="M391">
        <v>42.56</v>
      </c>
      <c r="N391">
        <v>7.1999999999999995E-2</v>
      </c>
      <c r="O391">
        <v>11</v>
      </c>
    </row>
    <row r="392" spans="1:15" x14ac:dyDescent="0.35">
      <c r="A392" t="s">
        <v>881</v>
      </c>
      <c r="B392" s="1">
        <v>45823</v>
      </c>
      <c r="C392" s="1">
        <v>45838</v>
      </c>
      <c r="D392" t="s">
        <v>16</v>
      </c>
      <c r="E392" t="s">
        <v>148</v>
      </c>
      <c r="F392" t="s">
        <v>149</v>
      </c>
      <c r="G392" t="s">
        <v>62</v>
      </c>
      <c r="H392" t="s">
        <v>98</v>
      </c>
      <c r="I392" t="s">
        <v>21</v>
      </c>
      <c r="J392" t="s">
        <v>64</v>
      </c>
      <c r="K392" t="s">
        <v>882</v>
      </c>
      <c r="L392">
        <v>1487.59</v>
      </c>
      <c r="M392">
        <v>1480.83</v>
      </c>
      <c r="N392">
        <v>8.9999999999999993E-3</v>
      </c>
      <c r="O392">
        <v>11</v>
      </c>
    </row>
    <row r="393" spans="1:15" x14ac:dyDescent="0.35">
      <c r="A393" t="s">
        <v>883</v>
      </c>
      <c r="B393" s="1">
        <v>45514</v>
      </c>
      <c r="C393" s="1">
        <v>45542</v>
      </c>
      <c r="D393" t="s">
        <v>78</v>
      </c>
      <c r="E393" t="s">
        <v>90</v>
      </c>
      <c r="F393" t="s">
        <v>91</v>
      </c>
      <c r="G393" t="s">
        <v>39</v>
      </c>
      <c r="H393" t="s">
        <v>98</v>
      </c>
      <c r="I393" t="s">
        <v>84</v>
      </c>
      <c r="J393" t="s">
        <v>30</v>
      </c>
      <c r="K393" t="s">
        <v>884</v>
      </c>
      <c r="L393">
        <v>229.96</v>
      </c>
      <c r="M393">
        <v>564.26</v>
      </c>
      <c r="N393">
        <v>0.105</v>
      </c>
      <c r="O393">
        <v>5</v>
      </c>
    </row>
    <row r="394" spans="1:15" x14ac:dyDescent="0.35">
      <c r="A394" t="s">
        <v>885</v>
      </c>
      <c r="B394" s="1">
        <v>45208</v>
      </c>
      <c r="C394" s="1">
        <v>45225</v>
      </c>
      <c r="D394" t="s">
        <v>45</v>
      </c>
      <c r="E394" t="s">
        <v>116</v>
      </c>
      <c r="F394" t="s">
        <v>162</v>
      </c>
      <c r="G394" t="s">
        <v>48</v>
      </c>
      <c r="H394" t="s">
        <v>40</v>
      </c>
      <c r="I394" t="s">
        <v>21</v>
      </c>
      <c r="J394" t="s">
        <v>22</v>
      </c>
      <c r="K394" t="s">
        <v>886</v>
      </c>
      <c r="L394">
        <v>1132.03</v>
      </c>
      <c r="M394">
        <v>2137.21</v>
      </c>
      <c r="N394">
        <v>0.35699999999999998</v>
      </c>
      <c r="O394">
        <v>35</v>
      </c>
    </row>
    <row r="395" spans="1:15" x14ac:dyDescent="0.35">
      <c r="A395" t="s">
        <v>887</v>
      </c>
      <c r="B395" s="1">
        <v>45360</v>
      </c>
      <c r="C395" s="1">
        <v>45377</v>
      </c>
      <c r="D395" t="s">
        <v>52</v>
      </c>
      <c r="E395" t="s">
        <v>122</v>
      </c>
      <c r="F395" t="s">
        <v>167</v>
      </c>
      <c r="G395" t="s">
        <v>27</v>
      </c>
      <c r="H395" t="s">
        <v>98</v>
      </c>
      <c r="I395" t="s">
        <v>34</v>
      </c>
      <c r="J395" t="s">
        <v>42</v>
      </c>
      <c r="K395" t="s">
        <v>888</v>
      </c>
      <c r="L395">
        <v>1137.4100000000001</v>
      </c>
      <c r="M395">
        <v>1680.93</v>
      </c>
      <c r="N395">
        <v>0.254</v>
      </c>
      <c r="O395">
        <v>9</v>
      </c>
    </row>
    <row r="396" spans="1:15" x14ac:dyDescent="0.35">
      <c r="A396" t="s">
        <v>889</v>
      </c>
      <c r="B396" s="1">
        <v>45075</v>
      </c>
      <c r="C396" s="1">
        <v>45097</v>
      </c>
      <c r="D396" t="s">
        <v>78</v>
      </c>
      <c r="E396" t="s">
        <v>108</v>
      </c>
      <c r="F396" t="s">
        <v>152</v>
      </c>
      <c r="G396" t="s">
        <v>62</v>
      </c>
      <c r="H396" t="s">
        <v>98</v>
      </c>
      <c r="I396" t="s">
        <v>95</v>
      </c>
      <c r="J396" t="s">
        <v>22</v>
      </c>
      <c r="K396" t="s">
        <v>890</v>
      </c>
      <c r="L396">
        <v>1295.3900000000001</v>
      </c>
      <c r="M396">
        <v>2905.06</v>
      </c>
      <c r="N396">
        <v>0.14799999999999999</v>
      </c>
      <c r="O396">
        <v>8</v>
      </c>
    </row>
    <row r="397" spans="1:15" x14ac:dyDescent="0.35">
      <c r="A397" t="s">
        <v>891</v>
      </c>
      <c r="B397" s="1">
        <v>45804</v>
      </c>
      <c r="C397" s="1">
        <v>45816</v>
      </c>
      <c r="D397" t="s">
        <v>45</v>
      </c>
      <c r="E397" t="s">
        <v>46</v>
      </c>
      <c r="F397" t="s">
        <v>47</v>
      </c>
      <c r="G397" t="s">
        <v>19</v>
      </c>
      <c r="H397" t="s">
        <v>20</v>
      </c>
      <c r="I397" t="s">
        <v>92</v>
      </c>
      <c r="J397" t="s">
        <v>81</v>
      </c>
      <c r="K397" t="s">
        <v>892</v>
      </c>
      <c r="L397">
        <v>653.6</v>
      </c>
      <c r="M397">
        <v>842.09</v>
      </c>
      <c r="N397">
        <v>9.8000000000000004E-2</v>
      </c>
      <c r="O397">
        <v>19</v>
      </c>
    </row>
    <row r="398" spans="1:15" x14ac:dyDescent="0.35">
      <c r="A398" t="s">
        <v>893</v>
      </c>
      <c r="B398" s="1">
        <v>45890</v>
      </c>
      <c r="C398" s="1">
        <v>45914</v>
      </c>
      <c r="D398" t="s">
        <v>78</v>
      </c>
      <c r="E398" t="s">
        <v>79</v>
      </c>
      <c r="F398" t="s">
        <v>80</v>
      </c>
      <c r="G398" t="s">
        <v>39</v>
      </c>
      <c r="H398" t="s">
        <v>28</v>
      </c>
      <c r="I398" t="s">
        <v>75</v>
      </c>
      <c r="J398" t="s">
        <v>64</v>
      </c>
      <c r="K398" t="s">
        <v>894</v>
      </c>
      <c r="L398">
        <v>1397.67</v>
      </c>
      <c r="M398">
        <v>3131.37</v>
      </c>
      <c r="N398">
        <v>0.10299999999999999</v>
      </c>
      <c r="O398">
        <v>20</v>
      </c>
    </row>
    <row r="399" spans="1:15" x14ac:dyDescent="0.35">
      <c r="A399" t="s">
        <v>895</v>
      </c>
      <c r="B399" s="1">
        <v>45638</v>
      </c>
      <c r="C399" s="1">
        <v>45646</v>
      </c>
      <c r="D399" t="s">
        <v>45</v>
      </c>
      <c r="E399" t="s">
        <v>46</v>
      </c>
      <c r="F399" t="s">
        <v>214</v>
      </c>
      <c r="G399" t="s">
        <v>19</v>
      </c>
      <c r="H399" t="s">
        <v>20</v>
      </c>
      <c r="I399" t="s">
        <v>56</v>
      </c>
      <c r="J399" t="s">
        <v>57</v>
      </c>
      <c r="K399" t="s">
        <v>896</v>
      </c>
      <c r="L399">
        <v>1202.47</v>
      </c>
      <c r="M399">
        <v>1444.72</v>
      </c>
      <c r="N399">
        <v>0.24099999999999999</v>
      </c>
      <c r="O399">
        <v>17</v>
      </c>
    </row>
    <row r="400" spans="1:15" x14ac:dyDescent="0.35">
      <c r="A400" t="s">
        <v>897</v>
      </c>
      <c r="B400" s="1">
        <v>45914</v>
      </c>
      <c r="C400" s="1">
        <v>45923</v>
      </c>
      <c r="D400" t="s">
        <v>16</v>
      </c>
      <c r="E400" t="s">
        <v>148</v>
      </c>
      <c r="F400" t="s">
        <v>172</v>
      </c>
      <c r="G400" t="s">
        <v>39</v>
      </c>
      <c r="H400" t="s">
        <v>28</v>
      </c>
      <c r="I400" t="s">
        <v>145</v>
      </c>
      <c r="J400" t="s">
        <v>22</v>
      </c>
      <c r="K400" t="s">
        <v>898</v>
      </c>
      <c r="L400">
        <v>1310.3</v>
      </c>
      <c r="M400">
        <v>2875.8</v>
      </c>
      <c r="N400">
        <v>8.3000000000000004E-2</v>
      </c>
      <c r="O400">
        <v>5</v>
      </c>
    </row>
    <row r="401" spans="1:15" x14ac:dyDescent="0.35">
      <c r="A401" t="s">
        <v>899</v>
      </c>
      <c r="B401" s="1">
        <v>45541</v>
      </c>
      <c r="C401" s="1">
        <v>45569</v>
      </c>
      <c r="D401" t="s">
        <v>16</v>
      </c>
      <c r="E401" t="s">
        <v>148</v>
      </c>
      <c r="F401" t="s">
        <v>258</v>
      </c>
      <c r="G401" t="s">
        <v>19</v>
      </c>
      <c r="H401" t="s">
        <v>40</v>
      </c>
      <c r="I401" t="s">
        <v>145</v>
      </c>
      <c r="J401" t="s">
        <v>64</v>
      </c>
      <c r="K401" t="s">
        <v>900</v>
      </c>
      <c r="L401">
        <v>1174.17</v>
      </c>
      <c r="M401">
        <v>1641.61</v>
      </c>
      <c r="N401">
        <v>0.122</v>
      </c>
      <c r="O401">
        <v>9</v>
      </c>
    </row>
    <row r="402" spans="1:15" x14ac:dyDescent="0.35">
      <c r="A402" t="s">
        <v>901</v>
      </c>
      <c r="B402" s="1">
        <v>45759</v>
      </c>
      <c r="C402" s="1">
        <v>45777</v>
      </c>
      <c r="D402" t="s">
        <v>16</v>
      </c>
      <c r="E402" t="s">
        <v>17</v>
      </c>
      <c r="F402" t="s">
        <v>18</v>
      </c>
      <c r="G402" t="s">
        <v>19</v>
      </c>
      <c r="H402" t="s">
        <v>40</v>
      </c>
      <c r="I402" t="s">
        <v>84</v>
      </c>
      <c r="J402" t="s">
        <v>35</v>
      </c>
      <c r="K402" t="s">
        <v>902</v>
      </c>
      <c r="L402">
        <v>1119.04</v>
      </c>
      <c r="M402">
        <v>1299.02</v>
      </c>
      <c r="N402">
        <v>2.5000000000000001E-2</v>
      </c>
      <c r="O402">
        <v>14</v>
      </c>
    </row>
    <row r="403" spans="1:15" x14ac:dyDescent="0.35">
      <c r="A403" t="s">
        <v>903</v>
      </c>
      <c r="B403" s="1">
        <v>45516</v>
      </c>
      <c r="C403" s="1">
        <v>45519</v>
      </c>
      <c r="D403" t="s">
        <v>52</v>
      </c>
      <c r="E403" t="s">
        <v>122</v>
      </c>
      <c r="F403" t="s">
        <v>123</v>
      </c>
      <c r="G403" t="s">
        <v>19</v>
      </c>
      <c r="H403" t="s">
        <v>40</v>
      </c>
      <c r="I403" t="s">
        <v>145</v>
      </c>
      <c r="J403" t="s">
        <v>30</v>
      </c>
      <c r="K403" t="s">
        <v>904</v>
      </c>
      <c r="L403">
        <v>850.7</v>
      </c>
      <c r="M403">
        <v>1118.56</v>
      </c>
      <c r="N403">
        <v>0.18</v>
      </c>
      <c r="O403">
        <v>19</v>
      </c>
    </row>
    <row r="404" spans="1:15" x14ac:dyDescent="0.35">
      <c r="A404" t="s">
        <v>905</v>
      </c>
      <c r="B404" s="1">
        <v>45601</v>
      </c>
      <c r="C404" s="1">
        <v>45604</v>
      </c>
      <c r="D404" t="s">
        <v>52</v>
      </c>
      <c r="E404" t="s">
        <v>53</v>
      </c>
      <c r="F404" t="s">
        <v>54</v>
      </c>
      <c r="G404" t="s">
        <v>27</v>
      </c>
      <c r="H404" t="s">
        <v>40</v>
      </c>
      <c r="I404" t="s">
        <v>68</v>
      </c>
      <c r="J404" t="s">
        <v>22</v>
      </c>
      <c r="K404" t="s">
        <v>906</v>
      </c>
      <c r="L404">
        <v>1020.4</v>
      </c>
      <c r="M404">
        <v>1184.71</v>
      </c>
      <c r="N404">
        <v>0.106</v>
      </c>
      <c r="O404">
        <v>16</v>
      </c>
    </row>
    <row r="405" spans="1:15" x14ac:dyDescent="0.35">
      <c r="A405" t="s">
        <v>907</v>
      </c>
      <c r="B405" s="1">
        <v>45497</v>
      </c>
      <c r="C405" s="1">
        <v>45512</v>
      </c>
      <c r="D405" t="s">
        <v>78</v>
      </c>
      <c r="E405" t="s">
        <v>90</v>
      </c>
      <c r="F405" t="s">
        <v>91</v>
      </c>
      <c r="G405" t="s">
        <v>105</v>
      </c>
      <c r="H405" t="s">
        <v>40</v>
      </c>
      <c r="I405" t="s">
        <v>92</v>
      </c>
      <c r="J405" t="s">
        <v>57</v>
      </c>
      <c r="K405" t="s">
        <v>908</v>
      </c>
      <c r="L405">
        <v>501.5</v>
      </c>
      <c r="M405">
        <v>1201.47</v>
      </c>
      <c r="N405">
        <v>0.126</v>
      </c>
      <c r="O405">
        <v>5</v>
      </c>
    </row>
    <row r="406" spans="1:15" x14ac:dyDescent="0.35">
      <c r="A406" t="s">
        <v>909</v>
      </c>
      <c r="B406" s="1">
        <v>45677</v>
      </c>
      <c r="C406" s="1">
        <v>45691</v>
      </c>
      <c r="D406" t="s">
        <v>52</v>
      </c>
      <c r="E406" t="s">
        <v>73</v>
      </c>
      <c r="F406" t="s">
        <v>87</v>
      </c>
      <c r="G406" t="s">
        <v>105</v>
      </c>
      <c r="H406" t="s">
        <v>40</v>
      </c>
      <c r="I406" t="s">
        <v>84</v>
      </c>
      <c r="J406" t="s">
        <v>22</v>
      </c>
      <c r="K406" t="s">
        <v>910</v>
      </c>
      <c r="L406">
        <v>974.11</v>
      </c>
      <c r="M406">
        <v>880.99</v>
      </c>
      <c r="N406">
        <v>0.111</v>
      </c>
      <c r="O406">
        <v>10</v>
      </c>
    </row>
    <row r="407" spans="1:15" x14ac:dyDescent="0.35">
      <c r="A407" t="s">
        <v>911</v>
      </c>
      <c r="B407" s="1">
        <v>44991</v>
      </c>
      <c r="C407" s="1">
        <v>45020</v>
      </c>
      <c r="D407" t="s">
        <v>45</v>
      </c>
      <c r="E407" t="s">
        <v>116</v>
      </c>
      <c r="F407" t="s">
        <v>338</v>
      </c>
      <c r="G407" t="s">
        <v>62</v>
      </c>
      <c r="H407" t="s">
        <v>98</v>
      </c>
      <c r="I407" t="s">
        <v>21</v>
      </c>
      <c r="J407" t="s">
        <v>64</v>
      </c>
      <c r="K407" t="s">
        <v>912</v>
      </c>
      <c r="L407">
        <v>1126.29</v>
      </c>
      <c r="M407">
        <v>2050.87</v>
      </c>
      <c r="N407">
        <v>6.4000000000000001E-2</v>
      </c>
      <c r="O407">
        <v>7</v>
      </c>
    </row>
    <row r="408" spans="1:15" x14ac:dyDescent="0.35">
      <c r="A408" t="s">
        <v>913</v>
      </c>
      <c r="B408" s="1">
        <v>45646</v>
      </c>
      <c r="C408" s="1">
        <v>45671</v>
      </c>
      <c r="D408" t="s">
        <v>45</v>
      </c>
      <c r="E408" t="s">
        <v>60</v>
      </c>
      <c r="F408" t="s">
        <v>141</v>
      </c>
      <c r="G408" t="s">
        <v>62</v>
      </c>
      <c r="H408" t="s">
        <v>20</v>
      </c>
      <c r="I408" t="s">
        <v>110</v>
      </c>
      <c r="J408" t="s">
        <v>30</v>
      </c>
      <c r="K408" t="s">
        <v>914</v>
      </c>
      <c r="L408">
        <v>1361.34</v>
      </c>
      <c r="M408">
        <v>1737.9</v>
      </c>
      <c r="N408">
        <v>7.6999999999999999E-2</v>
      </c>
      <c r="O408">
        <v>14</v>
      </c>
    </row>
    <row r="409" spans="1:15" x14ac:dyDescent="0.35">
      <c r="A409" t="s">
        <v>915</v>
      </c>
      <c r="B409" s="1">
        <v>45709</v>
      </c>
      <c r="C409" s="1">
        <v>45737</v>
      </c>
      <c r="D409" t="s">
        <v>16</v>
      </c>
      <c r="E409" t="s">
        <v>25</v>
      </c>
      <c r="F409" t="s">
        <v>67</v>
      </c>
      <c r="G409" t="s">
        <v>105</v>
      </c>
      <c r="H409" t="s">
        <v>40</v>
      </c>
      <c r="I409" t="s">
        <v>34</v>
      </c>
      <c r="J409" t="s">
        <v>42</v>
      </c>
      <c r="K409" t="s">
        <v>916</v>
      </c>
      <c r="L409">
        <v>1437.39</v>
      </c>
      <c r="M409">
        <v>1388.31</v>
      </c>
      <c r="N409">
        <v>0.13800000000000001</v>
      </c>
      <c r="O409">
        <v>18</v>
      </c>
    </row>
    <row r="410" spans="1:15" x14ac:dyDescent="0.35">
      <c r="A410" t="s">
        <v>917</v>
      </c>
      <c r="B410" s="1">
        <v>45724</v>
      </c>
      <c r="C410" s="1">
        <v>45731</v>
      </c>
      <c r="D410" t="s">
        <v>45</v>
      </c>
      <c r="E410" t="s">
        <v>60</v>
      </c>
      <c r="F410" t="s">
        <v>61</v>
      </c>
      <c r="G410" t="s">
        <v>19</v>
      </c>
      <c r="H410" t="s">
        <v>55</v>
      </c>
      <c r="I410" t="s">
        <v>95</v>
      </c>
      <c r="J410" t="s">
        <v>57</v>
      </c>
      <c r="K410" t="s">
        <v>918</v>
      </c>
      <c r="L410">
        <v>475.66</v>
      </c>
      <c r="M410">
        <v>529.14</v>
      </c>
      <c r="N410">
        <v>0.19600000000000001</v>
      </c>
      <c r="O410">
        <v>11</v>
      </c>
    </row>
    <row r="411" spans="1:15" x14ac:dyDescent="0.35">
      <c r="A411" t="s">
        <v>919</v>
      </c>
      <c r="B411" s="1">
        <v>45276</v>
      </c>
      <c r="C411" s="1">
        <v>45279</v>
      </c>
      <c r="D411" t="s">
        <v>45</v>
      </c>
      <c r="E411" t="s">
        <v>116</v>
      </c>
      <c r="F411" t="s">
        <v>338</v>
      </c>
      <c r="G411" t="s">
        <v>27</v>
      </c>
      <c r="H411" t="s">
        <v>20</v>
      </c>
      <c r="I411" t="s">
        <v>75</v>
      </c>
      <c r="J411" t="s">
        <v>81</v>
      </c>
      <c r="K411" t="s">
        <v>920</v>
      </c>
      <c r="L411">
        <v>1415.05</v>
      </c>
      <c r="M411">
        <v>1972.38</v>
      </c>
      <c r="N411">
        <v>0</v>
      </c>
      <c r="O411">
        <v>12</v>
      </c>
    </row>
    <row r="412" spans="1:15" x14ac:dyDescent="0.35">
      <c r="A412" t="s">
        <v>921</v>
      </c>
      <c r="B412" s="1">
        <v>45534</v>
      </c>
      <c r="C412" s="1">
        <v>45540</v>
      </c>
      <c r="D412" t="s">
        <v>45</v>
      </c>
      <c r="E412" t="s">
        <v>46</v>
      </c>
      <c r="F412" t="s">
        <v>231</v>
      </c>
      <c r="G412" t="s">
        <v>27</v>
      </c>
      <c r="H412" t="s">
        <v>28</v>
      </c>
      <c r="I412" t="s">
        <v>126</v>
      </c>
      <c r="J412" t="s">
        <v>57</v>
      </c>
      <c r="K412" t="s">
        <v>922</v>
      </c>
      <c r="L412">
        <v>466.16</v>
      </c>
      <c r="M412">
        <v>876.81</v>
      </c>
      <c r="N412">
        <v>0.24099999999999999</v>
      </c>
      <c r="O412">
        <v>8</v>
      </c>
    </row>
    <row r="413" spans="1:15" x14ac:dyDescent="0.35">
      <c r="A413" t="s">
        <v>923</v>
      </c>
      <c r="B413" s="1">
        <v>45430</v>
      </c>
      <c r="C413" s="1">
        <v>45433</v>
      </c>
      <c r="D413" t="s">
        <v>78</v>
      </c>
      <c r="E413" t="s">
        <v>90</v>
      </c>
      <c r="F413" t="s">
        <v>91</v>
      </c>
      <c r="G413" t="s">
        <v>39</v>
      </c>
      <c r="H413" t="s">
        <v>40</v>
      </c>
      <c r="I413" t="s">
        <v>145</v>
      </c>
      <c r="J413" t="s">
        <v>30</v>
      </c>
      <c r="K413" t="s">
        <v>924</v>
      </c>
      <c r="L413">
        <v>663.66</v>
      </c>
      <c r="M413">
        <v>824.26</v>
      </c>
      <c r="N413">
        <v>0.23899999999999999</v>
      </c>
      <c r="O413">
        <v>11</v>
      </c>
    </row>
    <row r="414" spans="1:15" x14ac:dyDescent="0.35">
      <c r="A414" t="s">
        <v>925</v>
      </c>
      <c r="B414" s="1">
        <v>45002</v>
      </c>
      <c r="C414" s="1">
        <v>45022</v>
      </c>
      <c r="D414" t="s">
        <v>78</v>
      </c>
      <c r="E414" t="s">
        <v>79</v>
      </c>
      <c r="F414" t="s">
        <v>159</v>
      </c>
      <c r="G414" t="s">
        <v>48</v>
      </c>
      <c r="H414" t="s">
        <v>20</v>
      </c>
      <c r="I414" t="s">
        <v>68</v>
      </c>
      <c r="J414" t="s">
        <v>42</v>
      </c>
      <c r="K414" t="s">
        <v>926</v>
      </c>
      <c r="L414">
        <v>692.18</v>
      </c>
      <c r="M414">
        <v>1159.3499999999999</v>
      </c>
      <c r="N414">
        <v>0.112</v>
      </c>
      <c r="O414">
        <v>2</v>
      </c>
    </row>
    <row r="415" spans="1:15" x14ac:dyDescent="0.35">
      <c r="A415" t="s">
        <v>927</v>
      </c>
      <c r="B415" s="1">
        <v>45163</v>
      </c>
      <c r="C415" s="1">
        <v>45185</v>
      </c>
      <c r="D415" t="s">
        <v>16</v>
      </c>
      <c r="E415" t="s">
        <v>25</v>
      </c>
      <c r="F415" t="s">
        <v>67</v>
      </c>
      <c r="G415" t="s">
        <v>19</v>
      </c>
      <c r="H415" t="s">
        <v>40</v>
      </c>
      <c r="I415" t="s">
        <v>49</v>
      </c>
      <c r="J415" t="s">
        <v>42</v>
      </c>
      <c r="K415" t="s">
        <v>928</v>
      </c>
      <c r="L415">
        <v>1196.83</v>
      </c>
      <c r="M415">
        <v>2513.5100000000002</v>
      </c>
      <c r="N415">
        <v>8.3000000000000004E-2</v>
      </c>
      <c r="O415">
        <v>7</v>
      </c>
    </row>
    <row r="416" spans="1:15" x14ac:dyDescent="0.35">
      <c r="A416" t="s">
        <v>929</v>
      </c>
      <c r="B416" s="1">
        <v>45449</v>
      </c>
      <c r="C416" s="1">
        <v>45467</v>
      </c>
      <c r="D416" t="s">
        <v>45</v>
      </c>
      <c r="E416" t="s">
        <v>60</v>
      </c>
      <c r="F416" t="s">
        <v>61</v>
      </c>
      <c r="G416" t="s">
        <v>62</v>
      </c>
      <c r="H416" t="s">
        <v>98</v>
      </c>
      <c r="I416" t="s">
        <v>92</v>
      </c>
      <c r="J416" t="s">
        <v>35</v>
      </c>
      <c r="K416" t="s">
        <v>930</v>
      </c>
      <c r="L416">
        <v>1253.25</v>
      </c>
      <c r="M416">
        <v>3087.13</v>
      </c>
      <c r="N416">
        <v>7.1999999999999995E-2</v>
      </c>
      <c r="O416">
        <v>11</v>
      </c>
    </row>
    <row r="417" spans="1:15" x14ac:dyDescent="0.35">
      <c r="A417" t="s">
        <v>931</v>
      </c>
      <c r="B417" s="1">
        <v>45167</v>
      </c>
      <c r="C417" s="1">
        <v>45182</v>
      </c>
      <c r="D417" t="s">
        <v>52</v>
      </c>
      <c r="E417" t="s">
        <v>53</v>
      </c>
      <c r="F417" t="s">
        <v>179</v>
      </c>
      <c r="G417" t="s">
        <v>62</v>
      </c>
      <c r="H417" t="s">
        <v>40</v>
      </c>
      <c r="I417" t="s">
        <v>68</v>
      </c>
      <c r="J417" t="s">
        <v>30</v>
      </c>
      <c r="K417" t="s">
        <v>932</v>
      </c>
      <c r="L417">
        <v>1287.6400000000001</v>
      </c>
      <c r="M417">
        <v>2717.15</v>
      </c>
      <c r="N417">
        <v>3.2000000000000001E-2</v>
      </c>
      <c r="O417">
        <v>7</v>
      </c>
    </row>
    <row r="418" spans="1:15" x14ac:dyDescent="0.35">
      <c r="A418" t="s">
        <v>933</v>
      </c>
      <c r="B418" s="1">
        <v>45626</v>
      </c>
      <c r="C418" s="1">
        <v>45636</v>
      </c>
      <c r="D418" t="s">
        <v>45</v>
      </c>
      <c r="E418" t="s">
        <v>60</v>
      </c>
      <c r="F418" t="s">
        <v>281</v>
      </c>
      <c r="G418" t="s">
        <v>62</v>
      </c>
      <c r="H418" t="s">
        <v>20</v>
      </c>
      <c r="I418" t="s">
        <v>84</v>
      </c>
      <c r="J418" t="s">
        <v>81</v>
      </c>
      <c r="K418" t="s">
        <v>934</v>
      </c>
      <c r="L418">
        <v>851.49</v>
      </c>
      <c r="M418">
        <v>901.79</v>
      </c>
      <c r="N418">
        <v>0.245</v>
      </c>
      <c r="O418">
        <v>16</v>
      </c>
    </row>
    <row r="419" spans="1:15" x14ac:dyDescent="0.35">
      <c r="A419" t="s">
        <v>935</v>
      </c>
      <c r="B419" s="1">
        <v>45813</v>
      </c>
      <c r="C419" s="1">
        <v>45822</v>
      </c>
      <c r="D419" t="s">
        <v>45</v>
      </c>
      <c r="E419" t="s">
        <v>60</v>
      </c>
      <c r="F419" t="s">
        <v>141</v>
      </c>
      <c r="G419" t="s">
        <v>39</v>
      </c>
      <c r="H419" t="s">
        <v>20</v>
      </c>
      <c r="I419" t="s">
        <v>75</v>
      </c>
      <c r="J419" t="s">
        <v>81</v>
      </c>
      <c r="K419" t="s">
        <v>936</v>
      </c>
      <c r="L419">
        <v>618.69000000000005</v>
      </c>
      <c r="M419">
        <v>796.15</v>
      </c>
      <c r="N419">
        <v>0.09</v>
      </c>
      <c r="O419">
        <v>11</v>
      </c>
    </row>
    <row r="420" spans="1:15" x14ac:dyDescent="0.35">
      <c r="A420" t="s">
        <v>937</v>
      </c>
      <c r="B420" s="1">
        <v>45730</v>
      </c>
      <c r="C420" s="1">
        <v>45755</v>
      </c>
      <c r="D420" t="s">
        <v>45</v>
      </c>
      <c r="E420" t="s">
        <v>116</v>
      </c>
      <c r="G420" t="s">
        <v>19</v>
      </c>
      <c r="H420" t="s">
        <v>55</v>
      </c>
      <c r="I420" t="s">
        <v>145</v>
      </c>
      <c r="J420" t="s">
        <v>30</v>
      </c>
      <c r="K420" t="s">
        <v>938</v>
      </c>
      <c r="L420">
        <v>80.59</v>
      </c>
      <c r="M420">
        <v>157.82</v>
      </c>
      <c r="N420">
        <v>0.217</v>
      </c>
      <c r="O420">
        <v>6</v>
      </c>
    </row>
    <row r="421" spans="1:15" x14ac:dyDescent="0.35">
      <c r="A421" t="s">
        <v>939</v>
      </c>
      <c r="B421" s="1">
        <v>45307</v>
      </c>
      <c r="C421" s="1">
        <v>45333</v>
      </c>
      <c r="D421" t="s">
        <v>78</v>
      </c>
      <c r="E421" t="s">
        <v>79</v>
      </c>
      <c r="F421" t="s">
        <v>335</v>
      </c>
      <c r="G421" t="s">
        <v>39</v>
      </c>
      <c r="H421" t="s">
        <v>55</v>
      </c>
      <c r="I421" t="s">
        <v>63</v>
      </c>
      <c r="J421" t="s">
        <v>64</v>
      </c>
      <c r="K421" t="s">
        <v>940</v>
      </c>
      <c r="L421">
        <v>504.93</v>
      </c>
      <c r="M421">
        <v>819.06</v>
      </c>
      <c r="N421">
        <v>0.22600000000000001</v>
      </c>
      <c r="O421">
        <v>15</v>
      </c>
    </row>
    <row r="422" spans="1:15" x14ac:dyDescent="0.35">
      <c r="A422" t="s">
        <v>941</v>
      </c>
      <c r="B422" s="1">
        <v>45211</v>
      </c>
      <c r="C422" s="1">
        <v>45228</v>
      </c>
      <c r="D422" t="s">
        <v>45</v>
      </c>
      <c r="E422" t="s">
        <v>46</v>
      </c>
      <c r="F422" t="s">
        <v>231</v>
      </c>
      <c r="G422" t="s">
        <v>39</v>
      </c>
      <c r="H422" t="s">
        <v>98</v>
      </c>
      <c r="I422" t="s">
        <v>92</v>
      </c>
      <c r="J422" t="s">
        <v>42</v>
      </c>
      <c r="K422" t="s">
        <v>942</v>
      </c>
      <c r="L422">
        <v>1102.19</v>
      </c>
      <c r="M422">
        <v>1711.16</v>
      </c>
      <c r="N422">
        <v>0.151</v>
      </c>
      <c r="O422">
        <v>10</v>
      </c>
    </row>
    <row r="423" spans="1:15" x14ac:dyDescent="0.35">
      <c r="A423" t="s">
        <v>943</v>
      </c>
      <c r="B423" s="1">
        <v>45713</v>
      </c>
      <c r="C423" s="1">
        <v>45733</v>
      </c>
      <c r="D423" t="s">
        <v>52</v>
      </c>
      <c r="E423" t="s">
        <v>122</v>
      </c>
      <c r="F423" t="s">
        <v>167</v>
      </c>
      <c r="G423" t="s">
        <v>39</v>
      </c>
      <c r="H423" t="s">
        <v>40</v>
      </c>
      <c r="I423" t="s">
        <v>92</v>
      </c>
      <c r="J423" t="s">
        <v>42</v>
      </c>
      <c r="K423" t="s">
        <v>944</v>
      </c>
      <c r="L423">
        <v>1205.26</v>
      </c>
      <c r="M423">
        <v>1696.35</v>
      </c>
      <c r="N423">
        <v>1.9E-2</v>
      </c>
      <c r="O423">
        <v>6</v>
      </c>
    </row>
    <row r="424" spans="1:15" x14ac:dyDescent="0.35">
      <c r="A424" t="s">
        <v>945</v>
      </c>
      <c r="B424" s="1">
        <v>45841</v>
      </c>
      <c r="C424" s="1">
        <v>45844</v>
      </c>
      <c r="D424" t="s">
        <v>16</v>
      </c>
      <c r="E424" t="s">
        <v>25</v>
      </c>
      <c r="F424" t="s">
        <v>38</v>
      </c>
      <c r="G424" t="s">
        <v>48</v>
      </c>
      <c r="H424" t="s">
        <v>28</v>
      </c>
      <c r="J424" t="s">
        <v>57</v>
      </c>
      <c r="K424" t="s">
        <v>946</v>
      </c>
      <c r="L424">
        <v>1313.3</v>
      </c>
      <c r="M424">
        <v>2884.34</v>
      </c>
      <c r="N424">
        <v>0.157</v>
      </c>
      <c r="O424">
        <v>42</v>
      </c>
    </row>
    <row r="425" spans="1:15" x14ac:dyDescent="0.35">
      <c r="A425" t="s">
        <v>947</v>
      </c>
      <c r="B425" s="1">
        <v>45915</v>
      </c>
      <c r="C425" s="1">
        <v>45925</v>
      </c>
      <c r="D425" t="s">
        <v>45</v>
      </c>
      <c r="E425" t="s">
        <v>60</v>
      </c>
      <c r="F425" t="s">
        <v>141</v>
      </c>
      <c r="G425" t="s">
        <v>48</v>
      </c>
      <c r="H425" t="s">
        <v>20</v>
      </c>
      <c r="I425" t="s">
        <v>75</v>
      </c>
      <c r="J425" t="s">
        <v>42</v>
      </c>
      <c r="K425" t="s">
        <v>948</v>
      </c>
      <c r="L425">
        <v>1488.91</v>
      </c>
      <c r="M425">
        <v>1483.74</v>
      </c>
      <c r="N425">
        <v>0.16800000000000001</v>
      </c>
      <c r="O425">
        <v>24</v>
      </c>
    </row>
    <row r="426" spans="1:15" x14ac:dyDescent="0.35">
      <c r="A426" t="s">
        <v>949</v>
      </c>
      <c r="B426" s="1">
        <v>45341</v>
      </c>
      <c r="C426" s="1">
        <v>45357</v>
      </c>
      <c r="D426" t="s">
        <v>45</v>
      </c>
      <c r="E426" t="s">
        <v>116</v>
      </c>
      <c r="F426" t="s">
        <v>338</v>
      </c>
      <c r="G426" t="s">
        <v>27</v>
      </c>
      <c r="H426" t="s">
        <v>40</v>
      </c>
      <c r="I426" t="s">
        <v>68</v>
      </c>
      <c r="J426" t="s">
        <v>30</v>
      </c>
      <c r="K426" t="s">
        <v>950</v>
      </c>
      <c r="L426">
        <v>1477.84</v>
      </c>
      <c r="M426">
        <v>3197.47</v>
      </c>
      <c r="N426">
        <v>0.24299999999999999</v>
      </c>
      <c r="O426">
        <v>24</v>
      </c>
    </row>
    <row r="427" spans="1:15" x14ac:dyDescent="0.35">
      <c r="A427" t="s">
        <v>951</v>
      </c>
      <c r="B427" s="1">
        <v>45349</v>
      </c>
      <c r="C427" s="1">
        <v>45377</v>
      </c>
      <c r="D427" t="s">
        <v>45</v>
      </c>
      <c r="E427" t="s">
        <v>60</v>
      </c>
      <c r="F427" t="s">
        <v>220</v>
      </c>
      <c r="G427" t="s">
        <v>27</v>
      </c>
      <c r="H427" t="s">
        <v>40</v>
      </c>
      <c r="I427" t="s">
        <v>41</v>
      </c>
      <c r="J427" t="s">
        <v>57</v>
      </c>
      <c r="K427" t="s">
        <v>952</v>
      </c>
      <c r="L427">
        <v>1035.19</v>
      </c>
      <c r="M427">
        <v>2322.6999999999998</v>
      </c>
      <c r="N427">
        <v>0.17299999999999999</v>
      </c>
      <c r="O427">
        <v>8</v>
      </c>
    </row>
    <row r="428" spans="1:15" x14ac:dyDescent="0.35">
      <c r="A428" t="s">
        <v>953</v>
      </c>
      <c r="B428" s="1">
        <v>45897</v>
      </c>
      <c r="C428" s="1">
        <v>45905</v>
      </c>
      <c r="D428" t="s">
        <v>16</v>
      </c>
      <c r="E428" t="s">
        <v>25</v>
      </c>
      <c r="F428" t="s">
        <v>26</v>
      </c>
      <c r="G428" t="s">
        <v>62</v>
      </c>
      <c r="H428" t="s">
        <v>40</v>
      </c>
      <c r="I428" t="s">
        <v>63</v>
      </c>
      <c r="J428" t="s">
        <v>57</v>
      </c>
      <c r="K428" t="s">
        <v>954</v>
      </c>
      <c r="L428">
        <v>1271.0999999999999</v>
      </c>
      <c r="M428">
        <v>1932.42</v>
      </c>
      <c r="N428">
        <v>0.25</v>
      </c>
      <c r="O428">
        <v>21</v>
      </c>
    </row>
    <row r="429" spans="1:15" x14ac:dyDescent="0.35">
      <c r="A429" t="s">
        <v>955</v>
      </c>
      <c r="B429" s="1">
        <v>45522</v>
      </c>
      <c r="C429" s="1">
        <v>45547</v>
      </c>
      <c r="D429" t="s">
        <v>45</v>
      </c>
      <c r="E429" t="s">
        <v>60</v>
      </c>
      <c r="F429" t="s">
        <v>220</v>
      </c>
      <c r="G429" t="s">
        <v>48</v>
      </c>
      <c r="H429" t="s">
        <v>40</v>
      </c>
      <c r="I429" t="s">
        <v>21</v>
      </c>
      <c r="J429" t="s">
        <v>42</v>
      </c>
      <c r="K429" t="s">
        <v>956</v>
      </c>
      <c r="L429">
        <v>1154.03</v>
      </c>
      <c r="M429">
        <v>1590.36</v>
      </c>
      <c r="N429">
        <v>0.314</v>
      </c>
      <c r="O429">
        <v>18</v>
      </c>
    </row>
    <row r="430" spans="1:15" x14ac:dyDescent="0.35">
      <c r="A430" t="s">
        <v>957</v>
      </c>
      <c r="B430" s="1">
        <v>45347</v>
      </c>
      <c r="C430" s="1">
        <v>45360</v>
      </c>
      <c r="D430" t="s">
        <v>78</v>
      </c>
      <c r="E430" t="s">
        <v>90</v>
      </c>
      <c r="F430" t="s">
        <v>91</v>
      </c>
      <c r="G430" t="s">
        <v>62</v>
      </c>
      <c r="H430" t="s">
        <v>55</v>
      </c>
      <c r="I430" t="s">
        <v>63</v>
      </c>
      <c r="J430" t="s">
        <v>64</v>
      </c>
      <c r="K430" t="s">
        <v>958</v>
      </c>
      <c r="L430">
        <v>322.44</v>
      </c>
      <c r="M430">
        <v>395.61</v>
      </c>
      <c r="N430">
        <v>0</v>
      </c>
      <c r="O430">
        <v>34</v>
      </c>
    </row>
    <row r="431" spans="1:15" x14ac:dyDescent="0.35">
      <c r="A431" t="s">
        <v>959</v>
      </c>
      <c r="B431" s="1">
        <v>45784</v>
      </c>
      <c r="C431" s="1">
        <v>45790</v>
      </c>
      <c r="D431" t="s">
        <v>45</v>
      </c>
      <c r="E431" t="s">
        <v>60</v>
      </c>
      <c r="F431" t="s">
        <v>61</v>
      </c>
      <c r="G431" t="s">
        <v>105</v>
      </c>
      <c r="H431" t="s">
        <v>98</v>
      </c>
      <c r="I431" t="s">
        <v>29</v>
      </c>
      <c r="J431" t="s">
        <v>42</v>
      </c>
      <c r="K431" t="s">
        <v>960</v>
      </c>
      <c r="L431">
        <v>935.98</v>
      </c>
      <c r="M431">
        <v>2077.69</v>
      </c>
      <c r="N431">
        <v>0.17499999999999999</v>
      </c>
      <c r="O431">
        <v>24</v>
      </c>
    </row>
    <row r="432" spans="1:15" x14ac:dyDescent="0.35">
      <c r="A432" t="s">
        <v>961</v>
      </c>
      <c r="B432" s="1">
        <v>45597</v>
      </c>
      <c r="C432" s="1">
        <v>45608</v>
      </c>
      <c r="D432" t="s">
        <v>78</v>
      </c>
      <c r="E432" t="s">
        <v>79</v>
      </c>
      <c r="F432" t="s">
        <v>335</v>
      </c>
      <c r="G432" t="s">
        <v>48</v>
      </c>
      <c r="H432" t="s">
        <v>28</v>
      </c>
      <c r="I432" t="s">
        <v>56</v>
      </c>
      <c r="J432" t="s">
        <v>30</v>
      </c>
      <c r="K432" t="s">
        <v>962</v>
      </c>
      <c r="L432">
        <v>599.84</v>
      </c>
      <c r="M432">
        <v>1330.85</v>
      </c>
      <c r="N432">
        <v>0.115</v>
      </c>
      <c r="O432">
        <v>11</v>
      </c>
    </row>
    <row r="433" spans="1:15" x14ac:dyDescent="0.35">
      <c r="A433" t="s">
        <v>963</v>
      </c>
      <c r="B433" s="1">
        <v>45654</v>
      </c>
      <c r="C433" s="1">
        <v>45665</v>
      </c>
      <c r="D433" t="s">
        <v>45</v>
      </c>
      <c r="E433" t="s">
        <v>116</v>
      </c>
      <c r="F433" t="s">
        <v>117</v>
      </c>
      <c r="G433" t="s">
        <v>105</v>
      </c>
      <c r="H433" t="s">
        <v>28</v>
      </c>
      <c r="I433" t="s">
        <v>95</v>
      </c>
      <c r="J433" t="s">
        <v>57</v>
      </c>
      <c r="K433" t="s">
        <v>964</v>
      </c>
      <c r="L433">
        <v>1201.31</v>
      </c>
      <c r="M433">
        <v>2764.65</v>
      </c>
      <c r="N433">
        <v>0</v>
      </c>
      <c r="O433">
        <v>21</v>
      </c>
    </row>
    <row r="434" spans="1:15" x14ac:dyDescent="0.35">
      <c r="A434" t="s">
        <v>965</v>
      </c>
      <c r="B434" s="1">
        <v>45220</v>
      </c>
      <c r="C434" s="1">
        <v>45220</v>
      </c>
      <c r="D434" t="s">
        <v>78</v>
      </c>
      <c r="E434" t="s">
        <v>108</v>
      </c>
      <c r="F434" t="s">
        <v>228</v>
      </c>
      <c r="G434" t="s">
        <v>105</v>
      </c>
      <c r="H434" t="s">
        <v>55</v>
      </c>
      <c r="I434" t="s">
        <v>29</v>
      </c>
      <c r="J434" t="s">
        <v>64</v>
      </c>
      <c r="K434" t="s">
        <v>966</v>
      </c>
      <c r="L434">
        <v>384.19</v>
      </c>
      <c r="M434">
        <v>278.35000000000002</v>
      </c>
      <c r="N434">
        <v>5.6000000000000001E-2</v>
      </c>
      <c r="O434">
        <v>10</v>
      </c>
    </row>
    <row r="435" spans="1:15" x14ac:dyDescent="0.35">
      <c r="A435" t="s">
        <v>967</v>
      </c>
      <c r="B435" s="1">
        <v>45636</v>
      </c>
      <c r="C435" s="1">
        <v>45645</v>
      </c>
      <c r="D435" t="s">
        <v>16</v>
      </c>
      <c r="E435" t="s">
        <v>25</v>
      </c>
      <c r="F435" t="s">
        <v>38</v>
      </c>
      <c r="G435" t="s">
        <v>19</v>
      </c>
      <c r="H435" t="s">
        <v>20</v>
      </c>
      <c r="I435" t="s">
        <v>68</v>
      </c>
      <c r="J435" t="s">
        <v>64</v>
      </c>
      <c r="K435" t="s">
        <v>968</v>
      </c>
      <c r="L435">
        <v>488.68</v>
      </c>
      <c r="M435">
        <v>984.36</v>
      </c>
      <c r="N435">
        <v>5.8999999999999997E-2</v>
      </c>
      <c r="O435">
        <v>14</v>
      </c>
    </row>
    <row r="436" spans="1:15" x14ac:dyDescent="0.35">
      <c r="A436" t="s">
        <v>969</v>
      </c>
      <c r="B436" s="1">
        <v>45542</v>
      </c>
      <c r="C436" s="1">
        <v>45553</v>
      </c>
      <c r="D436" t="s">
        <v>45</v>
      </c>
      <c r="E436" t="s">
        <v>116</v>
      </c>
      <c r="F436" t="s">
        <v>338</v>
      </c>
      <c r="G436" t="s">
        <v>48</v>
      </c>
      <c r="H436" t="s">
        <v>55</v>
      </c>
      <c r="I436" t="s">
        <v>68</v>
      </c>
      <c r="J436" t="s">
        <v>35</v>
      </c>
      <c r="K436" t="s">
        <v>970</v>
      </c>
      <c r="L436">
        <v>181.74</v>
      </c>
      <c r="M436">
        <v>190.84</v>
      </c>
      <c r="N436">
        <v>0.214</v>
      </c>
      <c r="O436">
        <v>13</v>
      </c>
    </row>
    <row r="437" spans="1:15" x14ac:dyDescent="0.35">
      <c r="A437" t="s">
        <v>971</v>
      </c>
      <c r="B437" s="1">
        <v>45217</v>
      </c>
      <c r="C437" s="1">
        <v>45219</v>
      </c>
      <c r="D437" t="s">
        <v>16</v>
      </c>
      <c r="E437" t="s">
        <v>17</v>
      </c>
      <c r="F437" t="s">
        <v>18</v>
      </c>
      <c r="G437" t="s">
        <v>48</v>
      </c>
      <c r="H437" t="s">
        <v>20</v>
      </c>
      <c r="I437" t="s">
        <v>29</v>
      </c>
      <c r="J437" t="s">
        <v>42</v>
      </c>
      <c r="K437" t="s">
        <v>972</v>
      </c>
      <c r="L437">
        <v>774.12</v>
      </c>
      <c r="M437">
        <v>908.3</v>
      </c>
      <c r="N437">
        <v>0</v>
      </c>
      <c r="O437">
        <v>30</v>
      </c>
    </row>
    <row r="438" spans="1:15" x14ac:dyDescent="0.35">
      <c r="A438" t="s">
        <v>973</v>
      </c>
      <c r="B438" s="1">
        <v>45650</v>
      </c>
      <c r="C438" s="1">
        <v>45670</v>
      </c>
      <c r="D438" t="s">
        <v>45</v>
      </c>
      <c r="E438" t="s">
        <v>60</v>
      </c>
      <c r="F438" t="s">
        <v>61</v>
      </c>
      <c r="G438" t="s">
        <v>19</v>
      </c>
      <c r="H438" t="s">
        <v>40</v>
      </c>
      <c r="I438" t="s">
        <v>145</v>
      </c>
      <c r="J438" t="s">
        <v>35</v>
      </c>
      <c r="K438" t="s">
        <v>974</v>
      </c>
      <c r="L438">
        <v>126.15</v>
      </c>
      <c r="M438">
        <v>284.23</v>
      </c>
      <c r="N438">
        <v>0.113</v>
      </c>
      <c r="O438">
        <v>22</v>
      </c>
    </row>
    <row r="439" spans="1:15" x14ac:dyDescent="0.35">
      <c r="A439" t="s">
        <v>975</v>
      </c>
      <c r="B439" s="1">
        <v>45037</v>
      </c>
      <c r="C439" s="1">
        <v>45035</v>
      </c>
      <c r="D439" t="s">
        <v>45</v>
      </c>
      <c r="E439" t="s">
        <v>46</v>
      </c>
      <c r="F439" t="s">
        <v>231</v>
      </c>
      <c r="G439" t="s">
        <v>62</v>
      </c>
      <c r="H439" t="s">
        <v>98</v>
      </c>
      <c r="I439" t="s">
        <v>110</v>
      </c>
      <c r="J439" t="s">
        <v>22</v>
      </c>
      <c r="K439" t="s">
        <v>976</v>
      </c>
      <c r="L439">
        <v>607.04</v>
      </c>
      <c r="M439">
        <v>1229.3399999999999</v>
      </c>
      <c r="N439">
        <v>0.14699999999999999</v>
      </c>
      <c r="O439">
        <v>7</v>
      </c>
    </row>
    <row r="440" spans="1:15" x14ac:dyDescent="0.35">
      <c r="A440" t="s">
        <v>977</v>
      </c>
      <c r="B440" s="1">
        <v>45290</v>
      </c>
      <c r="C440" s="1">
        <v>45299</v>
      </c>
      <c r="D440" t="s">
        <v>78</v>
      </c>
      <c r="E440" t="s">
        <v>90</v>
      </c>
      <c r="F440" t="s">
        <v>91</v>
      </c>
      <c r="G440" t="s">
        <v>48</v>
      </c>
      <c r="H440" t="s">
        <v>40</v>
      </c>
      <c r="I440" t="s">
        <v>49</v>
      </c>
      <c r="J440" t="s">
        <v>81</v>
      </c>
      <c r="K440" t="s">
        <v>978</v>
      </c>
      <c r="L440">
        <v>861.1</v>
      </c>
      <c r="M440">
        <v>1224.72</v>
      </c>
      <c r="N440">
        <v>0.17399999999999999</v>
      </c>
      <c r="O440">
        <v>24</v>
      </c>
    </row>
    <row r="441" spans="1:15" x14ac:dyDescent="0.35">
      <c r="A441" t="s">
        <v>979</v>
      </c>
      <c r="B441" s="1">
        <v>44978</v>
      </c>
      <c r="C441" s="1">
        <v>44997</v>
      </c>
      <c r="D441" t="s">
        <v>16</v>
      </c>
      <c r="E441" t="s">
        <v>17</v>
      </c>
      <c r="F441" t="s">
        <v>135</v>
      </c>
      <c r="G441" t="s">
        <v>19</v>
      </c>
      <c r="H441" t="s">
        <v>28</v>
      </c>
      <c r="I441" t="s">
        <v>84</v>
      </c>
      <c r="J441" t="s">
        <v>35</v>
      </c>
      <c r="K441" t="s">
        <v>980</v>
      </c>
      <c r="L441">
        <v>352.65</v>
      </c>
      <c r="M441">
        <v>485.86</v>
      </c>
      <c r="N441">
        <v>4.1000000000000002E-2</v>
      </c>
      <c r="O441">
        <v>6</v>
      </c>
    </row>
    <row r="442" spans="1:15" x14ac:dyDescent="0.35">
      <c r="A442" t="s">
        <v>981</v>
      </c>
      <c r="B442" s="1">
        <v>45063</v>
      </c>
      <c r="C442" s="1">
        <v>45080</v>
      </c>
      <c r="D442" t="s">
        <v>45</v>
      </c>
      <c r="E442" t="s">
        <v>116</v>
      </c>
      <c r="F442" t="s">
        <v>338</v>
      </c>
      <c r="G442" t="s">
        <v>39</v>
      </c>
      <c r="H442" t="s">
        <v>55</v>
      </c>
      <c r="I442" t="s">
        <v>110</v>
      </c>
      <c r="J442" t="s">
        <v>30</v>
      </c>
      <c r="K442" t="s">
        <v>982</v>
      </c>
      <c r="L442">
        <v>979.59</v>
      </c>
      <c r="M442">
        <v>2210.94</v>
      </c>
      <c r="N442">
        <v>0.15</v>
      </c>
      <c r="O442">
        <v>11</v>
      </c>
    </row>
    <row r="443" spans="1:15" x14ac:dyDescent="0.35">
      <c r="A443" t="s">
        <v>983</v>
      </c>
      <c r="B443" s="1">
        <v>45374</v>
      </c>
      <c r="C443" s="1">
        <v>45377</v>
      </c>
      <c r="D443" t="s">
        <v>45</v>
      </c>
      <c r="E443" t="s">
        <v>60</v>
      </c>
      <c r="F443" t="s">
        <v>61</v>
      </c>
      <c r="G443" t="s">
        <v>27</v>
      </c>
      <c r="H443" t="s">
        <v>98</v>
      </c>
      <c r="I443" t="s">
        <v>41</v>
      </c>
      <c r="J443" t="s">
        <v>42</v>
      </c>
      <c r="K443" t="s">
        <v>984</v>
      </c>
      <c r="L443">
        <v>382.21</v>
      </c>
      <c r="M443">
        <v>571.89</v>
      </c>
      <c r="N443">
        <v>0.14799999999999999</v>
      </c>
      <c r="O443">
        <v>26</v>
      </c>
    </row>
    <row r="444" spans="1:15" x14ac:dyDescent="0.35">
      <c r="A444" t="s">
        <v>985</v>
      </c>
      <c r="B444" s="1">
        <v>45189</v>
      </c>
      <c r="C444" s="1">
        <v>45197</v>
      </c>
      <c r="D444" t="s">
        <v>45</v>
      </c>
      <c r="E444" t="s">
        <v>60</v>
      </c>
      <c r="G444" t="s">
        <v>19</v>
      </c>
      <c r="I444" t="s">
        <v>56</v>
      </c>
      <c r="J444" t="s">
        <v>81</v>
      </c>
      <c r="K444" t="s">
        <v>986</v>
      </c>
      <c r="L444">
        <v>1362.06</v>
      </c>
      <c r="M444">
        <v>3398.37</v>
      </c>
      <c r="N444">
        <v>0.157</v>
      </c>
      <c r="O444">
        <v>11</v>
      </c>
    </row>
    <row r="445" spans="1:15" x14ac:dyDescent="0.35">
      <c r="A445" t="s">
        <v>987</v>
      </c>
      <c r="B445" s="1">
        <v>45526</v>
      </c>
      <c r="C445" s="1">
        <v>45539</v>
      </c>
      <c r="D445" t="s">
        <v>78</v>
      </c>
      <c r="E445" t="s">
        <v>79</v>
      </c>
      <c r="F445" t="s">
        <v>335</v>
      </c>
      <c r="G445" t="s">
        <v>39</v>
      </c>
      <c r="H445" t="s">
        <v>20</v>
      </c>
      <c r="I445" t="s">
        <v>49</v>
      </c>
      <c r="J445" t="s">
        <v>30</v>
      </c>
      <c r="K445" t="s">
        <v>988</v>
      </c>
      <c r="L445">
        <v>90.04</v>
      </c>
      <c r="M445">
        <v>194.62</v>
      </c>
      <c r="N445">
        <v>4.2999999999999997E-2</v>
      </c>
      <c r="O445">
        <v>32</v>
      </c>
    </row>
    <row r="446" spans="1:15" x14ac:dyDescent="0.35">
      <c r="A446" t="s">
        <v>989</v>
      </c>
      <c r="B446" s="1">
        <v>45560</v>
      </c>
      <c r="C446" s="1">
        <v>45568</v>
      </c>
      <c r="D446" t="s">
        <v>52</v>
      </c>
      <c r="E446" t="s">
        <v>53</v>
      </c>
      <c r="F446" t="s">
        <v>54</v>
      </c>
      <c r="G446" t="s">
        <v>48</v>
      </c>
      <c r="H446" t="s">
        <v>28</v>
      </c>
      <c r="I446" t="s">
        <v>63</v>
      </c>
      <c r="J446" t="s">
        <v>30</v>
      </c>
      <c r="K446" t="s">
        <v>990</v>
      </c>
      <c r="L446">
        <v>558.19000000000005</v>
      </c>
      <c r="M446">
        <v>1031.6400000000001</v>
      </c>
      <c r="N446">
        <v>0</v>
      </c>
      <c r="O446">
        <v>21</v>
      </c>
    </row>
    <row r="447" spans="1:15" x14ac:dyDescent="0.35">
      <c r="A447" t="s">
        <v>991</v>
      </c>
      <c r="B447" s="1">
        <v>45090</v>
      </c>
      <c r="C447" s="1">
        <v>45101</v>
      </c>
      <c r="D447" t="s">
        <v>52</v>
      </c>
      <c r="E447" t="s">
        <v>53</v>
      </c>
      <c r="F447" t="s">
        <v>54</v>
      </c>
      <c r="G447" t="s">
        <v>19</v>
      </c>
      <c r="H447" t="s">
        <v>28</v>
      </c>
      <c r="I447" t="s">
        <v>21</v>
      </c>
      <c r="J447" t="s">
        <v>30</v>
      </c>
      <c r="K447" t="s">
        <v>992</v>
      </c>
      <c r="L447">
        <v>247.07</v>
      </c>
      <c r="M447">
        <v>495.19</v>
      </c>
      <c r="N447">
        <v>2.8000000000000001E-2</v>
      </c>
      <c r="O447">
        <v>4</v>
      </c>
    </row>
    <row r="448" spans="1:15" x14ac:dyDescent="0.35">
      <c r="A448" t="s">
        <v>993</v>
      </c>
      <c r="B448" s="1">
        <v>45284</v>
      </c>
      <c r="C448" s="1">
        <v>45304</v>
      </c>
      <c r="D448" t="s">
        <v>45</v>
      </c>
      <c r="E448" t="s">
        <v>46</v>
      </c>
      <c r="F448" t="s">
        <v>231</v>
      </c>
      <c r="G448" t="s">
        <v>27</v>
      </c>
      <c r="H448" t="s">
        <v>98</v>
      </c>
      <c r="I448" t="s">
        <v>56</v>
      </c>
      <c r="J448" t="s">
        <v>57</v>
      </c>
      <c r="K448" t="s">
        <v>994</v>
      </c>
      <c r="L448">
        <v>625.37</v>
      </c>
      <c r="M448">
        <v>1319.04</v>
      </c>
      <c r="N448">
        <v>7.3999999999999996E-2</v>
      </c>
      <c r="O448">
        <v>8</v>
      </c>
    </row>
    <row r="449" spans="1:15" x14ac:dyDescent="0.35">
      <c r="A449" t="s">
        <v>995</v>
      </c>
      <c r="B449" s="1">
        <v>45746</v>
      </c>
      <c r="C449" s="1">
        <v>45776</v>
      </c>
      <c r="D449" t="s">
        <v>16</v>
      </c>
      <c r="E449" t="s">
        <v>148</v>
      </c>
      <c r="F449" t="s">
        <v>172</v>
      </c>
      <c r="G449" t="s">
        <v>48</v>
      </c>
      <c r="H449" t="s">
        <v>40</v>
      </c>
      <c r="I449" t="s">
        <v>29</v>
      </c>
      <c r="J449" t="s">
        <v>64</v>
      </c>
      <c r="K449" t="s">
        <v>996</v>
      </c>
      <c r="L449">
        <v>194.6</v>
      </c>
      <c r="M449">
        <v>314.87</v>
      </c>
      <c r="N449">
        <v>0.29299999999999998</v>
      </c>
      <c r="O449">
        <v>25</v>
      </c>
    </row>
    <row r="450" spans="1:15" x14ac:dyDescent="0.35">
      <c r="A450" t="s">
        <v>997</v>
      </c>
      <c r="B450" s="1">
        <v>45446</v>
      </c>
      <c r="C450" s="1">
        <v>45467</v>
      </c>
      <c r="D450" t="s">
        <v>52</v>
      </c>
      <c r="E450" t="s">
        <v>53</v>
      </c>
      <c r="F450" t="s">
        <v>54</v>
      </c>
      <c r="G450" t="s">
        <v>62</v>
      </c>
      <c r="H450" t="s">
        <v>98</v>
      </c>
      <c r="I450" t="s">
        <v>41</v>
      </c>
      <c r="J450" t="s">
        <v>64</v>
      </c>
      <c r="K450" t="s">
        <v>998</v>
      </c>
      <c r="L450">
        <v>1205.5</v>
      </c>
      <c r="M450">
        <v>2210.17</v>
      </c>
      <c r="N450">
        <v>0.104</v>
      </c>
      <c r="O450">
        <v>23</v>
      </c>
    </row>
    <row r="451" spans="1:15" x14ac:dyDescent="0.35">
      <c r="A451" t="s">
        <v>999</v>
      </c>
      <c r="B451" s="1">
        <v>45454</v>
      </c>
      <c r="C451" s="1">
        <v>45482</v>
      </c>
      <c r="D451" t="s">
        <v>16</v>
      </c>
      <c r="E451" t="s">
        <v>25</v>
      </c>
      <c r="F451" t="s">
        <v>26</v>
      </c>
      <c r="G451" t="s">
        <v>19</v>
      </c>
      <c r="H451" t="s">
        <v>40</v>
      </c>
      <c r="I451" t="s">
        <v>34</v>
      </c>
      <c r="J451" t="s">
        <v>42</v>
      </c>
      <c r="K451" t="s">
        <v>1000</v>
      </c>
      <c r="L451">
        <v>895.54</v>
      </c>
      <c r="M451">
        <v>1045</v>
      </c>
      <c r="N451">
        <v>0.216</v>
      </c>
      <c r="O451">
        <v>15</v>
      </c>
    </row>
    <row r="452" spans="1:15" x14ac:dyDescent="0.35">
      <c r="A452" t="s">
        <v>1001</v>
      </c>
      <c r="B452" s="1">
        <v>45129</v>
      </c>
      <c r="C452" s="1">
        <v>45128</v>
      </c>
      <c r="D452" t="s">
        <v>45</v>
      </c>
      <c r="E452" t="s">
        <v>60</v>
      </c>
      <c r="F452" t="s">
        <v>141</v>
      </c>
      <c r="G452" t="s">
        <v>62</v>
      </c>
      <c r="H452" t="s">
        <v>55</v>
      </c>
      <c r="I452" t="s">
        <v>63</v>
      </c>
      <c r="J452" t="s">
        <v>30</v>
      </c>
      <c r="K452" t="s">
        <v>1002</v>
      </c>
      <c r="L452">
        <v>946.99</v>
      </c>
      <c r="M452">
        <v>2132.19</v>
      </c>
      <c r="N452">
        <v>0.16500000000000001</v>
      </c>
      <c r="O452">
        <v>7</v>
      </c>
    </row>
    <row r="453" spans="1:15" x14ac:dyDescent="0.35">
      <c r="A453" t="s">
        <v>1003</v>
      </c>
      <c r="B453" s="1">
        <v>44945</v>
      </c>
      <c r="C453" s="1">
        <v>44960</v>
      </c>
      <c r="D453" t="s">
        <v>78</v>
      </c>
      <c r="E453" t="s">
        <v>108</v>
      </c>
      <c r="F453" t="s">
        <v>152</v>
      </c>
      <c r="G453" t="s">
        <v>105</v>
      </c>
      <c r="H453" t="s">
        <v>55</v>
      </c>
      <c r="I453" t="s">
        <v>41</v>
      </c>
      <c r="J453" t="s">
        <v>81</v>
      </c>
      <c r="K453" t="s">
        <v>1004</v>
      </c>
      <c r="L453">
        <v>873.06</v>
      </c>
      <c r="M453">
        <v>2101.5500000000002</v>
      </c>
      <c r="N453">
        <v>6.6000000000000003E-2</v>
      </c>
      <c r="O453">
        <v>10</v>
      </c>
    </row>
    <row r="454" spans="1:15" x14ac:dyDescent="0.35">
      <c r="A454" t="s">
        <v>1005</v>
      </c>
      <c r="B454" s="1">
        <v>45413</v>
      </c>
      <c r="C454" s="1">
        <v>45428</v>
      </c>
      <c r="D454" t="s">
        <v>45</v>
      </c>
      <c r="E454" t="s">
        <v>60</v>
      </c>
      <c r="F454" t="s">
        <v>61</v>
      </c>
      <c r="G454" t="s">
        <v>62</v>
      </c>
      <c r="H454" t="s">
        <v>20</v>
      </c>
      <c r="I454" t="s">
        <v>49</v>
      </c>
      <c r="J454" t="s">
        <v>22</v>
      </c>
      <c r="K454" t="s">
        <v>1006</v>
      </c>
      <c r="L454">
        <v>901.19</v>
      </c>
      <c r="M454">
        <v>2125.44</v>
      </c>
      <c r="N454">
        <v>7.0999999999999994E-2</v>
      </c>
      <c r="O454">
        <v>12</v>
      </c>
    </row>
    <row r="455" spans="1:15" x14ac:dyDescent="0.35">
      <c r="A455" t="s">
        <v>1007</v>
      </c>
      <c r="B455" s="1">
        <v>45817</v>
      </c>
      <c r="C455" s="1">
        <v>45832</v>
      </c>
      <c r="D455" t="s">
        <v>45</v>
      </c>
      <c r="E455" t="s">
        <v>46</v>
      </c>
      <c r="F455" t="s">
        <v>231</v>
      </c>
      <c r="G455" t="s">
        <v>19</v>
      </c>
      <c r="H455" t="s">
        <v>98</v>
      </c>
      <c r="I455" t="s">
        <v>56</v>
      </c>
      <c r="J455" t="s">
        <v>42</v>
      </c>
      <c r="K455" t="s">
        <v>1008</v>
      </c>
      <c r="L455">
        <v>400.39</v>
      </c>
      <c r="M455">
        <v>712.75</v>
      </c>
      <c r="N455">
        <v>0.115</v>
      </c>
      <c r="O455">
        <v>19</v>
      </c>
    </row>
    <row r="456" spans="1:15" x14ac:dyDescent="0.35">
      <c r="A456" t="s">
        <v>1009</v>
      </c>
      <c r="B456" s="1">
        <v>45070</v>
      </c>
      <c r="C456" s="1">
        <v>45098</v>
      </c>
      <c r="D456" t="s">
        <v>52</v>
      </c>
      <c r="E456" t="s">
        <v>122</v>
      </c>
      <c r="F456" t="s">
        <v>326</v>
      </c>
      <c r="G456" t="s">
        <v>62</v>
      </c>
      <c r="H456" t="s">
        <v>40</v>
      </c>
      <c r="I456" t="s">
        <v>41</v>
      </c>
      <c r="J456" t="s">
        <v>64</v>
      </c>
      <c r="K456" t="s">
        <v>1010</v>
      </c>
      <c r="L456">
        <v>813.97</v>
      </c>
      <c r="M456">
        <v>1568.83</v>
      </c>
      <c r="N456">
        <v>1.7000000000000001E-2</v>
      </c>
      <c r="O456">
        <v>15</v>
      </c>
    </row>
    <row r="457" spans="1:15" x14ac:dyDescent="0.35">
      <c r="A457" t="s">
        <v>1011</v>
      </c>
      <c r="B457" s="1">
        <v>45653</v>
      </c>
      <c r="C457" s="1">
        <v>45655</v>
      </c>
      <c r="D457" t="s">
        <v>52</v>
      </c>
      <c r="E457" t="s">
        <v>53</v>
      </c>
      <c r="F457" t="s">
        <v>179</v>
      </c>
      <c r="G457" t="s">
        <v>105</v>
      </c>
      <c r="H457" t="s">
        <v>40</v>
      </c>
      <c r="I457" t="s">
        <v>21</v>
      </c>
      <c r="J457" t="s">
        <v>81</v>
      </c>
      <c r="K457" t="s">
        <v>1012</v>
      </c>
      <c r="L457">
        <v>1146.72</v>
      </c>
      <c r="M457">
        <v>2074.34</v>
      </c>
      <c r="N457">
        <v>0.111</v>
      </c>
      <c r="O457">
        <v>8</v>
      </c>
    </row>
    <row r="458" spans="1:15" x14ac:dyDescent="0.35">
      <c r="A458" t="s">
        <v>1013</v>
      </c>
      <c r="B458" s="1">
        <v>45265</v>
      </c>
      <c r="C458" s="1">
        <v>45272</v>
      </c>
      <c r="D458" t="s">
        <v>52</v>
      </c>
      <c r="E458" t="s">
        <v>73</v>
      </c>
      <c r="F458" t="s">
        <v>87</v>
      </c>
      <c r="G458" t="s">
        <v>19</v>
      </c>
      <c r="H458" t="s">
        <v>98</v>
      </c>
      <c r="I458" t="s">
        <v>84</v>
      </c>
      <c r="J458" t="s">
        <v>42</v>
      </c>
      <c r="K458" t="s">
        <v>1014</v>
      </c>
      <c r="L458">
        <v>307.43</v>
      </c>
      <c r="M458">
        <v>495.19</v>
      </c>
      <c r="N458">
        <v>0</v>
      </c>
      <c r="O458">
        <v>42</v>
      </c>
    </row>
    <row r="459" spans="1:15" x14ac:dyDescent="0.35">
      <c r="A459" t="s">
        <v>1015</v>
      </c>
      <c r="B459" s="1">
        <v>45048</v>
      </c>
      <c r="C459" s="1">
        <v>45065</v>
      </c>
      <c r="D459" t="s">
        <v>45</v>
      </c>
      <c r="E459" t="s">
        <v>116</v>
      </c>
      <c r="F459" t="s">
        <v>162</v>
      </c>
      <c r="G459" t="s">
        <v>39</v>
      </c>
      <c r="H459" t="s">
        <v>98</v>
      </c>
      <c r="I459" t="s">
        <v>29</v>
      </c>
      <c r="J459" t="s">
        <v>64</v>
      </c>
      <c r="K459" t="s">
        <v>1016</v>
      </c>
      <c r="L459">
        <v>714.28</v>
      </c>
      <c r="M459">
        <v>757.59</v>
      </c>
      <c r="N459">
        <v>0.13600000000000001</v>
      </c>
      <c r="O459">
        <v>12</v>
      </c>
    </row>
    <row r="460" spans="1:15" x14ac:dyDescent="0.35">
      <c r="A460" t="s">
        <v>1017</v>
      </c>
      <c r="B460" s="1">
        <v>45260</v>
      </c>
      <c r="C460" s="1">
        <v>45270</v>
      </c>
      <c r="D460" t="s">
        <v>78</v>
      </c>
      <c r="E460" t="s">
        <v>79</v>
      </c>
      <c r="F460" t="s">
        <v>159</v>
      </c>
      <c r="G460" t="s">
        <v>62</v>
      </c>
      <c r="H460" t="s">
        <v>98</v>
      </c>
      <c r="I460" t="s">
        <v>84</v>
      </c>
      <c r="J460" t="s">
        <v>57</v>
      </c>
      <c r="K460" t="s">
        <v>1018</v>
      </c>
      <c r="L460">
        <v>174.74</v>
      </c>
      <c r="M460">
        <v>415.96</v>
      </c>
      <c r="N460">
        <v>0.125</v>
      </c>
      <c r="O460">
        <v>21</v>
      </c>
    </row>
    <row r="461" spans="1:15" x14ac:dyDescent="0.35">
      <c r="A461" t="s">
        <v>1019</v>
      </c>
      <c r="B461" s="1">
        <v>45417</v>
      </c>
      <c r="C461" s="1">
        <v>45430</v>
      </c>
      <c r="D461" t="s">
        <v>78</v>
      </c>
      <c r="E461" t="s">
        <v>90</v>
      </c>
      <c r="F461" t="s">
        <v>91</v>
      </c>
      <c r="G461" t="s">
        <v>19</v>
      </c>
      <c r="H461" t="s">
        <v>40</v>
      </c>
      <c r="I461" t="s">
        <v>75</v>
      </c>
      <c r="J461" t="s">
        <v>22</v>
      </c>
      <c r="K461" t="s">
        <v>1020</v>
      </c>
      <c r="L461">
        <v>1264.04</v>
      </c>
      <c r="M461">
        <v>1870.89</v>
      </c>
      <c r="N461">
        <v>0</v>
      </c>
      <c r="O461">
        <v>13</v>
      </c>
    </row>
    <row r="462" spans="1:15" x14ac:dyDescent="0.35">
      <c r="A462" t="s">
        <v>1021</v>
      </c>
      <c r="B462" s="1">
        <v>45116</v>
      </c>
      <c r="C462" s="1">
        <v>45126</v>
      </c>
      <c r="D462" t="s">
        <v>45</v>
      </c>
      <c r="E462" t="s">
        <v>46</v>
      </c>
      <c r="F462" t="s">
        <v>214</v>
      </c>
      <c r="G462" t="s">
        <v>105</v>
      </c>
      <c r="H462" t="s">
        <v>55</v>
      </c>
      <c r="I462" t="s">
        <v>126</v>
      </c>
      <c r="J462" t="s">
        <v>22</v>
      </c>
      <c r="K462" t="s">
        <v>1022</v>
      </c>
      <c r="L462">
        <v>141.26</v>
      </c>
      <c r="M462">
        <v>206.88</v>
      </c>
      <c r="N462">
        <v>0.107</v>
      </c>
      <c r="O462">
        <v>9</v>
      </c>
    </row>
    <row r="463" spans="1:15" x14ac:dyDescent="0.35">
      <c r="A463" t="s">
        <v>1023</v>
      </c>
      <c r="B463" s="1">
        <v>45063</v>
      </c>
      <c r="C463" s="1">
        <v>45092</v>
      </c>
      <c r="D463" t="s">
        <v>16</v>
      </c>
      <c r="E463" t="s">
        <v>148</v>
      </c>
      <c r="F463" t="s">
        <v>172</v>
      </c>
      <c r="G463" t="s">
        <v>105</v>
      </c>
      <c r="H463" t="s">
        <v>20</v>
      </c>
      <c r="I463" t="s">
        <v>95</v>
      </c>
      <c r="J463" t="s">
        <v>81</v>
      </c>
      <c r="K463" t="s">
        <v>1024</v>
      </c>
      <c r="L463">
        <v>40.89</v>
      </c>
      <c r="M463">
        <v>62.82</v>
      </c>
      <c r="N463">
        <v>0.129</v>
      </c>
      <c r="O463">
        <v>17</v>
      </c>
    </row>
    <row r="464" spans="1:15" x14ac:dyDescent="0.35">
      <c r="A464" t="s">
        <v>1025</v>
      </c>
      <c r="B464" s="1">
        <v>45358</v>
      </c>
      <c r="C464" s="1">
        <v>45385</v>
      </c>
      <c r="D464" t="s">
        <v>78</v>
      </c>
      <c r="E464" t="s">
        <v>79</v>
      </c>
      <c r="F464" t="s">
        <v>335</v>
      </c>
      <c r="G464" t="s">
        <v>19</v>
      </c>
      <c r="H464" t="s">
        <v>98</v>
      </c>
      <c r="I464" t="s">
        <v>110</v>
      </c>
      <c r="J464" t="s">
        <v>30</v>
      </c>
      <c r="K464" t="s">
        <v>1026</v>
      </c>
      <c r="L464">
        <v>738.16</v>
      </c>
      <c r="M464">
        <v>956.49</v>
      </c>
      <c r="N464">
        <v>0.152</v>
      </c>
      <c r="O464">
        <v>5</v>
      </c>
    </row>
    <row r="465" spans="1:15" x14ac:dyDescent="0.35">
      <c r="A465" t="s">
        <v>1027</v>
      </c>
      <c r="B465" s="1">
        <v>45757</v>
      </c>
      <c r="C465" s="1">
        <v>45766</v>
      </c>
      <c r="D465" t="s">
        <v>16</v>
      </c>
      <c r="E465" t="s">
        <v>148</v>
      </c>
      <c r="F465" t="s">
        <v>172</v>
      </c>
      <c r="G465" t="s">
        <v>105</v>
      </c>
      <c r="I465" t="s">
        <v>41</v>
      </c>
      <c r="J465" t="s">
        <v>35</v>
      </c>
      <c r="K465" t="s">
        <v>1028</v>
      </c>
      <c r="L465">
        <v>113.74</v>
      </c>
      <c r="M465">
        <v>165.7</v>
      </c>
      <c r="N465">
        <v>0.124</v>
      </c>
      <c r="O465">
        <v>13</v>
      </c>
    </row>
    <row r="466" spans="1:15" x14ac:dyDescent="0.35">
      <c r="A466" t="s">
        <v>1029</v>
      </c>
      <c r="B466" s="1">
        <v>45865</v>
      </c>
      <c r="C466" s="1">
        <v>45884</v>
      </c>
      <c r="D466" t="s">
        <v>45</v>
      </c>
      <c r="E466" t="s">
        <v>46</v>
      </c>
      <c r="F466" t="s">
        <v>214</v>
      </c>
      <c r="G466" t="s">
        <v>62</v>
      </c>
      <c r="H466" t="s">
        <v>40</v>
      </c>
      <c r="I466" t="s">
        <v>29</v>
      </c>
      <c r="J466" t="s">
        <v>22</v>
      </c>
      <c r="K466" t="s">
        <v>1030</v>
      </c>
      <c r="L466">
        <v>275.43</v>
      </c>
      <c r="M466">
        <v>608.36</v>
      </c>
      <c r="N466">
        <v>0.25700000000000001</v>
      </c>
      <c r="O466">
        <v>4</v>
      </c>
    </row>
    <row r="467" spans="1:15" x14ac:dyDescent="0.35">
      <c r="A467" t="s">
        <v>1031</v>
      </c>
      <c r="B467" s="1">
        <v>45618</v>
      </c>
      <c r="C467" s="1">
        <v>45641</v>
      </c>
      <c r="D467" t="s">
        <v>16</v>
      </c>
      <c r="E467" t="s">
        <v>17</v>
      </c>
      <c r="F467" t="s">
        <v>113</v>
      </c>
      <c r="G467" t="s">
        <v>39</v>
      </c>
      <c r="H467" t="s">
        <v>55</v>
      </c>
      <c r="I467" t="s">
        <v>21</v>
      </c>
      <c r="J467" t="s">
        <v>22</v>
      </c>
      <c r="K467" t="s">
        <v>1032</v>
      </c>
      <c r="L467">
        <v>1335.76</v>
      </c>
      <c r="M467">
        <v>2665.91</v>
      </c>
      <c r="N467">
        <v>0.21099999999999999</v>
      </c>
      <c r="O467">
        <v>40</v>
      </c>
    </row>
    <row r="468" spans="1:15" x14ac:dyDescent="0.35">
      <c r="A468" t="s">
        <v>1033</v>
      </c>
      <c r="B468" s="1">
        <v>45466</v>
      </c>
      <c r="C468" s="1">
        <v>45471</v>
      </c>
      <c r="D468" t="s">
        <v>16</v>
      </c>
      <c r="E468" t="s">
        <v>25</v>
      </c>
      <c r="F468" t="s">
        <v>26</v>
      </c>
      <c r="G468" t="s">
        <v>39</v>
      </c>
      <c r="H468" t="s">
        <v>98</v>
      </c>
      <c r="I468" t="s">
        <v>110</v>
      </c>
      <c r="J468" t="s">
        <v>81</v>
      </c>
      <c r="K468" t="s">
        <v>1034</v>
      </c>
      <c r="L468">
        <v>242.31</v>
      </c>
      <c r="M468">
        <v>587.95000000000005</v>
      </c>
      <c r="N468">
        <v>0.22900000000000001</v>
      </c>
      <c r="O468">
        <v>6</v>
      </c>
    </row>
    <row r="469" spans="1:15" x14ac:dyDescent="0.35">
      <c r="A469" t="s">
        <v>1035</v>
      </c>
      <c r="B469" s="1">
        <v>45278</v>
      </c>
      <c r="C469" s="1">
        <v>45305</v>
      </c>
      <c r="D469" t="s">
        <v>45</v>
      </c>
      <c r="E469" t="s">
        <v>60</v>
      </c>
      <c r="F469" t="s">
        <v>220</v>
      </c>
      <c r="G469" t="s">
        <v>48</v>
      </c>
      <c r="H469" t="s">
        <v>55</v>
      </c>
      <c r="I469" t="s">
        <v>145</v>
      </c>
      <c r="J469" t="s">
        <v>35</v>
      </c>
      <c r="K469" t="s">
        <v>1036</v>
      </c>
      <c r="L469">
        <v>1408.3</v>
      </c>
      <c r="M469">
        <v>2193.13</v>
      </c>
      <c r="N469">
        <v>7.0999999999999994E-2</v>
      </c>
      <c r="O469">
        <v>7</v>
      </c>
    </row>
    <row r="470" spans="1:15" x14ac:dyDescent="0.35">
      <c r="A470" t="s">
        <v>1037</v>
      </c>
      <c r="B470" s="1">
        <v>45809</v>
      </c>
      <c r="C470" s="1">
        <v>45813</v>
      </c>
      <c r="D470" t="s">
        <v>78</v>
      </c>
      <c r="E470" t="s">
        <v>79</v>
      </c>
      <c r="F470" t="s">
        <v>159</v>
      </c>
      <c r="G470" t="s">
        <v>105</v>
      </c>
      <c r="H470" t="s">
        <v>98</v>
      </c>
      <c r="I470" t="s">
        <v>110</v>
      </c>
      <c r="J470" t="s">
        <v>22</v>
      </c>
      <c r="K470" t="s">
        <v>1038</v>
      </c>
      <c r="L470">
        <v>1171.42</v>
      </c>
      <c r="M470">
        <v>2187.8000000000002</v>
      </c>
      <c r="N470">
        <v>0.23</v>
      </c>
      <c r="O470">
        <v>15</v>
      </c>
    </row>
    <row r="471" spans="1:15" x14ac:dyDescent="0.35">
      <c r="A471" t="s">
        <v>1039</v>
      </c>
      <c r="B471" s="1">
        <v>45739</v>
      </c>
      <c r="C471" s="1">
        <v>45749</v>
      </c>
      <c r="D471" t="s">
        <v>78</v>
      </c>
      <c r="E471" t="s">
        <v>79</v>
      </c>
      <c r="F471" t="s">
        <v>80</v>
      </c>
      <c r="G471" t="s">
        <v>105</v>
      </c>
      <c r="H471" t="s">
        <v>28</v>
      </c>
      <c r="I471" t="s">
        <v>63</v>
      </c>
      <c r="J471" t="s">
        <v>30</v>
      </c>
      <c r="K471" t="s">
        <v>1040</v>
      </c>
      <c r="L471">
        <v>663.61</v>
      </c>
      <c r="M471">
        <v>1002.11</v>
      </c>
      <c r="N471">
        <v>4.5999999999999999E-2</v>
      </c>
      <c r="O471">
        <v>17</v>
      </c>
    </row>
    <row r="472" spans="1:15" x14ac:dyDescent="0.35">
      <c r="A472" t="s">
        <v>1041</v>
      </c>
      <c r="B472" s="1">
        <v>45060</v>
      </c>
      <c r="C472" s="1">
        <v>45068</v>
      </c>
      <c r="D472" t="s">
        <v>16</v>
      </c>
      <c r="E472" t="s">
        <v>17</v>
      </c>
      <c r="F472" t="s">
        <v>113</v>
      </c>
      <c r="G472" t="s">
        <v>62</v>
      </c>
      <c r="H472" t="s">
        <v>55</v>
      </c>
      <c r="I472" t="s">
        <v>84</v>
      </c>
      <c r="J472" t="s">
        <v>30</v>
      </c>
      <c r="K472" t="s">
        <v>1042</v>
      </c>
      <c r="L472">
        <v>432.01</v>
      </c>
      <c r="M472">
        <v>913.78</v>
      </c>
      <c r="N472">
        <v>4.9000000000000002E-2</v>
      </c>
      <c r="O472">
        <v>12</v>
      </c>
    </row>
    <row r="473" spans="1:15" x14ac:dyDescent="0.35">
      <c r="A473" t="s">
        <v>1043</v>
      </c>
      <c r="B473" s="1">
        <v>45167</v>
      </c>
      <c r="C473" s="1">
        <v>45188</v>
      </c>
      <c r="D473" t="s">
        <v>78</v>
      </c>
      <c r="E473" t="s">
        <v>90</v>
      </c>
      <c r="F473" t="s">
        <v>138</v>
      </c>
      <c r="G473" t="s">
        <v>62</v>
      </c>
      <c r="H473" t="s">
        <v>98</v>
      </c>
      <c r="I473" t="s">
        <v>56</v>
      </c>
      <c r="J473" t="s">
        <v>30</v>
      </c>
      <c r="K473" t="s">
        <v>1044</v>
      </c>
      <c r="L473">
        <v>784.46</v>
      </c>
      <c r="M473">
        <v>1843.51</v>
      </c>
      <c r="N473">
        <v>0.13800000000000001</v>
      </c>
      <c r="O473">
        <v>23</v>
      </c>
    </row>
    <row r="474" spans="1:15" x14ac:dyDescent="0.35">
      <c r="A474" t="s">
        <v>1045</v>
      </c>
      <c r="B474" s="1">
        <v>45841</v>
      </c>
      <c r="C474" s="1">
        <v>45861</v>
      </c>
      <c r="D474" t="s">
        <v>45</v>
      </c>
      <c r="E474" t="s">
        <v>116</v>
      </c>
      <c r="F474" t="s">
        <v>338</v>
      </c>
      <c r="G474" t="s">
        <v>62</v>
      </c>
      <c r="H474" t="s">
        <v>28</v>
      </c>
      <c r="I474" t="s">
        <v>110</v>
      </c>
      <c r="J474" t="s">
        <v>22</v>
      </c>
      <c r="K474" t="s">
        <v>1046</v>
      </c>
      <c r="L474">
        <v>647.36</v>
      </c>
      <c r="M474">
        <v>1383.6</v>
      </c>
      <c r="N474">
        <v>7.3999999999999996E-2</v>
      </c>
      <c r="O474">
        <v>12</v>
      </c>
    </row>
    <row r="475" spans="1:15" x14ac:dyDescent="0.35">
      <c r="A475" t="s">
        <v>1047</v>
      </c>
      <c r="B475" s="1">
        <v>45328</v>
      </c>
      <c r="C475" s="1">
        <v>45350</v>
      </c>
      <c r="D475" t="s">
        <v>16</v>
      </c>
      <c r="E475" t="s">
        <v>17</v>
      </c>
      <c r="F475" t="s">
        <v>18</v>
      </c>
      <c r="G475" t="s">
        <v>39</v>
      </c>
      <c r="H475" t="s">
        <v>28</v>
      </c>
      <c r="I475" t="s">
        <v>95</v>
      </c>
      <c r="J475" t="s">
        <v>64</v>
      </c>
      <c r="K475" t="s">
        <v>1048</v>
      </c>
      <c r="L475">
        <v>834.93</v>
      </c>
      <c r="M475">
        <v>1588.53</v>
      </c>
      <c r="N475">
        <v>0.126</v>
      </c>
      <c r="O475">
        <v>6</v>
      </c>
    </row>
    <row r="476" spans="1:15" x14ac:dyDescent="0.35">
      <c r="A476" t="s">
        <v>1049</v>
      </c>
      <c r="B476" s="1">
        <v>45882</v>
      </c>
      <c r="C476" s="1">
        <v>45903</v>
      </c>
      <c r="D476" t="s">
        <v>78</v>
      </c>
      <c r="E476" t="s">
        <v>90</v>
      </c>
      <c r="F476" t="s">
        <v>217</v>
      </c>
      <c r="G476" t="s">
        <v>27</v>
      </c>
      <c r="H476" t="s">
        <v>20</v>
      </c>
      <c r="I476" t="s">
        <v>34</v>
      </c>
      <c r="J476" t="s">
        <v>42</v>
      </c>
      <c r="K476" t="s">
        <v>1050</v>
      </c>
      <c r="L476">
        <v>603.47</v>
      </c>
      <c r="M476">
        <v>1344.05</v>
      </c>
      <c r="N476">
        <v>0.20499999999999999</v>
      </c>
      <c r="O476">
        <v>18</v>
      </c>
    </row>
    <row r="477" spans="1:15" x14ac:dyDescent="0.35">
      <c r="A477" t="s">
        <v>1051</v>
      </c>
      <c r="B477" s="1">
        <v>45069</v>
      </c>
      <c r="C477" s="1">
        <v>45071</v>
      </c>
      <c r="D477" t="s">
        <v>52</v>
      </c>
      <c r="E477" t="s">
        <v>73</v>
      </c>
      <c r="F477" t="s">
        <v>225</v>
      </c>
      <c r="G477" t="s">
        <v>105</v>
      </c>
      <c r="H477" t="s">
        <v>20</v>
      </c>
      <c r="I477" t="s">
        <v>110</v>
      </c>
      <c r="J477" t="s">
        <v>30</v>
      </c>
      <c r="K477" t="s">
        <v>1052</v>
      </c>
      <c r="L477">
        <v>690.49</v>
      </c>
      <c r="M477">
        <v>1290.29</v>
      </c>
      <c r="N477">
        <v>4.2000000000000003E-2</v>
      </c>
      <c r="O477">
        <v>22</v>
      </c>
    </row>
    <row r="478" spans="1:15" x14ac:dyDescent="0.35">
      <c r="A478" t="s">
        <v>1053</v>
      </c>
      <c r="B478" s="1">
        <v>45422</v>
      </c>
      <c r="C478" s="1">
        <v>45428</v>
      </c>
      <c r="D478" t="s">
        <v>78</v>
      </c>
      <c r="E478" t="s">
        <v>108</v>
      </c>
      <c r="F478" t="s">
        <v>109</v>
      </c>
      <c r="G478" t="s">
        <v>39</v>
      </c>
      <c r="H478" t="s">
        <v>98</v>
      </c>
      <c r="I478" t="s">
        <v>41</v>
      </c>
      <c r="J478" t="s">
        <v>57</v>
      </c>
      <c r="K478" t="s">
        <v>1054</v>
      </c>
      <c r="L478">
        <v>210.76</v>
      </c>
      <c r="M478">
        <v>221.58</v>
      </c>
      <c r="N478">
        <v>8.8999999999999996E-2</v>
      </c>
      <c r="O478">
        <v>5</v>
      </c>
    </row>
    <row r="479" spans="1:15" x14ac:dyDescent="0.35">
      <c r="A479" t="s">
        <v>1055</v>
      </c>
      <c r="B479" s="1">
        <v>44999</v>
      </c>
      <c r="C479" s="1">
        <v>45003</v>
      </c>
      <c r="D479" t="s">
        <v>78</v>
      </c>
      <c r="E479" t="s">
        <v>79</v>
      </c>
      <c r="F479" t="s">
        <v>335</v>
      </c>
      <c r="G479" t="s">
        <v>105</v>
      </c>
      <c r="H479" t="s">
        <v>98</v>
      </c>
      <c r="I479" t="s">
        <v>75</v>
      </c>
      <c r="J479" t="s">
        <v>22</v>
      </c>
      <c r="K479" t="s">
        <v>1056</v>
      </c>
      <c r="L479">
        <v>472.33</v>
      </c>
      <c r="M479">
        <v>360.34</v>
      </c>
      <c r="N479">
        <v>0.16500000000000001</v>
      </c>
      <c r="O479">
        <v>14</v>
      </c>
    </row>
    <row r="480" spans="1:15" x14ac:dyDescent="0.35">
      <c r="A480" t="s">
        <v>1057</v>
      </c>
      <c r="B480" s="1">
        <v>45123</v>
      </c>
      <c r="C480" s="1">
        <v>45151</v>
      </c>
      <c r="D480" t="s">
        <v>78</v>
      </c>
      <c r="E480" t="s">
        <v>108</v>
      </c>
      <c r="F480" t="s">
        <v>228</v>
      </c>
      <c r="G480" t="s">
        <v>39</v>
      </c>
      <c r="H480" t="s">
        <v>28</v>
      </c>
      <c r="I480" t="s">
        <v>29</v>
      </c>
      <c r="J480" t="s">
        <v>57</v>
      </c>
      <c r="K480" t="s">
        <v>1058</v>
      </c>
      <c r="L480">
        <v>1039.03</v>
      </c>
      <c r="M480">
        <v>2545.81</v>
      </c>
      <c r="N480">
        <v>0.216</v>
      </c>
      <c r="O480">
        <v>21</v>
      </c>
    </row>
    <row r="481" spans="1:15" x14ac:dyDescent="0.35">
      <c r="A481" t="s">
        <v>1059</v>
      </c>
      <c r="B481" s="1">
        <v>45032</v>
      </c>
      <c r="C481" s="1">
        <v>45035</v>
      </c>
      <c r="D481" t="s">
        <v>78</v>
      </c>
      <c r="E481" t="s">
        <v>79</v>
      </c>
      <c r="F481" t="s">
        <v>159</v>
      </c>
      <c r="G481" t="s">
        <v>19</v>
      </c>
      <c r="H481" t="s">
        <v>98</v>
      </c>
      <c r="I481" t="s">
        <v>56</v>
      </c>
      <c r="J481" t="s">
        <v>81</v>
      </c>
      <c r="K481" t="s">
        <v>1060</v>
      </c>
      <c r="L481">
        <v>553.61</v>
      </c>
      <c r="M481">
        <v>699.47</v>
      </c>
      <c r="N481">
        <v>0.02</v>
      </c>
      <c r="O481">
        <v>33</v>
      </c>
    </row>
    <row r="482" spans="1:15" x14ac:dyDescent="0.35">
      <c r="A482" t="s">
        <v>1061</v>
      </c>
      <c r="B482" s="1">
        <v>45293</v>
      </c>
      <c r="C482" s="1">
        <v>45306</v>
      </c>
      <c r="D482" t="s">
        <v>45</v>
      </c>
      <c r="E482" t="s">
        <v>46</v>
      </c>
      <c r="F482" t="s">
        <v>231</v>
      </c>
      <c r="G482" t="s">
        <v>62</v>
      </c>
      <c r="H482" t="s">
        <v>40</v>
      </c>
      <c r="I482" t="s">
        <v>41</v>
      </c>
      <c r="J482" t="s">
        <v>35</v>
      </c>
      <c r="K482" t="s">
        <v>1062</v>
      </c>
      <c r="L482">
        <v>1219.06</v>
      </c>
      <c r="M482">
        <v>2738.69</v>
      </c>
      <c r="N482">
        <v>7.5999999999999998E-2</v>
      </c>
      <c r="O482">
        <v>16</v>
      </c>
    </row>
    <row r="483" spans="1:15" x14ac:dyDescent="0.35">
      <c r="A483" t="s">
        <v>1063</v>
      </c>
      <c r="B483" s="1">
        <v>45538</v>
      </c>
      <c r="C483" s="1">
        <v>45542</v>
      </c>
      <c r="D483" t="s">
        <v>45</v>
      </c>
      <c r="E483" t="s">
        <v>46</v>
      </c>
      <c r="F483" t="s">
        <v>214</v>
      </c>
      <c r="G483" t="s">
        <v>62</v>
      </c>
      <c r="H483" t="s">
        <v>55</v>
      </c>
      <c r="I483" t="s">
        <v>126</v>
      </c>
      <c r="J483" t="s">
        <v>30</v>
      </c>
      <c r="K483" t="s">
        <v>1064</v>
      </c>
      <c r="L483">
        <v>43.23</v>
      </c>
      <c r="M483">
        <v>94.78</v>
      </c>
      <c r="N483">
        <v>9.0999999999999998E-2</v>
      </c>
      <c r="O483">
        <v>55</v>
      </c>
    </row>
    <row r="484" spans="1:15" x14ac:dyDescent="0.35">
      <c r="A484" t="s">
        <v>1065</v>
      </c>
      <c r="B484" s="1">
        <v>45899</v>
      </c>
      <c r="C484" s="1">
        <v>45903</v>
      </c>
      <c r="D484" t="s">
        <v>78</v>
      </c>
      <c r="E484" t="s">
        <v>90</v>
      </c>
      <c r="F484" t="s">
        <v>91</v>
      </c>
      <c r="G484" t="s">
        <v>62</v>
      </c>
      <c r="H484" t="s">
        <v>40</v>
      </c>
      <c r="I484" t="s">
        <v>29</v>
      </c>
      <c r="J484" t="s">
        <v>57</v>
      </c>
      <c r="K484" t="s">
        <v>1066</v>
      </c>
      <c r="L484">
        <v>1286.56</v>
      </c>
      <c r="M484">
        <v>2777.35</v>
      </c>
      <c r="N484">
        <v>0.13200000000000001</v>
      </c>
      <c r="O484">
        <v>15</v>
      </c>
    </row>
    <row r="485" spans="1:15" x14ac:dyDescent="0.35">
      <c r="A485" t="s">
        <v>1067</v>
      </c>
      <c r="B485" s="1">
        <v>45775</v>
      </c>
      <c r="C485" s="1">
        <v>45796</v>
      </c>
      <c r="D485" t="s">
        <v>78</v>
      </c>
      <c r="E485" t="s">
        <v>79</v>
      </c>
      <c r="F485" t="s">
        <v>80</v>
      </c>
      <c r="G485" t="s">
        <v>19</v>
      </c>
      <c r="H485" t="s">
        <v>55</v>
      </c>
      <c r="I485" t="s">
        <v>56</v>
      </c>
      <c r="J485" t="s">
        <v>42</v>
      </c>
      <c r="K485" t="s">
        <v>1068</v>
      </c>
      <c r="L485">
        <v>350.76</v>
      </c>
      <c r="M485">
        <v>492.18</v>
      </c>
      <c r="N485">
        <v>5.2999999999999999E-2</v>
      </c>
      <c r="O485">
        <v>11</v>
      </c>
    </row>
    <row r="486" spans="1:15" x14ac:dyDescent="0.35">
      <c r="A486" t="s">
        <v>1069</v>
      </c>
      <c r="B486" s="1">
        <v>45148</v>
      </c>
      <c r="C486" s="1">
        <v>45153</v>
      </c>
      <c r="D486" t="s">
        <v>52</v>
      </c>
      <c r="E486" t="s">
        <v>73</v>
      </c>
      <c r="F486" t="s">
        <v>74</v>
      </c>
      <c r="G486" t="s">
        <v>27</v>
      </c>
      <c r="H486" t="s">
        <v>98</v>
      </c>
      <c r="I486" t="s">
        <v>41</v>
      </c>
      <c r="J486" t="s">
        <v>35</v>
      </c>
      <c r="K486" t="s">
        <v>1070</v>
      </c>
      <c r="L486">
        <v>1307.52</v>
      </c>
      <c r="M486">
        <v>1921.65</v>
      </c>
      <c r="N486">
        <v>0.123</v>
      </c>
      <c r="O486">
        <v>13</v>
      </c>
    </row>
    <row r="487" spans="1:15" x14ac:dyDescent="0.35">
      <c r="A487" t="s">
        <v>1071</v>
      </c>
      <c r="B487" s="1">
        <v>45634</v>
      </c>
      <c r="C487" s="1">
        <v>45634</v>
      </c>
      <c r="D487" t="s">
        <v>78</v>
      </c>
      <c r="E487" t="s">
        <v>90</v>
      </c>
      <c r="F487" t="s">
        <v>138</v>
      </c>
      <c r="G487" t="s">
        <v>105</v>
      </c>
      <c r="H487" t="s">
        <v>20</v>
      </c>
      <c r="I487" t="s">
        <v>92</v>
      </c>
      <c r="J487" t="s">
        <v>22</v>
      </c>
      <c r="K487" t="s">
        <v>1072</v>
      </c>
      <c r="L487">
        <v>257.44</v>
      </c>
      <c r="M487">
        <v>290.33</v>
      </c>
      <c r="N487">
        <v>9.1999999999999998E-2</v>
      </c>
      <c r="O487">
        <v>23</v>
      </c>
    </row>
    <row r="488" spans="1:15" x14ac:dyDescent="0.35">
      <c r="A488" t="s">
        <v>1073</v>
      </c>
      <c r="B488" s="1">
        <v>45224</v>
      </c>
      <c r="C488" s="1">
        <v>45254</v>
      </c>
      <c r="D488" t="s">
        <v>78</v>
      </c>
      <c r="E488" t="s">
        <v>90</v>
      </c>
      <c r="F488" t="s">
        <v>217</v>
      </c>
      <c r="G488" t="s">
        <v>105</v>
      </c>
      <c r="H488" t="s">
        <v>55</v>
      </c>
      <c r="I488" t="s">
        <v>21</v>
      </c>
      <c r="J488" t="s">
        <v>42</v>
      </c>
      <c r="K488" t="s">
        <v>1074</v>
      </c>
      <c r="L488">
        <v>287.85000000000002</v>
      </c>
      <c r="M488">
        <v>602.91999999999996</v>
      </c>
      <c r="N488">
        <v>0.222</v>
      </c>
      <c r="O488">
        <v>11</v>
      </c>
    </row>
    <row r="489" spans="1:15" x14ac:dyDescent="0.35">
      <c r="A489" t="s">
        <v>1075</v>
      </c>
      <c r="B489" s="1">
        <v>45613</v>
      </c>
      <c r="C489" s="1">
        <v>45624</v>
      </c>
      <c r="D489" t="s">
        <v>52</v>
      </c>
      <c r="E489" t="s">
        <v>53</v>
      </c>
      <c r="G489" t="s">
        <v>48</v>
      </c>
      <c r="H489" t="s">
        <v>55</v>
      </c>
      <c r="I489" t="s">
        <v>75</v>
      </c>
      <c r="J489" t="s">
        <v>30</v>
      </c>
      <c r="K489" t="s">
        <v>1076</v>
      </c>
      <c r="L489">
        <v>1008.16</v>
      </c>
      <c r="M489">
        <v>2077.5</v>
      </c>
      <c r="N489">
        <v>7.3999999999999996E-2</v>
      </c>
      <c r="O489">
        <v>15</v>
      </c>
    </row>
    <row r="490" spans="1:15" x14ac:dyDescent="0.35">
      <c r="A490" t="s">
        <v>1077</v>
      </c>
      <c r="B490" s="1">
        <v>45424</v>
      </c>
      <c r="C490" s="1">
        <v>45436</v>
      </c>
      <c r="D490" t="s">
        <v>78</v>
      </c>
      <c r="E490" t="s">
        <v>108</v>
      </c>
      <c r="F490" t="s">
        <v>228</v>
      </c>
      <c r="G490" t="s">
        <v>27</v>
      </c>
      <c r="H490" t="s">
        <v>40</v>
      </c>
      <c r="I490" t="s">
        <v>95</v>
      </c>
      <c r="J490" t="s">
        <v>30</v>
      </c>
      <c r="K490" t="s">
        <v>1078</v>
      </c>
      <c r="L490">
        <v>111.02</v>
      </c>
      <c r="M490">
        <v>172.88</v>
      </c>
      <c r="N490">
        <v>0.19700000000000001</v>
      </c>
      <c r="O490">
        <v>29</v>
      </c>
    </row>
    <row r="491" spans="1:15" x14ac:dyDescent="0.35">
      <c r="A491" t="s">
        <v>1079</v>
      </c>
      <c r="B491" s="1">
        <v>45792</v>
      </c>
      <c r="C491" s="1">
        <v>45813</v>
      </c>
      <c r="D491" t="s">
        <v>45</v>
      </c>
      <c r="E491" t="s">
        <v>46</v>
      </c>
      <c r="F491" t="s">
        <v>47</v>
      </c>
      <c r="G491" t="s">
        <v>105</v>
      </c>
      <c r="H491" t="s">
        <v>98</v>
      </c>
      <c r="I491" t="s">
        <v>92</v>
      </c>
      <c r="J491" t="s">
        <v>42</v>
      </c>
      <c r="K491" t="s">
        <v>1080</v>
      </c>
      <c r="L491">
        <v>1466.5</v>
      </c>
      <c r="M491">
        <v>2778.74</v>
      </c>
      <c r="N491">
        <v>0.13500000000000001</v>
      </c>
      <c r="O491">
        <v>4</v>
      </c>
    </row>
    <row r="492" spans="1:15" x14ac:dyDescent="0.35">
      <c r="A492" t="s">
        <v>1081</v>
      </c>
      <c r="B492" s="1">
        <v>45403</v>
      </c>
      <c r="C492" s="1">
        <v>45431</v>
      </c>
      <c r="D492" t="s">
        <v>16</v>
      </c>
      <c r="E492" t="s">
        <v>25</v>
      </c>
      <c r="F492" t="s">
        <v>38</v>
      </c>
      <c r="G492" t="s">
        <v>19</v>
      </c>
      <c r="H492" t="s">
        <v>55</v>
      </c>
      <c r="I492" t="s">
        <v>75</v>
      </c>
      <c r="J492" t="s">
        <v>81</v>
      </c>
      <c r="K492" t="s">
        <v>1082</v>
      </c>
      <c r="L492">
        <v>187.22</v>
      </c>
      <c r="M492">
        <v>309.47000000000003</v>
      </c>
      <c r="N492">
        <v>0</v>
      </c>
      <c r="O492">
        <v>5</v>
      </c>
    </row>
    <row r="493" spans="1:15" x14ac:dyDescent="0.35">
      <c r="A493" t="s">
        <v>1083</v>
      </c>
      <c r="B493" s="1">
        <v>45523</v>
      </c>
      <c r="C493" s="1">
        <v>45542</v>
      </c>
      <c r="D493" t="s">
        <v>78</v>
      </c>
      <c r="E493" t="s">
        <v>90</v>
      </c>
      <c r="F493" t="s">
        <v>138</v>
      </c>
      <c r="G493" t="s">
        <v>19</v>
      </c>
      <c r="H493" t="s">
        <v>98</v>
      </c>
      <c r="I493" t="s">
        <v>29</v>
      </c>
      <c r="J493" t="s">
        <v>22</v>
      </c>
      <c r="K493" t="s">
        <v>1084</v>
      </c>
      <c r="L493">
        <v>297.58999999999997</v>
      </c>
      <c r="M493">
        <v>666.41</v>
      </c>
      <c r="N493">
        <v>0</v>
      </c>
      <c r="O493">
        <v>10</v>
      </c>
    </row>
    <row r="494" spans="1:15" x14ac:dyDescent="0.35">
      <c r="A494" t="s">
        <v>1085</v>
      </c>
      <c r="B494" s="1">
        <v>45861</v>
      </c>
      <c r="C494" s="1">
        <v>45888</v>
      </c>
      <c r="D494" t="s">
        <v>45</v>
      </c>
      <c r="E494" t="s">
        <v>46</v>
      </c>
      <c r="F494" t="s">
        <v>231</v>
      </c>
      <c r="G494" t="s">
        <v>48</v>
      </c>
      <c r="H494" t="s">
        <v>40</v>
      </c>
      <c r="I494" t="s">
        <v>56</v>
      </c>
      <c r="J494" t="s">
        <v>81</v>
      </c>
      <c r="K494" t="s">
        <v>1086</v>
      </c>
      <c r="L494">
        <v>896.09</v>
      </c>
      <c r="M494">
        <v>744.27</v>
      </c>
      <c r="N494">
        <v>8.3000000000000004E-2</v>
      </c>
      <c r="O494">
        <v>11</v>
      </c>
    </row>
    <row r="495" spans="1:15" x14ac:dyDescent="0.35">
      <c r="A495" t="s">
        <v>1087</v>
      </c>
      <c r="B495" s="1">
        <v>45352</v>
      </c>
      <c r="C495" s="1">
        <v>45351</v>
      </c>
      <c r="D495" t="s">
        <v>52</v>
      </c>
      <c r="E495" t="s">
        <v>73</v>
      </c>
      <c r="F495" t="s">
        <v>74</v>
      </c>
      <c r="G495" t="s">
        <v>39</v>
      </c>
      <c r="H495" t="s">
        <v>98</v>
      </c>
      <c r="I495" t="s">
        <v>34</v>
      </c>
      <c r="J495" t="s">
        <v>42</v>
      </c>
      <c r="K495" t="s">
        <v>1088</v>
      </c>
      <c r="L495">
        <v>5.34</v>
      </c>
      <c r="M495">
        <v>12.69</v>
      </c>
      <c r="N495">
        <v>0.13200000000000001</v>
      </c>
      <c r="O495">
        <v>10</v>
      </c>
    </row>
    <row r="496" spans="1:15" x14ac:dyDescent="0.35">
      <c r="A496" t="s">
        <v>1089</v>
      </c>
      <c r="B496" s="1">
        <v>45439</v>
      </c>
      <c r="C496" s="1">
        <v>45460</v>
      </c>
      <c r="D496" t="s">
        <v>45</v>
      </c>
      <c r="E496" t="s">
        <v>60</v>
      </c>
      <c r="F496" t="s">
        <v>141</v>
      </c>
      <c r="G496" t="s">
        <v>62</v>
      </c>
      <c r="H496" t="s">
        <v>28</v>
      </c>
      <c r="I496" t="s">
        <v>92</v>
      </c>
      <c r="J496" t="s">
        <v>81</v>
      </c>
      <c r="K496" t="s">
        <v>1090</v>
      </c>
      <c r="L496">
        <v>465.02</v>
      </c>
      <c r="M496">
        <v>651.55999999999995</v>
      </c>
      <c r="N496">
        <v>4.2000000000000003E-2</v>
      </c>
      <c r="O496">
        <v>19</v>
      </c>
    </row>
    <row r="497" spans="1:15" x14ac:dyDescent="0.35">
      <c r="A497" t="s">
        <v>1091</v>
      </c>
      <c r="B497" s="1">
        <v>45508</v>
      </c>
      <c r="C497" s="1">
        <v>45521</v>
      </c>
      <c r="D497" t="s">
        <v>52</v>
      </c>
      <c r="E497" t="s">
        <v>122</v>
      </c>
      <c r="F497" t="s">
        <v>326</v>
      </c>
      <c r="G497" t="s">
        <v>48</v>
      </c>
      <c r="H497" t="s">
        <v>20</v>
      </c>
      <c r="I497" t="s">
        <v>145</v>
      </c>
      <c r="J497" t="s">
        <v>64</v>
      </c>
      <c r="K497" t="s">
        <v>1092</v>
      </c>
      <c r="L497">
        <v>352.79</v>
      </c>
      <c r="M497">
        <v>754.22</v>
      </c>
      <c r="N497">
        <v>0.113</v>
      </c>
      <c r="O497">
        <v>7</v>
      </c>
    </row>
    <row r="498" spans="1:15" x14ac:dyDescent="0.35">
      <c r="A498" t="s">
        <v>1093</v>
      </c>
      <c r="B498" s="1">
        <v>45097</v>
      </c>
      <c r="C498" s="1">
        <v>45111</v>
      </c>
      <c r="D498" t="s">
        <v>52</v>
      </c>
      <c r="E498" t="s">
        <v>73</v>
      </c>
      <c r="F498" t="s">
        <v>87</v>
      </c>
      <c r="G498" t="s">
        <v>39</v>
      </c>
      <c r="H498" t="s">
        <v>98</v>
      </c>
      <c r="I498" t="s">
        <v>21</v>
      </c>
      <c r="J498" t="s">
        <v>35</v>
      </c>
      <c r="K498" t="s">
        <v>1094</v>
      </c>
      <c r="L498">
        <v>1292.8599999999999</v>
      </c>
      <c r="M498">
        <v>2981.01</v>
      </c>
      <c r="N498">
        <v>0.14199999999999999</v>
      </c>
      <c r="O498">
        <v>12</v>
      </c>
    </row>
    <row r="499" spans="1:15" x14ac:dyDescent="0.35">
      <c r="A499" t="s">
        <v>1095</v>
      </c>
      <c r="B499" s="1">
        <v>45544</v>
      </c>
      <c r="C499" s="1">
        <v>45548</v>
      </c>
      <c r="D499" t="s">
        <v>78</v>
      </c>
      <c r="E499" t="s">
        <v>108</v>
      </c>
      <c r="F499" t="s">
        <v>152</v>
      </c>
      <c r="G499" t="s">
        <v>48</v>
      </c>
      <c r="H499" t="s">
        <v>40</v>
      </c>
      <c r="I499" t="s">
        <v>84</v>
      </c>
      <c r="J499" t="s">
        <v>35</v>
      </c>
      <c r="K499" t="s">
        <v>1096</v>
      </c>
      <c r="L499">
        <v>1133.08</v>
      </c>
      <c r="M499">
        <v>976.17</v>
      </c>
      <c r="N499">
        <v>4.2000000000000003E-2</v>
      </c>
      <c r="O499">
        <v>27</v>
      </c>
    </row>
    <row r="500" spans="1:15" x14ac:dyDescent="0.35">
      <c r="A500" t="s">
        <v>1097</v>
      </c>
      <c r="B500" s="1">
        <v>45224</v>
      </c>
      <c r="C500" s="1">
        <v>45227</v>
      </c>
      <c r="D500" t="s">
        <v>52</v>
      </c>
      <c r="E500" t="s">
        <v>73</v>
      </c>
      <c r="F500" t="s">
        <v>87</v>
      </c>
      <c r="G500" t="s">
        <v>19</v>
      </c>
      <c r="H500" t="s">
        <v>55</v>
      </c>
      <c r="I500" t="s">
        <v>49</v>
      </c>
      <c r="J500" t="s">
        <v>81</v>
      </c>
      <c r="K500" t="s">
        <v>1098</v>
      </c>
      <c r="L500">
        <v>509.31</v>
      </c>
      <c r="M500">
        <v>1145.9000000000001</v>
      </c>
      <c r="N500">
        <v>5.7000000000000002E-2</v>
      </c>
      <c r="O500">
        <v>8</v>
      </c>
    </row>
    <row r="501" spans="1:15" x14ac:dyDescent="0.35">
      <c r="A501" t="s">
        <v>1099</v>
      </c>
      <c r="B501" s="1">
        <v>45908</v>
      </c>
      <c r="C501" s="1">
        <v>45935</v>
      </c>
      <c r="D501" t="s">
        <v>52</v>
      </c>
      <c r="E501" t="s">
        <v>73</v>
      </c>
      <c r="F501" t="s">
        <v>225</v>
      </c>
      <c r="G501" t="s">
        <v>27</v>
      </c>
      <c r="H501" t="s">
        <v>28</v>
      </c>
      <c r="I501" t="s">
        <v>21</v>
      </c>
      <c r="J501" t="s">
        <v>64</v>
      </c>
      <c r="K501" t="s">
        <v>1100</v>
      </c>
      <c r="L501">
        <v>660.78</v>
      </c>
      <c r="M501">
        <v>1630.39</v>
      </c>
      <c r="N501">
        <v>0.218</v>
      </c>
      <c r="O501">
        <v>13</v>
      </c>
    </row>
    <row r="502" spans="1:15" x14ac:dyDescent="0.35">
      <c r="A502" t="s">
        <v>1101</v>
      </c>
      <c r="B502" s="1">
        <v>45048</v>
      </c>
      <c r="C502" s="1">
        <v>45062</v>
      </c>
      <c r="D502" t="s">
        <v>45</v>
      </c>
      <c r="E502" t="s">
        <v>60</v>
      </c>
      <c r="F502" t="s">
        <v>61</v>
      </c>
      <c r="G502" t="s">
        <v>39</v>
      </c>
      <c r="H502" t="s">
        <v>20</v>
      </c>
      <c r="I502" t="s">
        <v>49</v>
      </c>
      <c r="J502" t="s">
        <v>64</v>
      </c>
      <c r="K502" t="s">
        <v>1102</v>
      </c>
      <c r="L502">
        <v>475.37</v>
      </c>
      <c r="M502">
        <v>963.73</v>
      </c>
      <c r="N502">
        <v>4.1000000000000002E-2</v>
      </c>
      <c r="O502">
        <v>22</v>
      </c>
    </row>
    <row r="503" spans="1:15" x14ac:dyDescent="0.35">
      <c r="A503" t="s">
        <v>1103</v>
      </c>
      <c r="B503" s="1">
        <v>45408</v>
      </c>
      <c r="C503" s="1">
        <v>45406</v>
      </c>
      <c r="D503" t="s">
        <v>78</v>
      </c>
      <c r="E503" t="s">
        <v>108</v>
      </c>
      <c r="F503" t="s">
        <v>152</v>
      </c>
      <c r="G503" t="s">
        <v>39</v>
      </c>
      <c r="H503" t="s">
        <v>55</v>
      </c>
      <c r="I503" t="s">
        <v>126</v>
      </c>
      <c r="J503" t="s">
        <v>42</v>
      </c>
      <c r="K503" t="s">
        <v>1104</v>
      </c>
      <c r="L503">
        <v>1232.77</v>
      </c>
      <c r="M503">
        <v>891.73</v>
      </c>
      <c r="N503">
        <v>0.16700000000000001</v>
      </c>
      <c r="O503">
        <v>10</v>
      </c>
    </row>
    <row r="504" spans="1:15" x14ac:dyDescent="0.35">
      <c r="A504" t="s">
        <v>1105</v>
      </c>
      <c r="B504" s="1">
        <v>44980</v>
      </c>
      <c r="C504" s="1">
        <v>45003</v>
      </c>
      <c r="D504" t="s">
        <v>45</v>
      </c>
      <c r="E504" t="s">
        <v>116</v>
      </c>
      <c r="F504" t="s">
        <v>338</v>
      </c>
      <c r="G504" t="s">
        <v>27</v>
      </c>
      <c r="H504" t="s">
        <v>55</v>
      </c>
      <c r="I504" t="s">
        <v>95</v>
      </c>
      <c r="J504" t="s">
        <v>30</v>
      </c>
      <c r="K504" t="s">
        <v>1106</v>
      </c>
      <c r="L504">
        <v>770.11</v>
      </c>
      <c r="M504">
        <v>1667.82</v>
      </c>
      <c r="N504">
        <v>6.9000000000000006E-2</v>
      </c>
      <c r="O504">
        <v>7</v>
      </c>
    </row>
    <row r="505" spans="1:15" x14ac:dyDescent="0.35">
      <c r="A505" t="s">
        <v>1107</v>
      </c>
      <c r="B505" s="1">
        <v>45740</v>
      </c>
      <c r="C505" s="1">
        <v>45741</v>
      </c>
      <c r="D505" t="s">
        <v>45</v>
      </c>
      <c r="E505" t="s">
        <v>116</v>
      </c>
      <c r="F505" t="s">
        <v>338</v>
      </c>
      <c r="G505" t="s">
        <v>39</v>
      </c>
      <c r="H505" t="s">
        <v>28</v>
      </c>
      <c r="I505" t="s">
        <v>41</v>
      </c>
      <c r="J505" t="s">
        <v>35</v>
      </c>
      <c r="K505" t="s">
        <v>1108</v>
      </c>
      <c r="L505">
        <v>1133.03</v>
      </c>
      <c r="M505">
        <v>1921.51</v>
      </c>
      <c r="N505">
        <v>0.10100000000000001</v>
      </c>
      <c r="O505">
        <v>5</v>
      </c>
    </row>
    <row r="506" spans="1:15" x14ac:dyDescent="0.35">
      <c r="A506" t="s">
        <v>1109</v>
      </c>
      <c r="B506" s="1">
        <v>45726</v>
      </c>
      <c r="C506" s="1">
        <v>45743</v>
      </c>
      <c r="D506" t="s">
        <v>52</v>
      </c>
      <c r="E506" t="s">
        <v>73</v>
      </c>
      <c r="F506" t="s">
        <v>225</v>
      </c>
      <c r="G506" t="s">
        <v>105</v>
      </c>
      <c r="H506" t="s">
        <v>98</v>
      </c>
      <c r="I506" t="s">
        <v>84</v>
      </c>
      <c r="J506" t="s">
        <v>35</v>
      </c>
      <c r="K506" t="s">
        <v>1110</v>
      </c>
      <c r="L506">
        <v>996.73</v>
      </c>
      <c r="M506">
        <v>1217.43</v>
      </c>
      <c r="N506">
        <v>7.0000000000000007E-2</v>
      </c>
      <c r="O506">
        <v>9</v>
      </c>
    </row>
    <row r="507" spans="1:15" x14ac:dyDescent="0.35">
      <c r="A507" t="s">
        <v>1111</v>
      </c>
      <c r="B507" s="1">
        <v>45387</v>
      </c>
      <c r="C507" s="1">
        <v>45391</v>
      </c>
      <c r="D507" t="s">
        <v>16</v>
      </c>
      <c r="E507" t="s">
        <v>25</v>
      </c>
      <c r="F507" t="s">
        <v>38</v>
      </c>
      <c r="G507" t="s">
        <v>39</v>
      </c>
      <c r="H507" t="s">
        <v>98</v>
      </c>
      <c r="I507" t="s">
        <v>95</v>
      </c>
      <c r="J507" t="s">
        <v>22</v>
      </c>
      <c r="K507" t="s">
        <v>1112</v>
      </c>
      <c r="L507">
        <v>395.07</v>
      </c>
      <c r="M507">
        <v>970.27</v>
      </c>
      <c r="N507">
        <v>0.123</v>
      </c>
      <c r="O507">
        <v>38</v>
      </c>
    </row>
    <row r="508" spans="1:15" x14ac:dyDescent="0.35">
      <c r="A508" t="s">
        <v>1113</v>
      </c>
      <c r="B508" s="1">
        <v>45774</v>
      </c>
      <c r="C508" s="1">
        <v>45794</v>
      </c>
      <c r="D508" t="s">
        <v>52</v>
      </c>
      <c r="E508" t="s">
        <v>122</v>
      </c>
      <c r="F508" t="s">
        <v>326</v>
      </c>
      <c r="G508" t="s">
        <v>19</v>
      </c>
      <c r="H508" t="s">
        <v>98</v>
      </c>
      <c r="I508" t="s">
        <v>126</v>
      </c>
      <c r="J508" t="s">
        <v>42</v>
      </c>
      <c r="K508" t="s">
        <v>1114</v>
      </c>
      <c r="L508">
        <v>932.26</v>
      </c>
      <c r="M508">
        <v>1624.67</v>
      </c>
      <c r="N508">
        <v>0.23499999999999999</v>
      </c>
      <c r="O508">
        <v>28</v>
      </c>
    </row>
    <row r="509" spans="1:15" x14ac:dyDescent="0.35">
      <c r="A509" t="s">
        <v>1115</v>
      </c>
      <c r="B509" s="1">
        <v>45589</v>
      </c>
      <c r="C509" s="1">
        <v>45593</v>
      </c>
      <c r="D509" t="s">
        <v>45</v>
      </c>
      <c r="E509" t="s">
        <v>116</v>
      </c>
      <c r="F509" t="s">
        <v>162</v>
      </c>
      <c r="G509" t="s">
        <v>62</v>
      </c>
      <c r="H509" t="s">
        <v>55</v>
      </c>
      <c r="I509" t="s">
        <v>34</v>
      </c>
      <c r="J509" t="s">
        <v>35</v>
      </c>
      <c r="K509" t="s">
        <v>1116</v>
      </c>
      <c r="L509">
        <v>1331.77</v>
      </c>
      <c r="M509">
        <v>2606.11</v>
      </c>
      <c r="N509">
        <v>0.02</v>
      </c>
      <c r="O509">
        <v>6</v>
      </c>
    </row>
    <row r="510" spans="1:15" x14ac:dyDescent="0.35">
      <c r="A510" t="s">
        <v>1117</v>
      </c>
      <c r="B510" s="1">
        <v>45029</v>
      </c>
      <c r="C510" s="1">
        <v>45036</v>
      </c>
      <c r="D510" t="s">
        <v>78</v>
      </c>
      <c r="E510" t="s">
        <v>90</v>
      </c>
      <c r="F510" t="s">
        <v>138</v>
      </c>
      <c r="G510" t="s">
        <v>62</v>
      </c>
      <c r="H510" t="s">
        <v>28</v>
      </c>
      <c r="I510" t="s">
        <v>75</v>
      </c>
      <c r="J510" t="s">
        <v>57</v>
      </c>
      <c r="K510" t="s">
        <v>1118</v>
      </c>
      <c r="L510">
        <v>227.02</v>
      </c>
      <c r="M510">
        <v>434.72</v>
      </c>
      <c r="N510">
        <v>9.8000000000000004E-2</v>
      </c>
      <c r="O510">
        <v>10</v>
      </c>
    </row>
    <row r="511" spans="1:15" x14ac:dyDescent="0.35">
      <c r="A511" t="s">
        <v>1119</v>
      </c>
      <c r="B511" s="1">
        <v>45608</v>
      </c>
      <c r="C511" s="1">
        <v>45617</v>
      </c>
      <c r="D511" t="s">
        <v>45</v>
      </c>
      <c r="E511" t="s">
        <v>60</v>
      </c>
      <c r="F511" t="s">
        <v>220</v>
      </c>
      <c r="G511" t="s">
        <v>19</v>
      </c>
      <c r="H511" t="s">
        <v>98</v>
      </c>
      <c r="I511" t="s">
        <v>92</v>
      </c>
      <c r="J511" t="s">
        <v>57</v>
      </c>
      <c r="K511" t="s">
        <v>1120</v>
      </c>
      <c r="L511">
        <v>903.41</v>
      </c>
      <c r="M511">
        <v>1860.41</v>
      </c>
      <c r="N511">
        <v>0.108</v>
      </c>
      <c r="O511">
        <v>5</v>
      </c>
    </row>
    <row r="512" spans="1:15" x14ac:dyDescent="0.35">
      <c r="A512" t="s">
        <v>1121</v>
      </c>
      <c r="B512" s="1">
        <v>45056</v>
      </c>
      <c r="C512" s="1">
        <v>45060</v>
      </c>
      <c r="D512" t="s">
        <v>45</v>
      </c>
      <c r="E512" t="s">
        <v>60</v>
      </c>
      <c r="F512" t="s">
        <v>141</v>
      </c>
      <c r="G512" t="s">
        <v>39</v>
      </c>
      <c r="H512" t="s">
        <v>55</v>
      </c>
      <c r="I512" t="s">
        <v>21</v>
      </c>
      <c r="J512" t="s">
        <v>64</v>
      </c>
      <c r="K512" t="s">
        <v>1122</v>
      </c>
      <c r="L512">
        <v>622.6</v>
      </c>
      <c r="M512">
        <v>833.69</v>
      </c>
      <c r="N512">
        <v>0.20899999999999999</v>
      </c>
      <c r="O512">
        <v>14</v>
      </c>
    </row>
    <row r="513" spans="1:15" x14ac:dyDescent="0.35">
      <c r="A513" t="s">
        <v>1123</v>
      </c>
      <c r="B513" s="1">
        <v>45353</v>
      </c>
      <c r="C513" s="1">
        <v>45374</v>
      </c>
      <c r="D513" t="s">
        <v>52</v>
      </c>
      <c r="E513" t="s">
        <v>122</v>
      </c>
      <c r="F513" t="s">
        <v>123</v>
      </c>
      <c r="G513" t="s">
        <v>62</v>
      </c>
      <c r="H513" t="s">
        <v>28</v>
      </c>
      <c r="I513" t="s">
        <v>84</v>
      </c>
      <c r="J513" t="s">
        <v>22</v>
      </c>
      <c r="K513" t="s">
        <v>1124</v>
      </c>
      <c r="L513">
        <v>225.01</v>
      </c>
      <c r="M513">
        <v>333.48</v>
      </c>
      <c r="N513">
        <v>0.11899999999999999</v>
      </c>
      <c r="O513">
        <v>12</v>
      </c>
    </row>
    <row r="514" spans="1:15" x14ac:dyDescent="0.35">
      <c r="A514" t="s">
        <v>1125</v>
      </c>
      <c r="B514" s="1">
        <v>45575</v>
      </c>
      <c r="C514" s="1">
        <v>45576</v>
      </c>
      <c r="D514" t="s">
        <v>78</v>
      </c>
      <c r="E514" t="s">
        <v>108</v>
      </c>
      <c r="F514" t="s">
        <v>228</v>
      </c>
      <c r="G514" t="s">
        <v>39</v>
      </c>
      <c r="H514" t="s">
        <v>55</v>
      </c>
      <c r="I514" t="s">
        <v>49</v>
      </c>
      <c r="J514" t="s">
        <v>22</v>
      </c>
      <c r="K514" t="s">
        <v>1126</v>
      </c>
      <c r="L514">
        <v>1389.46</v>
      </c>
      <c r="M514">
        <v>1784.7</v>
      </c>
      <c r="N514">
        <v>0.14599999999999999</v>
      </c>
      <c r="O514">
        <v>33</v>
      </c>
    </row>
    <row r="515" spans="1:15" x14ac:dyDescent="0.35">
      <c r="A515" t="s">
        <v>1127</v>
      </c>
      <c r="B515" s="1">
        <v>45078</v>
      </c>
      <c r="C515" s="1">
        <v>45085</v>
      </c>
      <c r="D515" t="s">
        <v>78</v>
      </c>
      <c r="E515" t="s">
        <v>79</v>
      </c>
      <c r="F515" t="s">
        <v>335</v>
      </c>
      <c r="G515" t="s">
        <v>48</v>
      </c>
      <c r="H515" t="s">
        <v>28</v>
      </c>
      <c r="I515" t="s">
        <v>75</v>
      </c>
      <c r="J515" t="s">
        <v>42</v>
      </c>
      <c r="K515" t="s">
        <v>1128</v>
      </c>
      <c r="L515">
        <v>804.17</v>
      </c>
      <c r="M515">
        <v>1072.29</v>
      </c>
      <c r="N515">
        <v>3.2000000000000001E-2</v>
      </c>
      <c r="O515">
        <v>5</v>
      </c>
    </row>
    <row r="516" spans="1:15" x14ac:dyDescent="0.35">
      <c r="A516" t="s">
        <v>1129</v>
      </c>
      <c r="B516" s="1">
        <v>45661</v>
      </c>
      <c r="C516" s="1">
        <v>45662</v>
      </c>
      <c r="D516" t="s">
        <v>45</v>
      </c>
      <c r="E516" t="s">
        <v>60</v>
      </c>
      <c r="F516" t="s">
        <v>141</v>
      </c>
      <c r="G516" t="s">
        <v>27</v>
      </c>
      <c r="H516" t="s">
        <v>20</v>
      </c>
      <c r="I516" t="s">
        <v>34</v>
      </c>
      <c r="J516" t="s">
        <v>22</v>
      </c>
      <c r="K516" t="s">
        <v>1130</v>
      </c>
      <c r="L516">
        <v>1428.33</v>
      </c>
      <c r="M516">
        <v>3028.05</v>
      </c>
      <c r="N516">
        <v>0</v>
      </c>
      <c r="O516">
        <v>11</v>
      </c>
    </row>
    <row r="517" spans="1:15" x14ac:dyDescent="0.35">
      <c r="A517" t="s">
        <v>1131</v>
      </c>
      <c r="B517" s="1">
        <v>45874</v>
      </c>
      <c r="C517" s="1">
        <v>45897</v>
      </c>
      <c r="D517" t="s">
        <v>45</v>
      </c>
      <c r="E517" t="s">
        <v>60</v>
      </c>
      <c r="F517" t="s">
        <v>220</v>
      </c>
      <c r="G517" t="s">
        <v>39</v>
      </c>
      <c r="H517" t="s">
        <v>55</v>
      </c>
      <c r="I517" t="s">
        <v>126</v>
      </c>
      <c r="J517" t="s">
        <v>57</v>
      </c>
      <c r="K517" t="s">
        <v>1132</v>
      </c>
      <c r="L517">
        <v>638.54</v>
      </c>
      <c r="M517">
        <v>987.24</v>
      </c>
      <c r="N517">
        <v>0</v>
      </c>
      <c r="O517">
        <v>11</v>
      </c>
    </row>
    <row r="518" spans="1:15" x14ac:dyDescent="0.35">
      <c r="A518" t="s">
        <v>1133</v>
      </c>
      <c r="B518" s="1">
        <v>45199</v>
      </c>
      <c r="C518" s="1">
        <v>45229</v>
      </c>
      <c r="D518" t="s">
        <v>45</v>
      </c>
      <c r="E518" t="s">
        <v>46</v>
      </c>
      <c r="F518" t="s">
        <v>214</v>
      </c>
      <c r="G518" t="s">
        <v>105</v>
      </c>
      <c r="H518" t="s">
        <v>28</v>
      </c>
      <c r="I518" t="s">
        <v>145</v>
      </c>
      <c r="J518" t="s">
        <v>30</v>
      </c>
      <c r="K518" t="s">
        <v>1134</v>
      </c>
      <c r="L518">
        <v>649.13</v>
      </c>
      <c r="M518">
        <v>975.43</v>
      </c>
      <c r="N518">
        <v>0.157</v>
      </c>
      <c r="O518">
        <v>27</v>
      </c>
    </row>
    <row r="519" spans="1:15" x14ac:dyDescent="0.35">
      <c r="A519" t="s">
        <v>1135</v>
      </c>
      <c r="B519" s="1">
        <v>45794</v>
      </c>
      <c r="C519" s="1">
        <v>45807</v>
      </c>
      <c r="D519" t="s">
        <v>16</v>
      </c>
      <c r="E519" t="s">
        <v>25</v>
      </c>
      <c r="F519" t="s">
        <v>38</v>
      </c>
      <c r="G519" t="s">
        <v>48</v>
      </c>
      <c r="H519" t="s">
        <v>55</v>
      </c>
      <c r="I519" t="s">
        <v>84</v>
      </c>
      <c r="J519" t="s">
        <v>81</v>
      </c>
      <c r="K519" t="s">
        <v>1136</v>
      </c>
      <c r="L519">
        <v>66.400000000000006</v>
      </c>
      <c r="M519">
        <v>141.43</v>
      </c>
      <c r="N519">
        <v>0.107</v>
      </c>
      <c r="O519">
        <v>8</v>
      </c>
    </row>
    <row r="520" spans="1:15" x14ac:dyDescent="0.35">
      <c r="A520" t="s">
        <v>1137</v>
      </c>
      <c r="B520" s="1">
        <v>45413</v>
      </c>
      <c r="C520" s="1">
        <v>45438</v>
      </c>
      <c r="D520" t="s">
        <v>78</v>
      </c>
      <c r="E520" t="s">
        <v>79</v>
      </c>
      <c r="F520" t="s">
        <v>80</v>
      </c>
      <c r="G520" t="s">
        <v>39</v>
      </c>
      <c r="H520" t="s">
        <v>20</v>
      </c>
      <c r="I520" t="s">
        <v>56</v>
      </c>
      <c r="J520" t="s">
        <v>35</v>
      </c>
      <c r="K520" t="s">
        <v>1138</v>
      </c>
      <c r="L520">
        <v>930.71</v>
      </c>
      <c r="M520">
        <v>1625.42</v>
      </c>
      <c r="N520">
        <v>0.13800000000000001</v>
      </c>
      <c r="O520">
        <v>7</v>
      </c>
    </row>
    <row r="521" spans="1:15" x14ac:dyDescent="0.35">
      <c r="A521" t="s">
        <v>1139</v>
      </c>
      <c r="B521" s="1">
        <v>45047</v>
      </c>
      <c r="C521" s="1">
        <v>45064</v>
      </c>
      <c r="D521" t="s">
        <v>16</v>
      </c>
      <c r="E521" t="s">
        <v>25</v>
      </c>
      <c r="F521" t="s">
        <v>26</v>
      </c>
      <c r="G521" t="s">
        <v>19</v>
      </c>
      <c r="H521" t="s">
        <v>98</v>
      </c>
      <c r="I521" t="s">
        <v>84</v>
      </c>
      <c r="J521" t="s">
        <v>22</v>
      </c>
      <c r="K521" t="s">
        <v>1140</v>
      </c>
      <c r="L521">
        <v>327.97</v>
      </c>
      <c r="M521">
        <v>299.94</v>
      </c>
      <c r="N521">
        <v>4.9000000000000002E-2</v>
      </c>
      <c r="O521">
        <v>3</v>
      </c>
    </row>
    <row r="522" spans="1:15" x14ac:dyDescent="0.35">
      <c r="A522" t="s">
        <v>1141</v>
      </c>
      <c r="B522" s="1">
        <v>45482</v>
      </c>
      <c r="C522" s="1">
        <v>45512</v>
      </c>
      <c r="D522" t="s">
        <v>78</v>
      </c>
      <c r="E522" t="s">
        <v>90</v>
      </c>
      <c r="F522" t="s">
        <v>91</v>
      </c>
      <c r="G522" t="s">
        <v>19</v>
      </c>
      <c r="H522" t="s">
        <v>98</v>
      </c>
      <c r="I522" t="s">
        <v>29</v>
      </c>
      <c r="J522" t="s">
        <v>22</v>
      </c>
      <c r="K522" t="s">
        <v>1142</v>
      </c>
      <c r="L522">
        <v>1062.3800000000001</v>
      </c>
      <c r="M522">
        <v>1503.96</v>
      </c>
      <c r="N522">
        <v>0.18</v>
      </c>
      <c r="O522">
        <v>6</v>
      </c>
    </row>
    <row r="523" spans="1:15" x14ac:dyDescent="0.35">
      <c r="A523" t="s">
        <v>1143</v>
      </c>
      <c r="B523" s="1">
        <v>45056</v>
      </c>
      <c r="C523" s="1">
        <v>45073</v>
      </c>
      <c r="D523" t="s">
        <v>45</v>
      </c>
      <c r="E523" t="s">
        <v>60</v>
      </c>
      <c r="F523" t="s">
        <v>220</v>
      </c>
      <c r="G523" t="s">
        <v>48</v>
      </c>
      <c r="H523" t="s">
        <v>20</v>
      </c>
      <c r="I523" t="s">
        <v>110</v>
      </c>
      <c r="J523" t="s">
        <v>57</v>
      </c>
      <c r="K523" t="s">
        <v>1144</v>
      </c>
      <c r="L523">
        <v>1286.1600000000001</v>
      </c>
      <c r="M523">
        <v>3101.11</v>
      </c>
      <c r="N523">
        <v>0.1</v>
      </c>
      <c r="O523">
        <v>23</v>
      </c>
    </row>
    <row r="524" spans="1:15" x14ac:dyDescent="0.35">
      <c r="A524" t="s">
        <v>1145</v>
      </c>
      <c r="B524" s="1">
        <v>45482</v>
      </c>
      <c r="C524" s="1">
        <v>45485</v>
      </c>
      <c r="D524" t="s">
        <v>45</v>
      </c>
      <c r="E524" t="s">
        <v>116</v>
      </c>
      <c r="F524" t="s">
        <v>162</v>
      </c>
      <c r="G524" t="s">
        <v>62</v>
      </c>
      <c r="H524" t="s">
        <v>20</v>
      </c>
      <c r="I524" t="s">
        <v>145</v>
      </c>
      <c r="J524" t="s">
        <v>81</v>
      </c>
      <c r="K524" t="s">
        <v>1146</v>
      </c>
      <c r="L524">
        <v>748.39</v>
      </c>
      <c r="M524">
        <v>979.42</v>
      </c>
      <c r="N524">
        <v>0</v>
      </c>
      <c r="O524">
        <v>23</v>
      </c>
    </row>
    <row r="525" spans="1:15" x14ac:dyDescent="0.35">
      <c r="A525" t="s">
        <v>1147</v>
      </c>
      <c r="B525" s="1">
        <v>45406</v>
      </c>
      <c r="C525" s="1">
        <v>45422</v>
      </c>
      <c r="D525" t="s">
        <v>16</v>
      </c>
      <c r="E525" t="s">
        <v>17</v>
      </c>
      <c r="F525" t="s">
        <v>18</v>
      </c>
      <c r="G525" t="s">
        <v>39</v>
      </c>
      <c r="H525" t="s">
        <v>28</v>
      </c>
      <c r="I525" t="s">
        <v>126</v>
      </c>
      <c r="J525" t="s">
        <v>64</v>
      </c>
      <c r="K525" t="s">
        <v>1148</v>
      </c>
      <c r="L525">
        <v>513.30999999999995</v>
      </c>
      <c r="M525">
        <v>1186.26</v>
      </c>
      <c r="N525">
        <v>9.4E-2</v>
      </c>
      <c r="O525">
        <v>15</v>
      </c>
    </row>
    <row r="526" spans="1:15" x14ac:dyDescent="0.35">
      <c r="A526" t="s">
        <v>1149</v>
      </c>
      <c r="B526" s="1">
        <v>45304</v>
      </c>
      <c r="C526" s="1">
        <v>45306</v>
      </c>
      <c r="D526" t="s">
        <v>52</v>
      </c>
      <c r="E526" t="s">
        <v>122</v>
      </c>
      <c r="F526" t="s">
        <v>167</v>
      </c>
      <c r="G526" t="s">
        <v>39</v>
      </c>
      <c r="H526" t="s">
        <v>98</v>
      </c>
      <c r="I526" t="s">
        <v>63</v>
      </c>
      <c r="J526" t="s">
        <v>22</v>
      </c>
      <c r="K526" t="s">
        <v>1150</v>
      </c>
      <c r="L526">
        <v>1061.3699999999999</v>
      </c>
      <c r="M526">
        <v>1938.33</v>
      </c>
      <c r="N526">
        <v>0.17</v>
      </c>
      <c r="O526">
        <v>4</v>
      </c>
    </row>
    <row r="527" spans="1:15" x14ac:dyDescent="0.35">
      <c r="A527" t="s">
        <v>1151</v>
      </c>
      <c r="B527" s="1">
        <v>45398</v>
      </c>
      <c r="C527" s="1">
        <v>45409</v>
      </c>
      <c r="D527" t="s">
        <v>16</v>
      </c>
      <c r="E527" t="s">
        <v>17</v>
      </c>
      <c r="F527" t="s">
        <v>135</v>
      </c>
      <c r="G527" t="s">
        <v>105</v>
      </c>
      <c r="H527" t="s">
        <v>28</v>
      </c>
      <c r="I527" t="s">
        <v>145</v>
      </c>
      <c r="J527" t="s">
        <v>30</v>
      </c>
      <c r="K527" t="s">
        <v>1152</v>
      </c>
      <c r="L527">
        <v>401.3</v>
      </c>
      <c r="M527">
        <v>826.47</v>
      </c>
      <c r="N527">
        <v>0.22500000000000001</v>
      </c>
      <c r="O527">
        <v>13</v>
      </c>
    </row>
    <row r="528" spans="1:15" x14ac:dyDescent="0.35">
      <c r="A528" t="s">
        <v>1153</v>
      </c>
      <c r="B528" s="1">
        <v>45695</v>
      </c>
      <c r="C528" s="1">
        <v>45704</v>
      </c>
      <c r="D528" t="s">
        <v>16</v>
      </c>
      <c r="E528" t="s">
        <v>25</v>
      </c>
      <c r="F528" t="s">
        <v>38</v>
      </c>
      <c r="G528" t="s">
        <v>62</v>
      </c>
      <c r="H528" t="s">
        <v>55</v>
      </c>
      <c r="I528" t="s">
        <v>21</v>
      </c>
      <c r="J528" t="s">
        <v>30</v>
      </c>
      <c r="K528" t="s">
        <v>1154</v>
      </c>
      <c r="L528">
        <v>90.68</v>
      </c>
      <c r="M528">
        <v>118.17</v>
      </c>
      <c r="N528">
        <v>0.13500000000000001</v>
      </c>
      <c r="O528">
        <v>21</v>
      </c>
    </row>
    <row r="529" spans="1:15" x14ac:dyDescent="0.35">
      <c r="A529" t="s">
        <v>1155</v>
      </c>
      <c r="B529" s="1">
        <v>44938</v>
      </c>
      <c r="C529" s="1">
        <v>44952</v>
      </c>
      <c r="D529" t="s">
        <v>45</v>
      </c>
      <c r="E529" t="s">
        <v>116</v>
      </c>
      <c r="F529" t="s">
        <v>117</v>
      </c>
      <c r="G529" t="s">
        <v>39</v>
      </c>
      <c r="H529" t="s">
        <v>20</v>
      </c>
      <c r="I529" t="s">
        <v>110</v>
      </c>
      <c r="J529" t="s">
        <v>30</v>
      </c>
      <c r="K529" t="s">
        <v>1156</v>
      </c>
      <c r="L529">
        <v>1083.0899999999999</v>
      </c>
      <c r="M529">
        <v>1425.87</v>
      </c>
      <c r="N529">
        <v>0</v>
      </c>
      <c r="O529">
        <v>8</v>
      </c>
    </row>
    <row r="530" spans="1:15" x14ac:dyDescent="0.35">
      <c r="A530" t="s">
        <v>1157</v>
      </c>
      <c r="B530" s="1">
        <v>45448</v>
      </c>
      <c r="C530" s="1">
        <v>45466</v>
      </c>
      <c r="D530" t="s">
        <v>16</v>
      </c>
      <c r="E530" t="s">
        <v>17</v>
      </c>
      <c r="F530" t="s">
        <v>33</v>
      </c>
      <c r="G530" t="s">
        <v>48</v>
      </c>
      <c r="H530" t="s">
        <v>55</v>
      </c>
      <c r="I530" t="s">
        <v>145</v>
      </c>
      <c r="J530" t="s">
        <v>57</v>
      </c>
      <c r="K530" t="s">
        <v>1158</v>
      </c>
      <c r="L530">
        <v>1208.74</v>
      </c>
      <c r="M530">
        <v>1594.78</v>
      </c>
      <c r="N530">
        <v>5.8999999999999997E-2</v>
      </c>
      <c r="O530">
        <v>39</v>
      </c>
    </row>
    <row r="531" spans="1:15" x14ac:dyDescent="0.35">
      <c r="A531" t="s">
        <v>1159</v>
      </c>
      <c r="B531" s="1">
        <v>45162</v>
      </c>
      <c r="C531" s="1">
        <v>45189</v>
      </c>
      <c r="D531" t="s">
        <v>16</v>
      </c>
      <c r="E531" t="s">
        <v>148</v>
      </c>
      <c r="F531" t="s">
        <v>172</v>
      </c>
      <c r="G531" t="s">
        <v>62</v>
      </c>
      <c r="H531" t="s">
        <v>40</v>
      </c>
      <c r="I531" t="s">
        <v>110</v>
      </c>
      <c r="J531" t="s">
        <v>30</v>
      </c>
      <c r="K531" t="s">
        <v>1160</v>
      </c>
      <c r="L531">
        <v>1399.64</v>
      </c>
      <c r="M531">
        <v>3342.11</v>
      </c>
      <c r="N531">
        <v>0</v>
      </c>
      <c r="O531">
        <v>10</v>
      </c>
    </row>
    <row r="532" spans="1:15" x14ac:dyDescent="0.35">
      <c r="A532" t="s">
        <v>1161</v>
      </c>
      <c r="B532" s="1">
        <v>45316</v>
      </c>
      <c r="C532" s="1">
        <v>45330</v>
      </c>
      <c r="D532" t="s">
        <v>45</v>
      </c>
      <c r="E532" t="s">
        <v>46</v>
      </c>
      <c r="F532" t="s">
        <v>47</v>
      </c>
      <c r="G532" t="s">
        <v>48</v>
      </c>
      <c r="H532" t="s">
        <v>40</v>
      </c>
      <c r="I532" t="s">
        <v>34</v>
      </c>
      <c r="J532" t="s">
        <v>35</v>
      </c>
      <c r="K532" t="s">
        <v>1162</v>
      </c>
      <c r="L532">
        <v>937.16</v>
      </c>
      <c r="M532">
        <v>1069.77</v>
      </c>
      <c r="N532">
        <v>3.7999999999999999E-2</v>
      </c>
      <c r="O532">
        <v>9</v>
      </c>
    </row>
    <row r="533" spans="1:15" x14ac:dyDescent="0.35">
      <c r="A533" t="s">
        <v>1163</v>
      </c>
      <c r="B533" s="1">
        <v>45727</v>
      </c>
      <c r="C533" s="1">
        <v>45742</v>
      </c>
      <c r="D533" t="s">
        <v>78</v>
      </c>
      <c r="E533" t="s">
        <v>79</v>
      </c>
      <c r="F533" t="s">
        <v>80</v>
      </c>
      <c r="G533" t="s">
        <v>62</v>
      </c>
      <c r="H533" t="s">
        <v>28</v>
      </c>
      <c r="I533" t="s">
        <v>34</v>
      </c>
      <c r="J533" t="s">
        <v>42</v>
      </c>
      <c r="K533" t="s">
        <v>1164</v>
      </c>
      <c r="L533">
        <v>116.97</v>
      </c>
      <c r="M533">
        <v>140.82</v>
      </c>
      <c r="N533">
        <v>0.122</v>
      </c>
      <c r="O533">
        <v>5</v>
      </c>
    </row>
    <row r="534" spans="1:15" x14ac:dyDescent="0.35">
      <c r="A534" t="s">
        <v>1165</v>
      </c>
      <c r="B534" s="1">
        <v>45769</v>
      </c>
      <c r="C534" s="1">
        <v>45789</v>
      </c>
      <c r="D534" t="s">
        <v>78</v>
      </c>
      <c r="E534" t="s">
        <v>90</v>
      </c>
      <c r="F534" t="s">
        <v>138</v>
      </c>
      <c r="G534" t="s">
        <v>105</v>
      </c>
      <c r="H534" t="s">
        <v>40</v>
      </c>
      <c r="I534" t="s">
        <v>95</v>
      </c>
      <c r="J534" t="s">
        <v>64</v>
      </c>
      <c r="K534" t="s">
        <v>1166</v>
      </c>
      <c r="L534">
        <v>59.51</v>
      </c>
      <c r="M534">
        <v>67.040000000000006</v>
      </c>
      <c r="N534">
        <v>0.114</v>
      </c>
      <c r="O534">
        <v>9</v>
      </c>
    </row>
    <row r="535" spans="1:15" x14ac:dyDescent="0.35">
      <c r="A535" t="s">
        <v>1167</v>
      </c>
      <c r="B535" s="1">
        <v>45155</v>
      </c>
      <c r="C535" s="1">
        <v>45172</v>
      </c>
      <c r="D535" t="s">
        <v>16</v>
      </c>
      <c r="E535" t="s">
        <v>148</v>
      </c>
      <c r="F535" t="s">
        <v>172</v>
      </c>
      <c r="G535" t="s">
        <v>105</v>
      </c>
      <c r="H535" t="s">
        <v>20</v>
      </c>
      <c r="I535" t="s">
        <v>75</v>
      </c>
      <c r="J535" t="s">
        <v>42</v>
      </c>
      <c r="K535" t="s">
        <v>1168</v>
      </c>
      <c r="L535">
        <v>676.37</v>
      </c>
      <c r="M535">
        <v>1276.67</v>
      </c>
      <c r="N535">
        <v>6.6000000000000003E-2</v>
      </c>
      <c r="O535">
        <v>10</v>
      </c>
    </row>
    <row r="536" spans="1:15" x14ac:dyDescent="0.35">
      <c r="A536" t="s">
        <v>1169</v>
      </c>
      <c r="B536" s="1">
        <v>45832</v>
      </c>
      <c r="C536" s="1">
        <v>45852</v>
      </c>
      <c r="D536" t="s">
        <v>16</v>
      </c>
      <c r="E536" t="s">
        <v>148</v>
      </c>
      <c r="F536" t="s">
        <v>149</v>
      </c>
      <c r="G536" t="s">
        <v>105</v>
      </c>
      <c r="H536" t="s">
        <v>40</v>
      </c>
      <c r="I536" t="s">
        <v>29</v>
      </c>
      <c r="J536" t="s">
        <v>57</v>
      </c>
      <c r="K536" t="s">
        <v>1170</v>
      </c>
      <c r="L536">
        <v>1151.06</v>
      </c>
      <c r="M536">
        <v>2821.36</v>
      </c>
      <c r="N536">
        <v>0.248</v>
      </c>
      <c r="O536">
        <v>20</v>
      </c>
    </row>
    <row r="537" spans="1:15" x14ac:dyDescent="0.35">
      <c r="A537" t="s">
        <v>1171</v>
      </c>
      <c r="B537" s="1">
        <v>45667</v>
      </c>
      <c r="C537" s="1">
        <v>45694</v>
      </c>
      <c r="D537" t="s">
        <v>52</v>
      </c>
      <c r="E537" t="s">
        <v>73</v>
      </c>
      <c r="F537" t="s">
        <v>87</v>
      </c>
      <c r="G537" t="s">
        <v>39</v>
      </c>
      <c r="H537" t="s">
        <v>20</v>
      </c>
      <c r="I537" t="s">
        <v>56</v>
      </c>
      <c r="J537" t="s">
        <v>57</v>
      </c>
      <c r="K537" t="s">
        <v>1172</v>
      </c>
      <c r="L537">
        <v>725.62</v>
      </c>
      <c r="M537">
        <v>1559.19</v>
      </c>
      <c r="N537">
        <v>0.19</v>
      </c>
      <c r="O537">
        <v>12</v>
      </c>
    </row>
    <row r="538" spans="1:15" x14ac:dyDescent="0.35">
      <c r="A538" t="s">
        <v>1173</v>
      </c>
      <c r="B538" s="1">
        <v>45108</v>
      </c>
      <c r="C538" s="1">
        <v>45118</v>
      </c>
      <c r="D538" t="s">
        <v>78</v>
      </c>
      <c r="E538" t="s">
        <v>90</v>
      </c>
      <c r="F538" t="s">
        <v>217</v>
      </c>
      <c r="G538" t="s">
        <v>19</v>
      </c>
      <c r="H538" t="s">
        <v>98</v>
      </c>
      <c r="I538" t="s">
        <v>84</v>
      </c>
      <c r="J538" t="s">
        <v>35</v>
      </c>
      <c r="K538" t="s">
        <v>1174</v>
      </c>
      <c r="L538">
        <v>479.5</v>
      </c>
      <c r="M538">
        <v>656.66</v>
      </c>
      <c r="N538">
        <v>0.14899999999999999</v>
      </c>
      <c r="O538">
        <v>14</v>
      </c>
    </row>
    <row r="539" spans="1:15" x14ac:dyDescent="0.35">
      <c r="A539" t="s">
        <v>1175</v>
      </c>
      <c r="B539" s="1">
        <v>45520</v>
      </c>
      <c r="C539" s="1">
        <v>45530</v>
      </c>
      <c r="D539" t="s">
        <v>52</v>
      </c>
      <c r="E539" t="s">
        <v>122</v>
      </c>
      <c r="F539" t="s">
        <v>123</v>
      </c>
      <c r="G539" t="s">
        <v>19</v>
      </c>
      <c r="H539" t="s">
        <v>55</v>
      </c>
      <c r="I539" t="s">
        <v>49</v>
      </c>
      <c r="J539" t="s">
        <v>57</v>
      </c>
      <c r="K539" t="s">
        <v>878</v>
      </c>
      <c r="L539">
        <v>1291.7</v>
      </c>
      <c r="M539">
        <v>2657.84</v>
      </c>
      <c r="N539">
        <v>8.6999999999999994E-2</v>
      </c>
      <c r="O539">
        <v>21</v>
      </c>
    </row>
    <row r="540" spans="1:15" x14ac:dyDescent="0.35">
      <c r="A540" t="s">
        <v>1176</v>
      </c>
      <c r="B540" s="1">
        <v>45114</v>
      </c>
      <c r="C540" s="1">
        <v>45120</v>
      </c>
      <c r="D540" t="s">
        <v>16</v>
      </c>
      <c r="E540" t="s">
        <v>148</v>
      </c>
      <c r="F540" t="s">
        <v>258</v>
      </c>
      <c r="G540" t="s">
        <v>62</v>
      </c>
      <c r="H540" t="s">
        <v>40</v>
      </c>
      <c r="I540" t="s">
        <v>56</v>
      </c>
      <c r="J540" t="s">
        <v>81</v>
      </c>
      <c r="K540" t="s">
        <v>1177</v>
      </c>
      <c r="L540">
        <v>612.59</v>
      </c>
      <c r="M540">
        <v>1424.74</v>
      </c>
      <c r="N540">
        <v>4.3999999999999997E-2</v>
      </c>
      <c r="O540">
        <v>15</v>
      </c>
    </row>
    <row r="541" spans="1:15" x14ac:dyDescent="0.35">
      <c r="A541" t="s">
        <v>1178</v>
      </c>
      <c r="B541" s="1">
        <v>45288</v>
      </c>
      <c r="C541" s="1">
        <v>45292</v>
      </c>
      <c r="D541" t="s">
        <v>16</v>
      </c>
      <c r="E541" t="s">
        <v>148</v>
      </c>
      <c r="F541" t="s">
        <v>258</v>
      </c>
      <c r="G541" t="s">
        <v>27</v>
      </c>
      <c r="H541" t="s">
        <v>55</v>
      </c>
      <c r="I541" t="s">
        <v>75</v>
      </c>
      <c r="J541" t="s">
        <v>30</v>
      </c>
      <c r="K541" t="s">
        <v>1179</v>
      </c>
      <c r="L541">
        <v>1141.8</v>
      </c>
      <c r="M541">
        <v>2318.7399999999998</v>
      </c>
      <c r="N541">
        <v>0.107</v>
      </c>
      <c r="O541">
        <v>32</v>
      </c>
    </row>
    <row r="542" spans="1:15" x14ac:dyDescent="0.35">
      <c r="A542" t="s">
        <v>1180</v>
      </c>
      <c r="B542" s="1">
        <v>44952</v>
      </c>
      <c r="C542" s="1">
        <v>44972</v>
      </c>
      <c r="D542" t="s">
        <v>78</v>
      </c>
      <c r="E542" t="s">
        <v>79</v>
      </c>
      <c r="F542" t="s">
        <v>80</v>
      </c>
      <c r="G542" t="s">
        <v>62</v>
      </c>
      <c r="H542" t="s">
        <v>28</v>
      </c>
      <c r="I542" t="s">
        <v>68</v>
      </c>
      <c r="J542" t="s">
        <v>35</v>
      </c>
      <c r="K542" t="s">
        <v>1181</v>
      </c>
      <c r="L542">
        <v>492.62</v>
      </c>
      <c r="M542">
        <v>366.7</v>
      </c>
      <c r="N542">
        <v>8.8999999999999996E-2</v>
      </c>
      <c r="O542">
        <v>10</v>
      </c>
    </row>
    <row r="543" spans="1:15" x14ac:dyDescent="0.35">
      <c r="A543" t="s">
        <v>1182</v>
      </c>
      <c r="B543" s="1">
        <v>45115</v>
      </c>
      <c r="C543" s="1">
        <v>45116</v>
      </c>
      <c r="D543" t="s">
        <v>16</v>
      </c>
      <c r="E543" t="s">
        <v>17</v>
      </c>
      <c r="F543" t="s">
        <v>33</v>
      </c>
      <c r="G543" t="s">
        <v>48</v>
      </c>
      <c r="H543" t="s">
        <v>28</v>
      </c>
      <c r="I543" t="s">
        <v>145</v>
      </c>
      <c r="J543" t="s">
        <v>57</v>
      </c>
      <c r="K543" t="s">
        <v>1183</v>
      </c>
      <c r="L543">
        <v>1258.72</v>
      </c>
      <c r="M543">
        <v>2797.41</v>
      </c>
      <c r="N543">
        <v>0</v>
      </c>
      <c r="O543">
        <v>7</v>
      </c>
    </row>
    <row r="544" spans="1:15" x14ac:dyDescent="0.35">
      <c r="A544" t="s">
        <v>1184</v>
      </c>
      <c r="B544" s="1">
        <v>45450</v>
      </c>
      <c r="C544" s="1">
        <v>45452</v>
      </c>
      <c r="D544" t="s">
        <v>45</v>
      </c>
      <c r="E544" t="s">
        <v>116</v>
      </c>
      <c r="F544" t="s">
        <v>162</v>
      </c>
      <c r="G544" t="s">
        <v>19</v>
      </c>
      <c r="H544" t="s">
        <v>20</v>
      </c>
      <c r="I544" t="s">
        <v>68</v>
      </c>
      <c r="J544" t="s">
        <v>64</v>
      </c>
      <c r="K544" t="s">
        <v>1185</v>
      </c>
      <c r="L544">
        <v>1370.28</v>
      </c>
      <c r="M544">
        <v>2209.66</v>
      </c>
      <c r="N544">
        <v>0.13300000000000001</v>
      </c>
      <c r="O544">
        <v>16</v>
      </c>
    </row>
    <row r="545" spans="1:15" x14ac:dyDescent="0.35">
      <c r="A545" t="s">
        <v>1186</v>
      </c>
      <c r="B545" s="1">
        <v>44968</v>
      </c>
      <c r="C545" s="1">
        <v>44969</v>
      </c>
      <c r="D545" t="s">
        <v>16</v>
      </c>
      <c r="E545" t="s">
        <v>25</v>
      </c>
      <c r="F545" t="s">
        <v>26</v>
      </c>
      <c r="G545" t="s">
        <v>39</v>
      </c>
      <c r="H545" t="s">
        <v>98</v>
      </c>
      <c r="I545" t="s">
        <v>145</v>
      </c>
      <c r="J545" t="s">
        <v>81</v>
      </c>
      <c r="K545" t="s">
        <v>1187</v>
      </c>
      <c r="L545">
        <v>944.61</v>
      </c>
      <c r="M545">
        <v>839.04</v>
      </c>
      <c r="N545">
        <v>5.8999999999999997E-2</v>
      </c>
      <c r="O545">
        <v>6</v>
      </c>
    </row>
    <row r="546" spans="1:15" x14ac:dyDescent="0.35">
      <c r="A546" t="s">
        <v>1188</v>
      </c>
      <c r="B546" s="1">
        <v>45108</v>
      </c>
      <c r="C546" s="1">
        <v>45115</v>
      </c>
      <c r="D546" t="s">
        <v>78</v>
      </c>
      <c r="E546" t="s">
        <v>79</v>
      </c>
      <c r="F546" t="s">
        <v>335</v>
      </c>
      <c r="G546" t="s">
        <v>62</v>
      </c>
      <c r="H546" t="s">
        <v>55</v>
      </c>
      <c r="I546" t="s">
        <v>126</v>
      </c>
      <c r="J546" t="s">
        <v>57</v>
      </c>
      <c r="K546" t="s">
        <v>1189</v>
      </c>
      <c r="L546">
        <v>460.21</v>
      </c>
      <c r="M546">
        <v>1139.1500000000001</v>
      </c>
      <c r="N546">
        <v>0.115</v>
      </c>
      <c r="O546">
        <v>14</v>
      </c>
    </row>
    <row r="547" spans="1:15" x14ac:dyDescent="0.35">
      <c r="A547" t="s">
        <v>1190</v>
      </c>
      <c r="B547" s="1">
        <v>45889</v>
      </c>
      <c r="C547" s="1">
        <v>45895</v>
      </c>
      <c r="D547" t="s">
        <v>52</v>
      </c>
      <c r="E547" t="s">
        <v>122</v>
      </c>
      <c r="F547" t="s">
        <v>387</v>
      </c>
      <c r="G547" t="s">
        <v>19</v>
      </c>
      <c r="H547" t="s">
        <v>20</v>
      </c>
      <c r="I547" t="s">
        <v>110</v>
      </c>
      <c r="J547" t="s">
        <v>35</v>
      </c>
      <c r="K547" t="s">
        <v>1191</v>
      </c>
      <c r="L547">
        <v>1304.95</v>
      </c>
      <c r="M547">
        <v>1712.03</v>
      </c>
      <c r="N547">
        <v>0.21199999999999999</v>
      </c>
      <c r="O547">
        <v>8</v>
      </c>
    </row>
    <row r="548" spans="1:15" x14ac:dyDescent="0.35">
      <c r="A548" t="s">
        <v>1192</v>
      </c>
      <c r="B548" s="1">
        <v>45355</v>
      </c>
      <c r="C548" s="1">
        <v>45367</v>
      </c>
      <c r="D548" t="s">
        <v>16</v>
      </c>
      <c r="E548" t="s">
        <v>148</v>
      </c>
      <c r="F548" t="s">
        <v>149</v>
      </c>
      <c r="G548" t="s">
        <v>105</v>
      </c>
      <c r="H548" t="s">
        <v>55</v>
      </c>
      <c r="I548" t="s">
        <v>110</v>
      </c>
      <c r="J548" t="s">
        <v>64</v>
      </c>
      <c r="K548" t="s">
        <v>1193</v>
      </c>
      <c r="L548">
        <v>441.08</v>
      </c>
      <c r="M548">
        <v>1054.29</v>
      </c>
      <c r="N548">
        <v>0.23699999999999999</v>
      </c>
      <c r="O548">
        <v>6</v>
      </c>
    </row>
    <row r="549" spans="1:15" x14ac:dyDescent="0.35">
      <c r="A549" t="s">
        <v>1194</v>
      </c>
      <c r="B549" s="1">
        <v>45177</v>
      </c>
      <c r="C549" s="1">
        <v>45201</v>
      </c>
      <c r="D549" t="s">
        <v>52</v>
      </c>
      <c r="E549" t="s">
        <v>53</v>
      </c>
      <c r="F549" t="s">
        <v>54</v>
      </c>
      <c r="G549" t="s">
        <v>27</v>
      </c>
      <c r="H549" t="s">
        <v>98</v>
      </c>
      <c r="I549" t="s">
        <v>75</v>
      </c>
      <c r="J549" t="s">
        <v>81</v>
      </c>
      <c r="K549" t="s">
        <v>1195</v>
      </c>
      <c r="L549">
        <v>1299.03</v>
      </c>
      <c r="M549">
        <v>2451.2199999999998</v>
      </c>
      <c r="N549">
        <v>0.20799999999999999</v>
      </c>
      <c r="O549">
        <v>8</v>
      </c>
    </row>
    <row r="550" spans="1:15" x14ac:dyDescent="0.35">
      <c r="A550" t="s">
        <v>1196</v>
      </c>
      <c r="B550" s="1">
        <v>44985</v>
      </c>
      <c r="C550" s="1">
        <v>44991</v>
      </c>
      <c r="D550" t="s">
        <v>78</v>
      </c>
      <c r="E550" t="s">
        <v>79</v>
      </c>
      <c r="F550" t="s">
        <v>335</v>
      </c>
      <c r="G550" t="s">
        <v>62</v>
      </c>
      <c r="H550" t="s">
        <v>40</v>
      </c>
      <c r="I550" t="s">
        <v>145</v>
      </c>
      <c r="J550" t="s">
        <v>30</v>
      </c>
      <c r="K550" t="s">
        <v>1197</v>
      </c>
      <c r="L550">
        <v>880.02</v>
      </c>
      <c r="M550">
        <v>1251.21</v>
      </c>
      <c r="N550">
        <v>0.123</v>
      </c>
      <c r="O550">
        <v>29</v>
      </c>
    </row>
    <row r="551" spans="1:15" x14ac:dyDescent="0.35">
      <c r="A551" t="s">
        <v>1198</v>
      </c>
      <c r="B551" s="1">
        <v>45486</v>
      </c>
      <c r="C551" s="1">
        <v>45507</v>
      </c>
      <c r="D551" t="s">
        <v>52</v>
      </c>
      <c r="E551" t="s">
        <v>73</v>
      </c>
      <c r="F551" t="s">
        <v>225</v>
      </c>
      <c r="G551" t="s">
        <v>19</v>
      </c>
      <c r="H551" t="s">
        <v>40</v>
      </c>
      <c r="I551" t="s">
        <v>110</v>
      </c>
      <c r="J551" t="s">
        <v>64</v>
      </c>
      <c r="K551" t="s">
        <v>1199</v>
      </c>
      <c r="L551">
        <v>702.98</v>
      </c>
      <c r="M551">
        <v>1104.8</v>
      </c>
      <c r="N551">
        <v>0.17499999999999999</v>
      </c>
      <c r="O551">
        <v>12</v>
      </c>
    </row>
    <row r="552" spans="1:15" x14ac:dyDescent="0.35">
      <c r="A552" t="s">
        <v>1200</v>
      </c>
      <c r="B552" s="1">
        <v>45633</v>
      </c>
      <c r="C552" s="1">
        <v>45652</v>
      </c>
      <c r="D552" t="s">
        <v>78</v>
      </c>
      <c r="E552" t="s">
        <v>108</v>
      </c>
      <c r="F552" t="s">
        <v>152</v>
      </c>
      <c r="G552" t="s">
        <v>105</v>
      </c>
      <c r="H552" t="s">
        <v>28</v>
      </c>
      <c r="I552" t="s">
        <v>145</v>
      </c>
      <c r="J552" t="s">
        <v>35</v>
      </c>
      <c r="K552" t="s">
        <v>1201</v>
      </c>
      <c r="L552">
        <v>1035.24</v>
      </c>
      <c r="M552">
        <v>2383.41</v>
      </c>
      <c r="N552">
        <v>0.17</v>
      </c>
      <c r="O552">
        <v>15</v>
      </c>
    </row>
    <row r="553" spans="1:15" x14ac:dyDescent="0.35">
      <c r="A553" t="s">
        <v>1202</v>
      </c>
      <c r="B553" s="1">
        <v>45875</v>
      </c>
      <c r="C553" s="1">
        <v>45892</v>
      </c>
      <c r="D553" t="s">
        <v>52</v>
      </c>
      <c r="E553" t="s">
        <v>73</v>
      </c>
      <c r="F553" t="s">
        <v>87</v>
      </c>
      <c r="G553" t="s">
        <v>48</v>
      </c>
      <c r="H553" t="s">
        <v>55</v>
      </c>
      <c r="I553" t="s">
        <v>75</v>
      </c>
      <c r="J553" t="s">
        <v>64</v>
      </c>
      <c r="K553" t="s">
        <v>1203</v>
      </c>
      <c r="L553">
        <v>86.64</v>
      </c>
      <c r="M553">
        <v>213.06</v>
      </c>
      <c r="N553">
        <v>0.21199999999999999</v>
      </c>
      <c r="O553">
        <v>11</v>
      </c>
    </row>
    <row r="554" spans="1:15" x14ac:dyDescent="0.35">
      <c r="A554" t="s">
        <v>1204</v>
      </c>
      <c r="B554" s="1">
        <v>44988</v>
      </c>
      <c r="C554" s="1">
        <v>45005</v>
      </c>
      <c r="D554" t="s">
        <v>45</v>
      </c>
      <c r="E554" t="s">
        <v>46</v>
      </c>
      <c r="F554" t="s">
        <v>231</v>
      </c>
      <c r="G554" t="s">
        <v>62</v>
      </c>
      <c r="H554" t="s">
        <v>28</v>
      </c>
      <c r="I554" t="s">
        <v>145</v>
      </c>
      <c r="J554" t="s">
        <v>35</v>
      </c>
      <c r="K554" t="s">
        <v>1205</v>
      </c>
      <c r="L554">
        <v>1171.17</v>
      </c>
      <c r="M554">
        <v>2030.64</v>
      </c>
      <c r="N554">
        <v>0.157</v>
      </c>
      <c r="O554">
        <v>11</v>
      </c>
    </row>
    <row r="555" spans="1:15" x14ac:dyDescent="0.35">
      <c r="A555" t="s">
        <v>1206</v>
      </c>
      <c r="B555" s="1">
        <v>45704</v>
      </c>
      <c r="C555" s="1">
        <v>45733</v>
      </c>
      <c r="D555" t="s">
        <v>78</v>
      </c>
      <c r="E555" t="s">
        <v>79</v>
      </c>
      <c r="F555" t="s">
        <v>159</v>
      </c>
      <c r="G555" t="s">
        <v>48</v>
      </c>
      <c r="H555" t="s">
        <v>20</v>
      </c>
      <c r="I555" t="s">
        <v>49</v>
      </c>
      <c r="J555" t="s">
        <v>81</v>
      </c>
      <c r="K555" t="s">
        <v>1207</v>
      </c>
      <c r="L555">
        <v>730.42</v>
      </c>
      <c r="M555">
        <v>956.7</v>
      </c>
      <c r="N555">
        <v>4.2000000000000003E-2</v>
      </c>
      <c r="O555">
        <v>22</v>
      </c>
    </row>
    <row r="556" spans="1:15" x14ac:dyDescent="0.35">
      <c r="A556" t="s">
        <v>1208</v>
      </c>
      <c r="B556" s="1">
        <v>45703</v>
      </c>
      <c r="C556" s="1">
        <v>45717</v>
      </c>
      <c r="D556" t="s">
        <v>16</v>
      </c>
      <c r="E556" t="s">
        <v>17</v>
      </c>
      <c r="F556" t="s">
        <v>113</v>
      </c>
      <c r="G556" t="s">
        <v>27</v>
      </c>
      <c r="H556" t="s">
        <v>98</v>
      </c>
      <c r="I556" t="s">
        <v>49</v>
      </c>
      <c r="J556" t="s">
        <v>81</v>
      </c>
      <c r="K556" t="s">
        <v>1209</v>
      </c>
      <c r="L556">
        <v>1162.8599999999999</v>
      </c>
      <c r="M556">
        <v>1447.68</v>
      </c>
      <c r="N556">
        <v>8.6999999999999994E-2</v>
      </c>
      <c r="O556">
        <v>12</v>
      </c>
    </row>
    <row r="557" spans="1:15" x14ac:dyDescent="0.35">
      <c r="A557" t="s">
        <v>1210</v>
      </c>
      <c r="B557" s="1">
        <v>45535</v>
      </c>
      <c r="C557" s="1">
        <v>45561</v>
      </c>
      <c r="D557" t="s">
        <v>45</v>
      </c>
      <c r="E557" t="s">
        <v>46</v>
      </c>
      <c r="F557" t="s">
        <v>214</v>
      </c>
      <c r="G557" t="s">
        <v>27</v>
      </c>
      <c r="H557" t="s">
        <v>28</v>
      </c>
      <c r="I557" t="s">
        <v>34</v>
      </c>
      <c r="J557" t="s">
        <v>42</v>
      </c>
      <c r="K557" t="s">
        <v>1211</v>
      </c>
      <c r="L557">
        <v>1189.03</v>
      </c>
      <c r="M557">
        <v>2949.62</v>
      </c>
      <c r="N557">
        <v>0.125</v>
      </c>
      <c r="O557">
        <v>13</v>
      </c>
    </row>
    <row r="558" spans="1:15" x14ac:dyDescent="0.35">
      <c r="A558" t="s">
        <v>1212</v>
      </c>
      <c r="B558" s="1">
        <v>45053</v>
      </c>
      <c r="C558" s="1">
        <v>45066</v>
      </c>
      <c r="D558" t="s">
        <v>45</v>
      </c>
      <c r="E558" t="s">
        <v>60</v>
      </c>
      <c r="F558" t="s">
        <v>220</v>
      </c>
      <c r="G558" t="s">
        <v>105</v>
      </c>
      <c r="H558" t="s">
        <v>20</v>
      </c>
      <c r="I558" t="s">
        <v>145</v>
      </c>
      <c r="J558" t="s">
        <v>81</v>
      </c>
      <c r="K558" t="s">
        <v>1213</v>
      </c>
      <c r="L558">
        <v>1443.28</v>
      </c>
      <c r="M558">
        <v>2580.5700000000002</v>
      </c>
      <c r="N558">
        <v>0</v>
      </c>
      <c r="O558">
        <v>18</v>
      </c>
    </row>
    <row r="559" spans="1:15" x14ac:dyDescent="0.35">
      <c r="A559" t="s">
        <v>1214</v>
      </c>
      <c r="B559" s="1">
        <v>45791</v>
      </c>
      <c r="C559" s="1">
        <v>45789</v>
      </c>
      <c r="D559" t="s">
        <v>52</v>
      </c>
      <c r="E559" t="s">
        <v>53</v>
      </c>
      <c r="F559" t="s">
        <v>179</v>
      </c>
      <c r="G559" t="s">
        <v>39</v>
      </c>
      <c r="H559" t="s">
        <v>55</v>
      </c>
      <c r="I559" t="s">
        <v>84</v>
      </c>
      <c r="J559" t="s">
        <v>30</v>
      </c>
      <c r="K559" t="s">
        <v>1215</v>
      </c>
      <c r="L559">
        <v>883.5</v>
      </c>
      <c r="M559">
        <v>1978.91</v>
      </c>
      <c r="N559">
        <v>5.3999999999999999E-2</v>
      </c>
      <c r="O559">
        <v>27</v>
      </c>
    </row>
    <row r="560" spans="1:15" x14ac:dyDescent="0.35">
      <c r="A560" t="s">
        <v>1216</v>
      </c>
      <c r="B560" s="1">
        <v>45362</v>
      </c>
      <c r="C560" s="1">
        <v>45380</v>
      </c>
      <c r="D560" t="s">
        <v>52</v>
      </c>
      <c r="E560" t="s">
        <v>122</v>
      </c>
      <c r="F560" t="s">
        <v>387</v>
      </c>
      <c r="G560" t="s">
        <v>19</v>
      </c>
      <c r="H560" t="s">
        <v>20</v>
      </c>
      <c r="I560" t="s">
        <v>110</v>
      </c>
      <c r="J560" t="s">
        <v>64</v>
      </c>
      <c r="K560" t="s">
        <v>1217</v>
      </c>
      <c r="L560">
        <v>710.98</v>
      </c>
      <c r="M560">
        <v>1481.45</v>
      </c>
      <c r="N560">
        <v>0.21099999999999999</v>
      </c>
      <c r="O560">
        <v>9</v>
      </c>
    </row>
    <row r="561" spans="1:15" x14ac:dyDescent="0.35">
      <c r="A561" t="s">
        <v>1218</v>
      </c>
      <c r="B561" s="1">
        <v>45430</v>
      </c>
      <c r="C561" s="1">
        <v>45434</v>
      </c>
      <c r="D561" t="s">
        <v>16</v>
      </c>
      <c r="E561" t="s">
        <v>17</v>
      </c>
      <c r="F561" t="s">
        <v>33</v>
      </c>
      <c r="G561" t="s">
        <v>19</v>
      </c>
      <c r="H561" t="s">
        <v>98</v>
      </c>
      <c r="I561" t="s">
        <v>92</v>
      </c>
      <c r="J561" t="s">
        <v>81</v>
      </c>
      <c r="K561" t="s">
        <v>1219</v>
      </c>
      <c r="L561">
        <v>857.42</v>
      </c>
      <c r="M561">
        <v>1658.92</v>
      </c>
      <c r="N561">
        <v>0.122</v>
      </c>
      <c r="O561">
        <v>9</v>
      </c>
    </row>
    <row r="562" spans="1:15" x14ac:dyDescent="0.35">
      <c r="A562" t="s">
        <v>1220</v>
      </c>
      <c r="B562" s="1">
        <v>45299</v>
      </c>
      <c r="C562" s="1">
        <v>45303</v>
      </c>
      <c r="D562" t="s">
        <v>45</v>
      </c>
      <c r="E562" t="s">
        <v>60</v>
      </c>
      <c r="F562" t="s">
        <v>61</v>
      </c>
      <c r="G562" t="s">
        <v>19</v>
      </c>
      <c r="H562" t="s">
        <v>98</v>
      </c>
      <c r="I562" t="s">
        <v>63</v>
      </c>
      <c r="J562" t="s">
        <v>30</v>
      </c>
      <c r="K562" t="s">
        <v>1221</v>
      </c>
      <c r="L562">
        <v>802.32</v>
      </c>
      <c r="M562">
        <v>602.34</v>
      </c>
      <c r="N562">
        <v>0.12</v>
      </c>
      <c r="O562">
        <v>25</v>
      </c>
    </row>
    <row r="563" spans="1:15" x14ac:dyDescent="0.35">
      <c r="A563" t="s">
        <v>1222</v>
      </c>
      <c r="B563" s="1">
        <v>45590</v>
      </c>
      <c r="C563" s="1">
        <v>45601</v>
      </c>
      <c r="D563" t="s">
        <v>52</v>
      </c>
      <c r="E563" t="s">
        <v>122</v>
      </c>
      <c r="F563" t="s">
        <v>387</v>
      </c>
      <c r="G563" t="s">
        <v>19</v>
      </c>
      <c r="H563" t="s">
        <v>55</v>
      </c>
      <c r="I563" t="s">
        <v>126</v>
      </c>
      <c r="J563" t="s">
        <v>22</v>
      </c>
      <c r="K563" t="s">
        <v>1223</v>
      </c>
      <c r="L563">
        <v>446.66</v>
      </c>
      <c r="M563">
        <v>527.64</v>
      </c>
      <c r="N563">
        <v>0.14499999999999999</v>
      </c>
      <c r="O563">
        <v>15</v>
      </c>
    </row>
    <row r="564" spans="1:15" x14ac:dyDescent="0.35">
      <c r="A564" t="s">
        <v>1224</v>
      </c>
      <c r="B564" s="1">
        <v>45626</v>
      </c>
      <c r="C564" s="1">
        <v>45645</v>
      </c>
      <c r="D564" t="s">
        <v>16</v>
      </c>
      <c r="E564" t="s">
        <v>17</v>
      </c>
      <c r="F564" t="s">
        <v>18</v>
      </c>
      <c r="G564" t="s">
        <v>19</v>
      </c>
      <c r="H564" t="s">
        <v>28</v>
      </c>
      <c r="I564" t="s">
        <v>49</v>
      </c>
      <c r="J564" t="s">
        <v>42</v>
      </c>
      <c r="K564" t="s">
        <v>1225</v>
      </c>
      <c r="L564">
        <v>1195.98</v>
      </c>
      <c r="M564">
        <v>1841.9</v>
      </c>
      <c r="N564">
        <v>5.5E-2</v>
      </c>
      <c r="O564">
        <v>19</v>
      </c>
    </row>
    <row r="565" spans="1:15" x14ac:dyDescent="0.35">
      <c r="A565" t="s">
        <v>1226</v>
      </c>
      <c r="B565" s="1">
        <v>45029</v>
      </c>
      <c r="C565" s="1">
        <v>45048</v>
      </c>
      <c r="D565" t="s">
        <v>52</v>
      </c>
      <c r="E565" t="s">
        <v>53</v>
      </c>
      <c r="F565" t="s">
        <v>144</v>
      </c>
      <c r="G565" t="s">
        <v>48</v>
      </c>
      <c r="H565" t="s">
        <v>55</v>
      </c>
      <c r="I565" t="s">
        <v>63</v>
      </c>
      <c r="J565" t="s">
        <v>64</v>
      </c>
      <c r="K565" t="s">
        <v>1227</v>
      </c>
      <c r="L565">
        <v>671.05</v>
      </c>
      <c r="M565">
        <v>1645.48</v>
      </c>
      <c r="N565">
        <v>0.13700000000000001</v>
      </c>
      <c r="O565">
        <v>6</v>
      </c>
    </row>
    <row r="566" spans="1:15" x14ac:dyDescent="0.35">
      <c r="A566" t="s">
        <v>1228</v>
      </c>
      <c r="B566" s="1">
        <v>45692</v>
      </c>
      <c r="C566" s="1">
        <v>45696</v>
      </c>
      <c r="D566" t="s">
        <v>78</v>
      </c>
      <c r="E566" t="s">
        <v>108</v>
      </c>
      <c r="F566" t="s">
        <v>228</v>
      </c>
      <c r="G566" t="s">
        <v>105</v>
      </c>
      <c r="H566" t="s">
        <v>40</v>
      </c>
      <c r="I566" t="s">
        <v>49</v>
      </c>
      <c r="J566" t="s">
        <v>35</v>
      </c>
      <c r="K566" t="s">
        <v>1229</v>
      </c>
      <c r="L566">
        <v>586.21</v>
      </c>
      <c r="M566">
        <v>727.22</v>
      </c>
      <c r="N566">
        <v>6.8000000000000005E-2</v>
      </c>
      <c r="O566">
        <v>15</v>
      </c>
    </row>
    <row r="567" spans="1:15" x14ac:dyDescent="0.35">
      <c r="A567" t="s">
        <v>1230</v>
      </c>
      <c r="B567" s="1">
        <v>45315</v>
      </c>
      <c r="C567" s="1">
        <v>45326</v>
      </c>
      <c r="D567" t="s">
        <v>78</v>
      </c>
      <c r="E567" t="s">
        <v>108</v>
      </c>
      <c r="F567" t="s">
        <v>228</v>
      </c>
      <c r="G567" t="s">
        <v>48</v>
      </c>
      <c r="H567" t="s">
        <v>20</v>
      </c>
      <c r="I567" t="s">
        <v>56</v>
      </c>
      <c r="J567" t="s">
        <v>57</v>
      </c>
      <c r="K567" t="s">
        <v>1231</v>
      </c>
      <c r="L567">
        <v>525.34</v>
      </c>
      <c r="M567">
        <v>1233.79</v>
      </c>
      <c r="N567">
        <v>0.14299999999999999</v>
      </c>
      <c r="O567">
        <v>4</v>
      </c>
    </row>
    <row r="568" spans="1:15" x14ac:dyDescent="0.35">
      <c r="A568" t="s">
        <v>1232</v>
      </c>
      <c r="B568" s="1">
        <v>45330</v>
      </c>
      <c r="C568" s="1">
        <v>45331</v>
      </c>
      <c r="D568" t="s">
        <v>16</v>
      </c>
      <c r="E568" t="s">
        <v>17</v>
      </c>
      <c r="F568" t="s">
        <v>113</v>
      </c>
      <c r="G568" t="s">
        <v>19</v>
      </c>
      <c r="H568" t="s">
        <v>98</v>
      </c>
      <c r="I568" t="s">
        <v>84</v>
      </c>
      <c r="J568" t="s">
        <v>22</v>
      </c>
      <c r="K568" t="s">
        <v>1233</v>
      </c>
      <c r="L568">
        <v>1233.52</v>
      </c>
      <c r="M568">
        <v>1543.76</v>
      </c>
      <c r="N568">
        <v>0.126</v>
      </c>
      <c r="O568">
        <v>13</v>
      </c>
    </row>
    <row r="569" spans="1:15" x14ac:dyDescent="0.35">
      <c r="A569" t="s">
        <v>1234</v>
      </c>
      <c r="B569" s="1">
        <v>45834</v>
      </c>
      <c r="C569" s="1">
        <v>45849</v>
      </c>
      <c r="D569" t="s">
        <v>16</v>
      </c>
      <c r="E569" t="s">
        <v>25</v>
      </c>
      <c r="F569" t="s">
        <v>26</v>
      </c>
      <c r="G569" t="s">
        <v>62</v>
      </c>
      <c r="H569" t="s">
        <v>28</v>
      </c>
      <c r="I569" t="s">
        <v>75</v>
      </c>
      <c r="J569" t="s">
        <v>57</v>
      </c>
      <c r="K569" t="s">
        <v>1235</v>
      </c>
      <c r="L569">
        <v>1170.1500000000001</v>
      </c>
      <c r="M569">
        <v>2115.19</v>
      </c>
      <c r="N569">
        <v>9.1999999999999998E-2</v>
      </c>
      <c r="O569">
        <v>23</v>
      </c>
    </row>
    <row r="570" spans="1:15" x14ac:dyDescent="0.35">
      <c r="A570" t="s">
        <v>1236</v>
      </c>
      <c r="B570" s="1">
        <v>45600</v>
      </c>
      <c r="C570" s="1">
        <v>45603</v>
      </c>
      <c r="D570" t="s">
        <v>78</v>
      </c>
      <c r="E570" t="s">
        <v>90</v>
      </c>
      <c r="F570" t="s">
        <v>138</v>
      </c>
      <c r="G570" t="s">
        <v>19</v>
      </c>
      <c r="H570" t="s">
        <v>28</v>
      </c>
      <c r="I570" t="s">
        <v>68</v>
      </c>
      <c r="J570" t="s">
        <v>64</v>
      </c>
      <c r="K570" t="s">
        <v>1237</v>
      </c>
      <c r="L570">
        <v>740.68</v>
      </c>
      <c r="M570">
        <v>1837.19</v>
      </c>
      <c r="N570">
        <v>0.19700000000000001</v>
      </c>
      <c r="O570">
        <v>17</v>
      </c>
    </row>
    <row r="571" spans="1:15" x14ac:dyDescent="0.35">
      <c r="A571" t="s">
        <v>1238</v>
      </c>
      <c r="B571" s="1">
        <v>45342</v>
      </c>
      <c r="C571" s="1">
        <v>45342</v>
      </c>
      <c r="D571" t="s">
        <v>52</v>
      </c>
      <c r="E571" t="s">
        <v>122</v>
      </c>
      <c r="F571" t="s">
        <v>387</v>
      </c>
      <c r="G571" t="s">
        <v>105</v>
      </c>
      <c r="H571" t="s">
        <v>28</v>
      </c>
      <c r="I571" t="s">
        <v>21</v>
      </c>
      <c r="J571" t="s">
        <v>35</v>
      </c>
      <c r="K571" t="s">
        <v>1239</v>
      </c>
      <c r="L571">
        <v>1407.05</v>
      </c>
      <c r="M571">
        <v>2858.93</v>
      </c>
      <c r="N571">
        <v>0</v>
      </c>
      <c r="O571">
        <v>12</v>
      </c>
    </row>
    <row r="572" spans="1:15" x14ac:dyDescent="0.35">
      <c r="A572" t="s">
        <v>1240</v>
      </c>
      <c r="B572" s="1">
        <v>45760</v>
      </c>
      <c r="C572" s="1">
        <v>45761</v>
      </c>
      <c r="D572" t="s">
        <v>45</v>
      </c>
      <c r="E572" t="s">
        <v>46</v>
      </c>
      <c r="F572" t="s">
        <v>47</v>
      </c>
      <c r="G572" t="s">
        <v>105</v>
      </c>
      <c r="H572" t="s">
        <v>28</v>
      </c>
      <c r="I572" t="s">
        <v>41</v>
      </c>
      <c r="J572" t="s">
        <v>22</v>
      </c>
      <c r="K572" t="s">
        <v>1241</v>
      </c>
      <c r="L572">
        <v>138.9</v>
      </c>
      <c r="M572">
        <v>289.92</v>
      </c>
      <c r="N572">
        <v>2.9000000000000001E-2</v>
      </c>
      <c r="O572">
        <v>12</v>
      </c>
    </row>
    <row r="573" spans="1:15" x14ac:dyDescent="0.35">
      <c r="A573" t="s">
        <v>1242</v>
      </c>
      <c r="B573" s="1">
        <v>45078</v>
      </c>
      <c r="C573" s="1">
        <v>45078</v>
      </c>
      <c r="D573" t="s">
        <v>45</v>
      </c>
      <c r="E573" t="s">
        <v>60</v>
      </c>
      <c r="F573" t="s">
        <v>61</v>
      </c>
      <c r="G573" t="s">
        <v>19</v>
      </c>
      <c r="H573" t="s">
        <v>20</v>
      </c>
      <c r="I573" t="s">
        <v>63</v>
      </c>
      <c r="J573" t="s">
        <v>81</v>
      </c>
      <c r="K573" t="s">
        <v>1243</v>
      </c>
      <c r="L573">
        <v>669.37</v>
      </c>
      <c r="M573">
        <v>997.2</v>
      </c>
      <c r="N573">
        <v>8.2000000000000003E-2</v>
      </c>
      <c r="O573">
        <v>5</v>
      </c>
    </row>
    <row r="574" spans="1:15" x14ac:dyDescent="0.35">
      <c r="A574" t="s">
        <v>1244</v>
      </c>
      <c r="B574" s="1">
        <v>45740</v>
      </c>
      <c r="C574" s="1">
        <v>45751</v>
      </c>
      <c r="D574" t="s">
        <v>45</v>
      </c>
      <c r="E574" t="s">
        <v>60</v>
      </c>
      <c r="F574" t="s">
        <v>220</v>
      </c>
      <c r="G574" t="s">
        <v>27</v>
      </c>
      <c r="H574" t="s">
        <v>40</v>
      </c>
      <c r="I574" t="s">
        <v>29</v>
      </c>
      <c r="J574" t="s">
        <v>42</v>
      </c>
      <c r="K574" t="s">
        <v>1245</v>
      </c>
      <c r="L574">
        <v>23.83</v>
      </c>
      <c r="M574">
        <v>47.29</v>
      </c>
      <c r="N574">
        <v>6.4000000000000001E-2</v>
      </c>
      <c r="O574">
        <v>19</v>
      </c>
    </row>
    <row r="575" spans="1:15" x14ac:dyDescent="0.35">
      <c r="A575" t="s">
        <v>1246</v>
      </c>
      <c r="B575" s="1">
        <v>45293</v>
      </c>
      <c r="C575" s="1">
        <v>45293</v>
      </c>
      <c r="D575" t="s">
        <v>52</v>
      </c>
      <c r="E575" t="s">
        <v>53</v>
      </c>
      <c r="F575" t="s">
        <v>179</v>
      </c>
      <c r="G575" t="s">
        <v>27</v>
      </c>
      <c r="H575" t="s">
        <v>98</v>
      </c>
      <c r="I575" t="s">
        <v>75</v>
      </c>
      <c r="J575" t="s">
        <v>57</v>
      </c>
      <c r="K575" t="s">
        <v>1247</v>
      </c>
      <c r="L575">
        <v>444.41</v>
      </c>
      <c r="M575">
        <v>754.24</v>
      </c>
      <c r="N575">
        <v>0.20699999999999999</v>
      </c>
      <c r="O575">
        <v>32</v>
      </c>
    </row>
    <row r="576" spans="1:15" x14ac:dyDescent="0.35">
      <c r="A576" t="s">
        <v>1248</v>
      </c>
      <c r="B576" s="1">
        <v>45279</v>
      </c>
      <c r="C576" s="1">
        <v>45292</v>
      </c>
      <c r="D576" t="s">
        <v>52</v>
      </c>
      <c r="E576" t="s">
        <v>53</v>
      </c>
      <c r="F576" t="s">
        <v>54</v>
      </c>
      <c r="G576" t="s">
        <v>105</v>
      </c>
      <c r="H576" t="s">
        <v>20</v>
      </c>
      <c r="I576" t="s">
        <v>95</v>
      </c>
      <c r="J576" t="s">
        <v>64</v>
      </c>
      <c r="K576" t="s">
        <v>1249</v>
      </c>
      <c r="L576">
        <v>856.1</v>
      </c>
      <c r="M576">
        <v>901.48</v>
      </c>
      <c r="N576">
        <v>5.6000000000000001E-2</v>
      </c>
      <c r="O576">
        <v>17</v>
      </c>
    </row>
    <row r="577" spans="1:15" x14ac:dyDescent="0.35">
      <c r="A577" t="s">
        <v>1250</v>
      </c>
      <c r="B577" s="1">
        <v>45042</v>
      </c>
      <c r="C577" s="1">
        <v>45042</v>
      </c>
      <c r="D577" t="s">
        <v>78</v>
      </c>
      <c r="E577" t="s">
        <v>90</v>
      </c>
      <c r="F577" t="s">
        <v>91</v>
      </c>
      <c r="G577" t="s">
        <v>48</v>
      </c>
      <c r="H577" t="s">
        <v>98</v>
      </c>
      <c r="I577" t="s">
        <v>110</v>
      </c>
      <c r="J577" t="s">
        <v>22</v>
      </c>
      <c r="K577" t="s">
        <v>1251</v>
      </c>
      <c r="L577">
        <v>81.489999999999995</v>
      </c>
      <c r="M577">
        <v>113.08</v>
      </c>
      <c r="N577">
        <v>0.121</v>
      </c>
      <c r="O577">
        <v>5</v>
      </c>
    </row>
    <row r="578" spans="1:15" x14ac:dyDescent="0.35">
      <c r="A578" t="s">
        <v>1252</v>
      </c>
      <c r="B578" s="1">
        <v>45872</v>
      </c>
      <c r="C578" s="1">
        <v>45885</v>
      </c>
      <c r="D578" t="s">
        <v>52</v>
      </c>
      <c r="E578" t="s">
        <v>53</v>
      </c>
      <c r="F578" t="s">
        <v>144</v>
      </c>
      <c r="G578" t="s">
        <v>105</v>
      </c>
      <c r="H578" t="s">
        <v>55</v>
      </c>
      <c r="I578" t="s">
        <v>68</v>
      </c>
      <c r="J578" t="s">
        <v>35</v>
      </c>
      <c r="K578" t="s">
        <v>1253</v>
      </c>
      <c r="L578">
        <v>698.66</v>
      </c>
      <c r="M578">
        <v>868.62</v>
      </c>
      <c r="N578">
        <v>7.1999999999999995E-2</v>
      </c>
      <c r="O578">
        <v>15</v>
      </c>
    </row>
    <row r="579" spans="1:15" x14ac:dyDescent="0.35">
      <c r="A579" t="s">
        <v>1254</v>
      </c>
      <c r="B579" s="1">
        <v>45140</v>
      </c>
      <c r="C579" s="1">
        <v>45157</v>
      </c>
      <c r="D579" t="s">
        <v>52</v>
      </c>
      <c r="E579" t="s">
        <v>53</v>
      </c>
      <c r="F579" t="s">
        <v>179</v>
      </c>
      <c r="G579" t="s">
        <v>19</v>
      </c>
      <c r="H579" t="s">
        <v>28</v>
      </c>
      <c r="I579" t="s">
        <v>84</v>
      </c>
      <c r="J579" t="s">
        <v>35</v>
      </c>
      <c r="K579" t="s">
        <v>1255</v>
      </c>
      <c r="L579">
        <v>175.38</v>
      </c>
      <c r="M579">
        <v>347.9</v>
      </c>
      <c r="N579">
        <v>7.1999999999999995E-2</v>
      </c>
      <c r="O579">
        <v>43</v>
      </c>
    </row>
    <row r="580" spans="1:15" x14ac:dyDescent="0.35">
      <c r="A580" t="s">
        <v>1256</v>
      </c>
      <c r="B580" s="1">
        <v>45092</v>
      </c>
      <c r="C580" s="1">
        <v>45119</v>
      </c>
      <c r="D580" t="s">
        <v>78</v>
      </c>
      <c r="E580" t="s">
        <v>108</v>
      </c>
      <c r="F580" t="s">
        <v>228</v>
      </c>
      <c r="G580" t="s">
        <v>48</v>
      </c>
      <c r="H580" t="s">
        <v>98</v>
      </c>
      <c r="I580" t="s">
        <v>34</v>
      </c>
      <c r="J580" t="s">
        <v>81</v>
      </c>
      <c r="K580" t="s">
        <v>1257</v>
      </c>
      <c r="L580">
        <v>751.28</v>
      </c>
      <c r="M580">
        <v>1111.8800000000001</v>
      </c>
      <c r="N580">
        <v>0.13500000000000001</v>
      </c>
      <c r="O580">
        <v>7</v>
      </c>
    </row>
    <row r="581" spans="1:15" x14ac:dyDescent="0.35">
      <c r="A581" t="s">
        <v>1258</v>
      </c>
      <c r="B581" s="1">
        <v>45607</v>
      </c>
      <c r="C581" s="1">
        <v>45620</v>
      </c>
      <c r="D581" t="s">
        <v>78</v>
      </c>
      <c r="E581" t="s">
        <v>108</v>
      </c>
      <c r="F581" t="s">
        <v>152</v>
      </c>
      <c r="G581" t="s">
        <v>19</v>
      </c>
      <c r="H581" t="s">
        <v>20</v>
      </c>
      <c r="I581" t="s">
        <v>63</v>
      </c>
      <c r="J581" t="s">
        <v>35</v>
      </c>
      <c r="K581" t="s">
        <v>1259</v>
      </c>
      <c r="L581">
        <v>164.53</v>
      </c>
      <c r="M581">
        <v>327.72</v>
      </c>
      <c r="N581">
        <v>6.7000000000000004E-2</v>
      </c>
      <c r="O581">
        <v>14</v>
      </c>
    </row>
    <row r="582" spans="1:15" x14ac:dyDescent="0.35">
      <c r="A582" t="s">
        <v>1260</v>
      </c>
      <c r="B582" s="1">
        <v>45849</v>
      </c>
      <c r="C582" s="1">
        <v>45872</v>
      </c>
      <c r="D582" t="s">
        <v>16</v>
      </c>
      <c r="E582" t="s">
        <v>17</v>
      </c>
      <c r="F582" t="s">
        <v>135</v>
      </c>
      <c r="G582" t="s">
        <v>62</v>
      </c>
      <c r="H582" t="s">
        <v>20</v>
      </c>
      <c r="I582" t="s">
        <v>21</v>
      </c>
      <c r="J582" t="s">
        <v>42</v>
      </c>
      <c r="K582" t="s">
        <v>1261</v>
      </c>
      <c r="L582">
        <v>389.93</v>
      </c>
      <c r="M582">
        <v>486.13</v>
      </c>
      <c r="N582">
        <v>0.13200000000000001</v>
      </c>
      <c r="O582">
        <v>17</v>
      </c>
    </row>
    <row r="583" spans="1:15" x14ac:dyDescent="0.35">
      <c r="A583" t="s">
        <v>1262</v>
      </c>
      <c r="B583" s="1">
        <v>45080</v>
      </c>
      <c r="C583" s="1">
        <v>45108</v>
      </c>
      <c r="D583" t="s">
        <v>52</v>
      </c>
      <c r="E583" t="s">
        <v>73</v>
      </c>
      <c r="F583" t="s">
        <v>87</v>
      </c>
      <c r="G583" t="s">
        <v>62</v>
      </c>
      <c r="H583" t="s">
        <v>40</v>
      </c>
      <c r="I583" t="s">
        <v>75</v>
      </c>
      <c r="J583" t="s">
        <v>22</v>
      </c>
      <c r="K583" t="s">
        <v>1263</v>
      </c>
      <c r="L583">
        <v>860.4</v>
      </c>
      <c r="M583">
        <v>2066.6</v>
      </c>
      <c r="N583">
        <v>0.01</v>
      </c>
      <c r="O583">
        <v>3</v>
      </c>
    </row>
    <row r="584" spans="1:15" x14ac:dyDescent="0.35">
      <c r="A584" t="s">
        <v>1264</v>
      </c>
      <c r="B584" s="1">
        <v>44955</v>
      </c>
      <c r="C584" s="1">
        <v>44963</v>
      </c>
      <c r="D584" t="s">
        <v>52</v>
      </c>
      <c r="E584" t="s">
        <v>73</v>
      </c>
      <c r="F584" t="s">
        <v>87</v>
      </c>
      <c r="G584" t="s">
        <v>19</v>
      </c>
      <c r="H584" t="s">
        <v>40</v>
      </c>
      <c r="I584" t="s">
        <v>145</v>
      </c>
      <c r="J584" t="s">
        <v>64</v>
      </c>
      <c r="K584" t="s">
        <v>1265</v>
      </c>
      <c r="L584">
        <v>41.84</v>
      </c>
      <c r="M584">
        <v>86.2</v>
      </c>
      <c r="N584">
        <v>0.22600000000000001</v>
      </c>
      <c r="O584">
        <v>27</v>
      </c>
    </row>
    <row r="585" spans="1:15" x14ac:dyDescent="0.35">
      <c r="A585" t="s">
        <v>1266</v>
      </c>
      <c r="B585" s="1">
        <v>45541</v>
      </c>
      <c r="C585" s="1">
        <v>45539</v>
      </c>
      <c r="D585" t="s">
        <v>45</v>
      </c>
      <c r="E585" t="s">
        <v>46</v>
      </c>
      <c r="F585" t="s">
        <v>47</v>
      </c>
      <c r="G585" t="s">
        <v>19</v>
      </c>
      <c r="H585" t="s">
        <v>98</v>
      </c>
      <c r="I585" t="s">
        <v>75</v>
      </c>
      <c r="J585" t="s">
        <v>57</v>
      </c>
      <c r="K585" t="s">
        <v>1267</v>
      </c>
      <c r="L585">
        <v>1368.17</v>
      </c>
      <c r="M585">
        <v>2307.75</v>
      </c>
      <c r="N585">
        <v>0.16300000000000001</v>
      </c>
      <c r="O585">
        <v>21</v>
      </c>
    </row>
    <row r="586" spans="1:15" x14ac:dyDescent="0.35">
      <c r="A586" t="s">
        <v>1268</v>
      </c>
      <c r="B586" s="1">
        <v>45507</v>
      </c>
      <c r="C586" s="1">
        <v>45513</v>
      </c>
      <c r="D586" t="s">
        <v>16</v>
      </c>
      <c r="E586" t="s">
        <v>17</v>
      </c>
      <c r="F586" t="s">
        <v>113</v>
      </c>
      <c r="G586" t="s">
        <v>48</v>
      </c>
      <c r="H586" t="s">
        <v>40</v>
      </c>
      <c r="I586" t="s">
        <v>92</v>
      </c>
      <c r="J586" t="s">
        <v>57</v>
      </c>
      <c r="K586" t="s">
        <v>1269</v>
      </c>
      <c r="L586">
        <v>643.21</v>
      </c>
      <c r="M586">
        <v>1112.81</v>
      </c>
      <c r="N586">
        <v>0.14099999999999999</v>
      </c>
      <c r="O586">
        <v>4</v>
      </c>
    </row>
    <row r="587" spans="1:15" x14ac:dyDescent="0.35">
      <c r="A587" t="s">
        <v>1270</v>
      </c>
      <c r="B587" s="1">
        <v>45764</v>
      </c>
      <c r="C587" s="1">
        <v>45764</v>
      </c>
      <c r="D587" t="s">
        <v>52</v>
      </c>
      <c r="E587" t="s">
        <v>73</v>
      </c>
      <c r="F587" t="s">
        <v>74</v>
      </c>
      <c r="G587" t="s">
        <v>19</v>
      </c>
      <c r="H587" t="s">
        <v>55</v>
      </c>
      <c r="I587" t="s">
        <v>49</v>
      </c>
      <c r="J587" t="s">
        <v>42</v>
      </c>
      <c r="K587" t="s">
        <v>1271</v>
      </c>
      <c r="L587">
        <v>719.41</v>
      </c>
      <c r="M587">
        <v>1125.99</v>
      </c>
      <c r="N587">
        <v>4.1000000000000002E-2</v>
      </c>
      <c r="O587">
        <v>21</v>
      </c>
    </row>
    <row r="588" spans="1:15" x14ac:dyDescent="0.35">
      <c r="A588" t="s">
        <v>1272</v>
      </c>
      <c r="B588" s="1">
        <v>45049</v>
      </c>
      <c r="C588" s="1">
        <v>45062</v>
      </c>
      <c r="D588" t="s">
        <v>52</v>
      </c>
      <c r="E588" t="s">
        <v>122</v>
      </c>
      <c r="F588" t="s">
        <v>387</v>
      </c>
      <c r="G588" t="s">
        <v>19</v>
      </c>
      <c r="H588" t="s">
        <v>40</v>
      </c>
      <c r="I588" t="s">
        <v>49</v>
      </c>
      <c r="J588" t="s">
        <v>42</v>
      </c>
      <c r="K588" t="s">
        <v>1273</v>
      </c>
      <c r="L588">
        <v>64.5</v>
      </c>
      <c r="M588">
        <v>123.62</v>
      </c>
      <c r="N588">
        <v>0</v>
      </c>
      <c r="O588">
        <v>3</v>
      </c>
    </row>
    <row r="589" spans="1:15" x14ac:dyDescent="0.35">
      <c r="A589" t="s">
        <v>1274</v>
      </c>
      <c r="B589" s="1">
        <v>45364</v>
      </c>
      <c r="C589" s="1">
        <v>45388</v>
      </c>
      <c r="D589" t="s">
        <v>16</v>
      </c>
      <c r="E589" t="s">
        <v>25</v>
      </c>
      <c r="F589" t="s">
        <v>67</v>
      </c>
      <c r="G589" t="s">
        <v>48</v>
      </c>
      <c r="H589" t="s">
        <v>55</v>
      </c>
      <c r="I589" t="s">
        <v>49</v>
      </c>
      <c r="J589" t="s">
        <v>22</v>
      </c>
      <c r="K589" t="s">
        <v>1275</v>
      </c>
      <c r="L589">
        <v>1232.78</v>
      </c>
      <c r="M589">
        <v>1731.75</v>
      </c>
      <c r="N589">
        <v>9.2999999999999999E-2</v>
      </c>
      <c r="O589">
        <v>16</v>
      </c>
    </row>
    <row r="590" spans="1:15" x14ac:dyDescent="0.35">
      <c r="A590" t="s">
        <v>1276</v>
      </c>
      <c r="B590" s="1">
        <v>45459</v>
      </c>
      <c r="C590" s="1">
        <v>45464</v>
      </c>
      <c r="D590" t="s">
        <v>45</v>
      </c>
      <c r="E590" t="s">
        <v>46</v>
      </c>
      <c r="F590" t="s">
        <v>214</v>
      </c>
      <c r="G590" t="s">
        <v>62</v>
      </c>
      <c r="H590" t="s">
        <v>55</v>
      </c>
      <c r="I590" t="s">
        <v>84</v>
      </c>
      <c r="J590" t="s">
        <v>42</v>
      </c>
      <c r="K590" t="s">
        <v>1277</v>
      </c>
      <c r="L590">
        <v>1367.13</v>
      </c>
      <c r="M590">
        <v>3062.01</v>
      </c>
      <c r="N590">
        <v>0.10299999999999999</v>
      </c>
      <c r="O590">
        <v>25</v>
      </c>
    </row>
    <row r="591" spans="1:15" x14ac:dyDescent="0.35">
      <c r="A591" t="s">
        <v>1278</v>
      </c>
      <c r="B591" s="1">
        <v>45703</v>
      </c>
      <c r="C591" s="1">
        <v>45715</v>
      </c>
      <c r="D591" t="s">
        <v>78</v>
      </c>
      <c r="E591" t="s">
        <v>90</v>
      </c>
      <c r="F591" t="s">
        <v>138</v>
      </c>
      <c r="G591" t="s">
        <v>39</v>
      </c>
      <c r="H591" t="s">
        <v>98</v>
      </c>
      <c r="I591" t="s">
        <v>95</v>
      </c>
      <c r="J591" t="s">
        <v>81</v>
      </c>
      <c r="K591" t="s">
        <v>1279</v>
      </c>
      <c r="L591">
        <v>1027.26</v>
      </c>
      <c r="M591">
        <v>2200.41</v>
      </c>
      <c r="N591">
        <v>8.7999999999999995E-2</v>
      </c>
      <c r="O591">
        <v>6</v>
      </c>
    </row>
    <row r="592" spans="1:15" x14ac:dyDescent="0.35">
      <c r="A592" t="s">
        <v>1280</v>
      </c>
      <c r="B592" s="1">
        <v>45019</v>
      </c>
      <c r="C592" s="1">
        <v>45032</v>
      </c>
      <c r="D592" t="s">
        <v>78</v>
      </c>
      <c r="E592" t="s">
        <v>90</v>
      </c>
      <c r="F592" t="s">
        <v>91</v>
      </c>
      <c r="G592" t="s">
        <v>39</v>
      </c>
      <c r="H592" t="s">
        <v>40</v>
      </c>
      <c r="I592" t="s">
        <v>110</v>
      </c>
      <c r="J592" t="s">
        <v>81</v>
      </c>
      <c r="K592" t="s">
        <v>1281</v>
      </c>
      <c r="L592">
        <v>790.54</v>
      </c>
      <c r="M592">
        <v>601.49</v>
      </c>
      <c r="N592">
        <v>0</v>
      </c>
      <c r="O592">
        <v>15</v>
      </c>
    </row>
    <row r="593" spans="1:15" x14ac:dyDescent="0.35">
      <c r="A593" t="s">
        <v>1282</v>
      </c>
      <c r="B593" s="1">
        <v>45899</v>
      </c>
      <c r="C593" s="1">
        <v>45922</v>
      </c>
      <c r="D593" t="s">
        <v>78</v>
      </c>
      <c r="E593" t="s">
        <v>90</v>
      </c>
      <c r="F593" t="s">
        <v>91</v>
      </c>
      <c r="G593" t="s">
        <v>19</v>
      </c>
      <c r="H593" t="s">
        <v>98</v>
      </c>
      <c r="I593" t="s">
        <v>63</v>
      </c>
      <c r="J593" t="s">
        <v>22</v>
      </c>
      <c r="K593" t="s">
        <v>1283</v>
      </c>
      <c r="L593">
        <v>663.9</v>
      </c>
      <c r="M593">
        <v>947.77</v>
      </c>
      <c r="N593">
        <v>0.17399999999999999</v>
      </c>
      <c r="O593">
        <v>15</v>
      </c>
    </row>
    <row r="594" spans="1:15" x14ac:dyDescent="0.35">
      <c r="A594" t="s">
        <v>1284</v>
      </c>
      <c r="B594" s="1">
        <v>44984</v>
      </c>
      <c r="C594" s="1">
        <v>44983</v>
      </c>
      <c r="D594" t="s">
        <v>52</v>
      </c>
      <c r="E594" t="s">
        <v>122</v>
      </c>
      <c r="F594" t="s">
        <v>167</v>
      </c>
      <c r="G594" t="s">
        <v>39</v>
      </c>
      <c r="H594" t="s">
        <v>28</v>
      </c>
      <c r="I594" t="s">
        <v>49</v>
      </c>
      <c r="J594" t="s">
        <v>35</v>
      </c>
      <c r="K594" t="s">
        <v>1285</v>
      </c>
      <c r="L594">
        <v>1015.91</v>
      </c>
      <c r="M594">
        <v>2331.48</v>
      </c>
      <c r="N594">
        <v>0.14599999999999999</v>
      </c>
      <c r="O594">
        <v>26</v>
      </c>
    </row>
    <row r="595" spans="1:15" x14ac:dyDescent="0.35">
      <c r="A595" t="s">
        <v>1286</v>
      </c>
      <c r="B595" s="1">
        <v>45504</v>
      </c>
      <c r="C595" s="1">
        <v>45519</v>
      </c>
      <c r="D595" t="s">
        <v>45</v>
      </c>
      <c r="E595" t="s">
        <v>46</v>
      </c>
      <c r="F595" t="s">
        <v>214</v>
      </c>
      <c r="G595" t="s">
        <v>19</v>
      </c>
      <c r="H595" t="s">
        <v>40</v>
      </c>
      <c r="I595" t="s">
        <v>84</v>
      </c>
      <c r="J595" t="s">
        <v>64</v>
      </c>
      <c r="K595" t="s">
        <v>1287</v>
      </c>
      <c r="L595">
        <v>1252.52</v>
      </c>
      <c r="M595">
        <v>1417.24</v>
      </c>
      <c r="N595">
        <v>0.192</v>
      </c>
      <c r="O595">
        <v>5</v>
      </c>
    </row>
    <row r="596" spans="1:15" x14ac:dyDescent="0.35">
      <c r="A596" t="s">
        <v>1288</v>
      </c>
      <c r="B596" s="1">
        <v>45823</v>
      </c>
      <c r="C596" s="1">
        <v>45850</v>
      </c>
      <c r="D596" t="s">
        <v>78</v>
      </c>
      <c r="E596" t="s">
        <v>90</v>
      </c>
      <c r="F596" t="s">
        <v>91</v>
      </c>
      <c r="G596" t="s">
        <v>48</v>
      </c>
      <c r="H596" t="s">
        <v>98</v>
      </c>
      <c r="I596" t="s">
        <v>21</v>
      </c>
      <c r="J596" t="s">
        <v>81</v>
      </c>
      <c r="K596" t="s">
        <v>1289</v>
      </c>
      <c r="L596">
        <v>318.83</v>
      </c>
      <c r="M596">
        <v>699.5</v>
      </c>
      <c r="N596">
        <v>0.08</v>
      </c>
      <c r="O596">
        <v>13</v>
      </c>
    </row>
    <row r="597" spans="1:15" x14ac:dyDescent="0.35">
      <c r="A597" t="s">
        <v>1290</v>
      </c>
      <c r="B597" s="1">
        <v>45473</v>
      </c>
      <c r="C597" s="1">
        <v>45494</v>
      </c>
      <c r="D597" t="s">
        <v>16</v>
      </c>
      <c r="E597" t="s">
        <v>17</v>
      </c>
      <c r="F597" t="s">
        <v>18</v>
      </c>
      <c r="G597" t="s">
        <v>62</v>
      </c>
      <c r="H597" t="s">
        <v>20</v>
      </c>
      <c r="I597" t="s">
        <v>95</v>
      </c>
      <c r="J597" t="s">
        <v>57</v>
      </c>
      <c r="K597" t="s">
        <v>1291</v>
      </c>
      <c r="L597">
        <v>753.43</v>
      </c>
      <c r="M597">
        <v>1787.2</v>
      </c>
      <c r="N597">
        <v>7.2999999999999995E-2</v>
      </c>
      <c r="O597">
        <v>9</v>
      </c>
    </row>
    <row r="598" spans="1:15" x14ac:dyDescent="0.35">
      <c r="A598" t="s">
        <v>1292</v>
      </c>
      <c r="B598" s="1">
        <v>45705</v>
      </c>
      <c r="C598" s="1">
        <v>45703</v>
      </c>
      <c r="D598" t="s">
        <v>52</v>
      </c>
      <c r="E598" t="s">
        <v>53</v>
      </c>
      <c r="F598" t="s">
        <v>54</v>
      </c>
      <c r="G598" t="s">
        <v>62</v>
      </c>
      <c r="H598" t="s">
        <v>20</v>
      </c>
      <c r="I598" t="s">
        <v>145</v>
      </c>
      <c r="J598" t="s">
        <v>22</v>
      </c>
      <c r="K598" t="s">
        <v>1293</v>
      </c>
      <c r="L598">
        <v>1133.47</v>
      </c>
      <c r="M598">
        <v>1698.75</v>
      </c>
      <c r="N598">
        <v>4.2999999999999997E-2</v>
      </c>
      <c r="O598">
        <v>5</v>
      </c>
    </row>
    <row r="599" spans="1:15" x14ac:dyDescent="0.35">
      <c r="A599" t="s">
        <v>1294</v>
      </c>
      <c r="B599" s="1">
        <v>44933</v>
      </c>
      <c r="C599" s="1">
        <v>44956</v>
      </c>
      <c r="D599" t="s">
        <v>16</v>
      </c>
      <c r="E599" t="s">
        <v>148</v>
      </c>
      <c r="F599" t="s">
        <v>258</v>
      </c>
      <c r="G599" t="s">
        <v>48</v>
      </c>
      <c r="H599" t="s">
        <v>28</v>
      </c>
      <c r="I599" t="s">
        <v>75</v>
      </c>
      <c r="J599" t="s">
        <v>30</v>
      </c>
      <c r="K599" t="s">
        <v>1295</v>
      </c>
      <c r="L599">
        <v>299.02</v>
      </c>
      <c r="M599">
        <v>724.7</v>
      </c>
      <c r="N599">
        <v>0.14000000000000001</v>
      </c>
      <c r="O599">
        <v>5</v>
      </c>
    </row>
    <row r="600" spans="1:15" x14ac:dyDescent="0.35">
      <c r="A600" t="s">
        <v>1296</v>
      </c>
      <c r="B600" s="1">
        <v>45726</v>
      </c>
      <c r="C600" s="1">
        <v>45751</v>
      </c>
      <c r="D600" t="s">
        <v>45</v>
      </c>
      <c r="E600" t="s">
        <v>46</v>
      </c>
      <c r="F600" t="s">
        <v>47</v>
      </c>
      <c r="G600" t="s">
        <v>19</v>
      </c>
      <c r="H600" t="s">
        <v>98</v>
      </c>
      <c r="I600" t="s">
        <v>92</v>
      </c>
      <c r="J600" t="s">
        <v>30</v>
      </c>
      <c r="K600" t="s">
        <v>1297</v>
      </c>
      <c r="L600">
        <v>783.72</v>
      </c>
      <c r="M600">
        <v>1355.94</v>
      </c>
      <c r="N600">
        <v>0.187</v>
      </c>
      <c r="O600">
        <v>4</v>
      </c>
    </row>
    <row r="601" spans="1:15" x14ac:dyDescent="0.35">
      <c r="A601" t="s">
        <v>1298</v>
      </c>
      <c r="B601" s="1">
        <v>45521</v>
      </c>
      <c r="C601" s="1">
        <v>45519</v>
      </c>
      <c r="D601" t="s">
        <v>52</v>
      </c>
      <c r="E601" t="s">
        <v>73</v>
      </c>
      <c r="F601" t="s">
        <v>225</v>
      </c>
      <c r="G601" t="s">
        <v>48</v>
      </c>
      <c r="H601" t="s">
        <v>98</v>
      </c>
      <c r="I601" t="s">
        <v>110</v>
      </c>
      <c r="J601" t="s">
        <v>64</v>
      </c>
      <c r="K601" t="s">
        <v>1299</v>
      </c>
      <c r="L601">
        <v>165.3</v>
      </c>
      <c r="M601">
        <v>275.07</v>
      </c>
      <c r="N601">
        <v>0.13300000000000001</v>
      </c>
      <c r="O601">
        <v>25</v>
      </c>
    </row>
    <row r="602" spans="1:15" x14ac:dyDescent="0.35">
      <c r="A602" t="s">
        <v>1300</v>
      </c>
      <c r="B602" s="1">
        <v>45360</v>
      </c>
      <c r="C602" s="1">
        <v>45373</v>
      </c>
      <c r="D602" t="s">
        <v>78</v>
      </c>
      <c r="E602" t="s">
        <v>108</v>
      </c>
      <c r="F602" t="s">
        <v>228</v>
      </c>
      <c r="G602" t="s">
        <v>48</v>
      </c>
      <c r="H602" t="s">
        <v>28</v>
      </c>
      <c r="I602" t="s">
        <v>63</v>
      </c>
      <c r="J602" t="s">
        <v>57</v>
      </c>
      <c r="K602" t="s">
        <v>1301</v>
      </c>
      <c r="L602">
        <v>985.45</v>
      </c>
      <c r="M602">
        <v>1802.44</v>
      </c>
      <c r="N602">
        <v>8.9999999999999993E-3</v>
      </c>
      <c r="O602">
        <v>19</v>
      </c>
    </row>
    <row r="603" spans="1:15" x14ac:dyDescent="0.35">
      <c r="A603" t="s">
        <v>1302</v>
      </c>
      <c r="B603" s="1">
        <v>45523</v>
      </c>
      <c r="C603" s="1">
        <v>45537</v>
      </c>
      <c r="D603" t="s">
        <v>52</v>
      </c>
      <c r="E603" t="s">
        <v>53</v>
      </c>
      <c r="F603" t="s">
        <v>54</v>
      </c>
      <c r="G603" t="s">
        <v>48</v>
      </c>
      <c r="H603" t="s">
        <v>55</v>
      </c>
      <c r="I603" t="s">
        <v>21</v>
      </c>
      <c r="J603" t="s">
        <v>30</v>
      </c>
      <c r="K603" t="s">
        <v>1303</v>
      </c>
      <c r="L603">
        <v>1337.01</v>
      </c>
      <c r="M603">
        <v>1269.78</v>
      </c>
      <c r="N603">
        <v>0.16</v>
      </c>
      <c r="O603">
        <v>7</v>
      </c>
    </row>
    <row r="604" spans="1:15" x14ac:dyDescent="0.35">
      <c r="A604" t="s">
        <v>1304</v>
      </c>
      <c r="B604" s="1">
        <v>45880</v>
      </c>
      <c r="C604" s="1">
        <v>45897</v>
      </c>
      <c r="D604" t="s">
        <v>78</v>
      </c>
      <c r="E604" t="s">
        <v>90</v>
      </c>
      <c r="F604" t="s">
        <v>217</v>
      </c>
      <c r="G604" t="s">
        <v>27</v>
      </c>
      <c r="H604" t="s">
        <v>28</v>
      </c>
      <c r="I604" t="s">
        <v>84</v>
      </c>
      <c r="J604" t="s">
        <v>35</v>
      </c>
      <c r="K604" t="s">
        <v>1305</v>
      </c>
      <c r="L604">
        <v>416.16</v>
      </c>
      <c r="M604">
        <v>571.9</v>
      </c>
      <c r="N604">
        <v>7.0999999999999994E-2</v>
      </c>
      <c r="O604">
        <v>2</v>
      </c>
    </row>
    <row r="605" spans="1:15" x14ac:dyDescent="0.35">
      <c r="A605" t="s">
        <v>1306</v>
      </c>
      <c r="B605" s="1">
        <v>45793</v>
      </c>
      <c r="C605" s="1">
        <v>45795</v>
      </c>
      <c r="D605" t="s">
        <v>45</v>
      </c>
      <c r="E605" t="s">
        <v>46</v>
      </c>
      <c r="F605" t="s">
        <v>214</v>
      </c>
      <c r="G605" t="s">
        <v>105</v>
      </c>
      <c r="H605" t="s">
        <v>20</v>
      </c>
      <c r="I605" t="s">
        <v>29</v>
      </c>
      <c r="J605" t="s">
        <v>30</v>
      </c>
      <c r="K605" t="s">
        <v>1307</v>
      </c>
      <c r="L605">
        <v>1144.3800000000001</v>
      </c>
      <c r="M605">
        <v>2755.04</v>
      </c>
      <c r="N605">
        <v>0.15</v>
      </c>
      <c r="O605">
        <v>17</v>
      </c>
    </row>
    <row r="606" spans="1:15" x14ac:dyDescent="0.35">
      <c r="A606" t="s">
        <v>1308</v>
      </c>
      <c r="B606" s="1">
        <v>45026</v>
      </c>
      <c r="C606" s="1">
        <v>45041</v>
      </c>
      <c r="D606" t="s">
        <v>78</v>
      </c>
      <c r="E606" t="s">
        <v>108</v>
      </c>
      <c r="F606" t="s">
        <v>152</v>
      </c>
      <c r="G606" t="s">
        <v>62</v>
      </c>
      <c r="H606" t="s">
        <v>20</v>
      </c>
      <c r="I606" t="s">
        <v>145</v>
      </c>
      <c r="J606" t="s">
        <v>30</v>
      </c>
      <c r="K606" t="s">
        <v>1309</v>
      </c>
      <c r="L606">
        <v>405.66</v>
      </c>
      <c r="M606">
        <v>962.51</v>
      </c>
      <c r="N606">
        <v>0.19</v>
      </c>
      <c r="O606">
        <v>7</v>
      </c>
    </row>
    <row r="607" spans="1:15" x14ac:dyDescent="0.35">
      <c r="A607" t="s">
        <v>1310</v>
      </c>
      <c r="B607" s="1">
        <v>45186</v>
      </c>
      <c r="C607" s="1">
        <v>45201</v>
      </c>
      <c r="D607" t="s">
        <v>52</v>
      </c>
      <c r="E607" t="s">
        <v>73</v>
      </c>
      <c r="F607" t="s">
        <v>225</v>
      </c>
      <c r="G607" t="s">
        <v>62</v>
      </c>
      <c r="H607" t="s">
        <v>20</v>
      </c>
      <c r="I607" t="s">
        <v>56</v>
      </c>
      <c r="J607" t="s">
        <v>57</v>
      </c>
      <c r="K607" t="s">
        <v>1311</v>
      </c>
      <c r="L607">
        <v>689.33</v>
      </c>
      <c r="M607">
        <v>668.27</v>
      </c>
      <c r="N607">
        <v>0.186</v>
      </c>
      <c r="O607">
        <v>13</v>
      </c>
    </row>
    <row r="608" spans="1:15" x14ac:dyDescent="0.35">
      <c r="A608" t="s">
        <v>1312</v>
      </c>
      <c r="B608" s="1">
        <v>45038</v>
      </c>
      <c r="C608" s="1">
        <v>45060</v>
      </c>
      <c r="D608" t="s">
        <v>45</v>
      </c>
      <c r="E608" t="s">
        <v>46</v>
      </c>
      <c r="F608" t="s">
        <v>231</v>
      </c>
      <c r="G608" t="s">
        <v>105</v>
      </c>
      <c r="H608" t="s">
        <v>20</v>
      </c>
      <c r="I608" t="s">
        <v>75</v>
      </c>
      <c r="J608" t="s">
        <v>81</v>
      </c>
      <c r="K608" t="s">
        <v>1313</v>
      </c>
      <c r="L608">
        <v>1209.22</v>
      </c>
      <c r="M608">
        <v>1404.33</v>
      </c>
      <c r="N608">
        <v>0.10299999999999999</v>
      </c>
      <c r="O608">
        <v>11</v>
      </c>
    </row>
    <row r="609" spans="1:15" x14ac:dyDescent="0.35">
      <c r="A609" t="s">
        <v>1314</v>
      </c>
      <c r="B609" s="1">
        <v>45827</v>
      </c>
      <c r="C609" s="1">
        <v>45829</v>
      </c>
      <c r="D609" t="s">
        <v>16</v>
      </c>
      <c r="E609" t="s">
        <v>148</v>
      </c>
      <c r="F609" t="s">
        <v>149</v>
      </c>
      <c r="G609" t="s">
        <v>62</v>
      </c>
      <c r="I609" t="s">
        <v>92</v>
      </c>
      <c r="J609" t="s">
        <v>42</v>
      </c>
      <c r="K609" t="s">
        <v>1315</v>
      </c>
      <c r="L609">
        <v>1466.27</v>
      </c>
      <c r="M609">
        <v>3589.89</v>
      </c>
      <c r="N609">
        <v>9.7000000000000003E-2</v>
      </c>
      <c r="O609">
        <v>9</v>
      </c>
    </row>
    <row r="610" spans="1:15" x14ac:dyDescent="0.35">
      <c r="A610" t="s">
        <v>1316</v>
      </c>
      <c r="B610" s="1">
        <v>45623</v>
      </c>
      <c r="C610" s="1">
        <v>45650</v>
      </c>
      <c r="D610" t="s">
        <v>16</v>
      </c>
      <c r="E610" t="s">
        <v>17</v>
      </c>
      <c r="F610" t="s">
        <v>113</v>
      </c>
      <c r="G610" t="s">
        <v>19</v>
      </c>
      <c r="H610" t="s">
        <v>55</v>
      </c>
      <c r="I610" t="s">
        <v>56</v>
      </c>
      <c r="J610" t="s">
        <v>30</v>
      </c>
      <c r="K610" t="s">
        <v>1317</v>
      </c>
      <c r="L610">
        <v>143.33000000000001</v>
      </c>
      <c r="M610">
        <v>233.51</v>
      </c>
      <c r="N610">
        <v>0.16300000000000001</v>
      </c>
      <c r="O610">
        <v>14</v>
      </c>
    </row>
    <row r="611" spans="1:15" x14ac:dyDescent="0.35">
      <c r="A611" t="s">
        <v>1318</v>
      </c>
      <c r="B611" s="1">
        <v>45319</v>
      </c>
      <c r="C611" s="1">
        <v>45318</v>
      </c>
      <c r="D611" t="s">
        <v>16</v>
      </c>
      <c r="E611" t="s">
        <v>148</v>
      </c>
      <c r="F611" t="s">
        <v>258</v>
      </c>
      <c r="G611" t="s">
        <v>105</v>
      </c>
      <c r="H611" t="s">
        <v>98</v>
      </c>
      <c r="I611" t="s">
        <v>68</v>
      </c>
      <c r="J611" t="s">
        <v>22</v>
      </c>
      <c r="K611" t="s">
        <v>1319</v>
      </c>
      <c r="L611">
        <v>109.75</v>
      </c>
      <c r="M611">
        <v>124.25</v>
      </c>
      <c r="N611">
        <v>0.12</v>
      </c>
      <c r="O611">
        <v>19</v>
      </c>
    </row>
    <row r="612" spans="1:15" x14ac:dyDescent="0.35">
      <c r="A612" t="s">
        <v>1320</v>
      </c>
      <c r="B612" s="1">
        <v>45032</v>
      </c>
      <c r="C612" s="1">
        <v>45039</v>
      </c>
      <c r="D612" t="s">
        <v>52</v>
      </c>
      <c r="E612" t="s">
        <v>122</v>
      </c>
      <c r="F612" t="s">
        <v>326</v>
      </c>
      <c r="G612" t="s">
        <v>19</v>
      </c>
      <c r="H612" t="s">
        <v>55</v>
      </c>
      <c r="I612" t="s">
        <v>68</v>
      </c>
      <c r="J612" t="s">
        <v>30</v>
      </c>
      <c r="K612" t="s">
        <v>1321</v>
      </c>
      <c r="L612">
        <v>1099.1500000000001</v>
      </c>
      <c r="M612">
        <v>1431.37</v>
      </c>
      <c r="N612">
        <v>0.104</v>
      </c>
      <c r="O612">
        <v>8</v>
      </c>
    </row>
    <row r="613" spans="1:15" x14ac:dyDescent="0.35">
      <c r="A613" t="s">
        <v>1322</v>
      </c>
      <c r="B613" s="1">
        <v>45323</v>
      </c>
      <c r="C613" s="1">
        <v>45323</v>
      </c>
      <c r="D613" t="s">
        <v>52</v>
      </c>
      <c r="E613" t="s">
        <v>122</v>
      </c>
      <c r="F613" t="s">
        <v>326</v>
      </c>
      <c r="G613" t="s">
        <v>48</v>
      </c>
      <c r="H613" t="s">
        <v>55</v>
      </c>
      <c r="I613" t="s">
        <v>92</v>
      </c>
      <c r="J613" t="s">
        <v>30</v>
      </c>
      <c r="K613" t="s">
        <v>1323</v>
      </c>
      <c r="L613">
        <v>714.43</v>
      </c>
      <c r="M613">
        <v>1595.52</v>
      </c>
      <c r="N613">
        <v>0.19400000000000001</v>
      </c>
      <c r="O613">
        <v>14</v>
      </c>
    </row>
    <row r="614" spans="1:15" x14ac:dyDescent="0.35">
      <c r="A614" t="s">
        <v>1324</v>
      </c>
      <c r="B614" s="1">
        <v>45584</v>
      </c>
      <c r="C614" s="1">
        <v>45602</v>
      </c>
      <c r="D614" t="s">
        <v>52</v>
      </c>
      <c r="E614" t="s">
        <v>122</v>
      </c>
      <c r="F614" t="s">
        <v>123</v>
      </c>
      <c r="G614" t="s">
        <v>27</v>
      </c>
      <c r="I614" t="s">
        <v>21</v>
      </c>
      <c r="J614" t="s">
        <v>64</v>
      </c>
      <c r="K614" t="s">
        <v>1325</v>
      </c>
      <c r="L614">
        <v>942.02</v>
      </c>
      <c r="M614">
        <v>1028.46</v>
      </c>
      <c r="N614">
        <v>0</v>
      </c>
      <c r="O614">
        <v>9</v>
      </c>
    </row>
    <row r="615" spans="1:15" x14ac:dyDescent="0.35">
      <c r="A615" t="s">
        <v>1326</v>
      </c>
      <c r="B615" s="1">
        <v>45468</v>
      </c>
      <c r="C615" s="1">
        <v>45473</v>
      </c>
      <c r="D615" t="s">
        <v>16</v>
      </c>
      <c r="E615" t="s">
        <v>17</v>
      </c>
      <c r="F615" t="s">
        <v>18</v>
      </c>
      <c r="G615" t="s">
        <v>27</v>
      </c>
      <c r="H615" t="s">
        <v>98</v>
      </c>
      <c r="I615" t="s">
        <v>110</v>
      </c>
      <c r="J615" t="s">
        <v>35</v>
      </c>
      <c r="K615" t="s">
        <v>1327</v>
      </c>
      <c r="L615">
        <v>1323.55</v>
      </c>
      <c r="M615">
        <v>3230.35</v>
      </c>
      <c r="N615">
        <v>2.1999999999999999E-2</v>
      </c>
      <c r="O615">
        <v>26</v>
      </c>
    </row>
    <row r="616" spans="1:15" x14ac:dyDescent="0.35">
      <c r="A616" t="s">
        <v>1328</v>
      </c>
      <c r="B616" s="1">
        <v>45137</v>
      </c>
      <c r="C616" s="1">
        <v>45157</v>
      </c>
      <c r="D616" t="s">
        <v>78</v>
      </c>
      <c r="E616" t="s">
        <v>90</v>
      </c>
      <c r="F616" t="s">
        <v>217</v>
      </c>
      <c r="G616" t="s">
        <v>105</v>
      </c>
      <c r="H616" t="s">
        <v>40</v>
      </c>
      <c r="I616" t="s">
        <v>41</v>
      </c>
      <c r="J616" t="s">
        <v>35</v>
      </c>
      <c r="K616" t="s">
        <v>1329</v>
      </c>
      <c r="L616">
        <v>1418.51</v>
      </c>
      <c r="M616">
        <v>2789.61</v>
      </c>
      <c r="N616">
        <v>0.17100000000000001</v>
      </c>
      <c r="O616">
        <v>8</v>
      </c>
    </row>
    <row r="617" spans="1:15" x14ac:dyDescent="0.35">
      <c r="A617" t="s">
        <v>1330</v>
      </c>
      <c r="B617" s="1">
        <v>45727</v>
      </c>
      <c r="C617" s="1">
        <v>45743</v>
      </c>
      <c r="D617" t="s">
        <v>45</v>
      </c>
      <c r="E617" t="s">
        <v>46</v>
      </c>
      <c r="F617" t="s">
        <v>214</v>
      </c>
      <c r="G617" t="s">
        <v>105</v>
      </c>
      <c r="H617" t="s">
        <v>55</v>
      </c>
      <c r="I617" t="s">
        <v>56</v>
      </c>
      <c r="J617" t="s">
        <v>30</v>
      </c>
      <c r="K617" t="s">
        <v>1331</v>
      </c>
      <c r="L617">
        <v>1317.58</v>
      </c>
      <c r="M617">
        <v>1897.74</v>
      </c>
      <c r="N617">
        <v>8.1000000000000003E-2</v>
      </c>
      <c r="O617">
        <v>6</v>
      </c>
    </row>
    <row r="618" spans="1:15" x14ac:dyDescent="0.35">
      <c r="A618" t="s">
        <v>1332</v>
      </c>
      <c r="B618" s="1">
        <v>45208</v>
      </c>
      <c r="C618" s="1">
        <v>45210</v>
      </c>
      <c r="D618" t="s">
        <v>16</v>
      </c>
      <c r="E618" t="s">
        <v>25</v>
      </c>
      <c r="F618" t="s">
        <v>26</v>
      </c>
      <c r="G618" t="s">
        <v>27</v>
      </c>
      <c r="H618" t="s">
        <v>40</v>
      </c>
      <c r="I618" t="s">
        <v>95</v>
      </c>
      <c r="J618" t="s">
        <v>35</v>
      </c>
      <c r="K618" t="s">
        <v>1333</v>
      </c>
      <c r="L618">
        <v>391.16</v>
      </c>
      <c r="M618">
        <v>902.47</v>
      </c>
      <c r="N618">
        <v>4.0000000000000001E-3</v>
      </c>
      <c r="O618">
        <v>12</v>
      </c>
    </row>
    <row r="619" spans="1:15" x14ac:dyDescent="0.35">
      <c r="A619" t="s">
        <v>1334</v>
      </c>
      <c r="B619" s="1">
        <v>45643</v>
      </c>
      <c r="C619" s="1">
        <v>45673</v>
      </c>
      <c r="D619" t="s">
        <v>78</v>
      </c>
      <c r="E619" t="s">
        <v>108</v>
      </c>
      <c r="F619" t="s">
        <v>228</v>
      </c>
      <c r="G619" t="s">
        <v>19</v>
      </c>
      <c r="H619" t="s">
        <v>20</v>
      </c>
      <c r="I619" t="s">
        <v>145</v>
      </c>
      <c r="J619" t="s">
        <v>64</v>
      </c>
      <c r="K619" t="s">
        <v>1335</v>
      </c>
      <c r="L619">
        <v>722.87</v>
      </c>
      <c r="M619">
        <v>-33.659999999999997</v>
      </c>
      <c r="N619">
        <v>0.10199999999999999</v>
      </c>
      <c r="O619">
        <v>28</v>
      </c>
    </row>
    <row r="620" spans="1:15" x14ac:dyDescent="0.35">
      <c r="A620" t="s">
        <v>1336</v>
      </c>
      <c r="B620" s="1">
        <v>45849</v>
      </c>
      <c r="C620" s="1">
        <v>45854</v>
      </c>
      <c r="D620" t="s">
        <v>78</v>
      </c>
      <c r="E620" t="s">
        <v>108</v>
      </c>
      <c r="F620" t="s">
        <v>152</v>
      </c>
      <c r="G620" t="s">
        <v>105</v>
      </c>
      <c r="H620" t="s">
        <v>28</v>
      </c>
      <c r="I620" t="s">
        <v>95</v>
      </c>
      <c r="J620" t="s">
        <v>30</v>
      </c>
      <c r="K620" t="s">
        <v>1337</v>
      </c>
      <c r="L620">
        <v>930.03</v>
      </c>
      <c r="M620">
        <v>1086.68</v>
      </c>
      <c r="N620">
        <v>0.109</v>
      </c>
      <c r="O620">
        <v>26</v>
      </c>
    </row>
    <row r="621" spans="1:15" x14ac:dyDescent="0.35">
      <c r="A621" t="s">
        <v>1338</v>
      </c>
      <c r="B621" s="1">
        <v>45578</v>
      </c>
      <c r="C621" s="1">
        <v>45589</v>
      </c>
      <c r="D621" t="s">
        <v>78</v>
      </c>
      <c r="E621" t="s">
        <v>90</v>
      </c>
      <c r="F621" t="s">
        <v>217</v>
      </c>
      <c r="G621" t="s">
        <v>27</v>
      </c>
      <c r="H621" t="s">
        <v>55</v>
      </c>
      <c r="I621" t="s">
        <v>84</v>
      </c>
      <c r="J621" t="s">
        <v>22</v>
      </c>
      <c r="K621" t="s">
        <v>1339</v>
      </c>
      <c r="L621">
        <v>816.7</v>
      </c>
      <c r="M621">
        <v>1010.75</v>
      </c>
      <c r="N621">
        <v>4.7E-2</v>
      </c>
      <c r="O621">
        <v>43</v>
      </c>
    </row>
    <row r="622" spans="1:15" x14ac:dyDescent="0.35">
      <c r="A622" t="s">
        <v>1340</v>
      </c>
      <c r="B622" s="1">
        <v>45177</v>
      </c>
      <c r="C622" s="1">
        <v>45183</v>
      </c>
      <c r="D622" t="s">
        <v>16</v>
      </c>
      <c r="E622" t="s">
        <v>17</v>
      </c>
      <c r="F622" t="s">
        <v>135</v>
      </c>
      <c r="G622" t="s">
        <v>27</v>
      </c>
      <c r="H622" t="s">
        <v>98</v>
      </c>
      <c r="I622" t="s">
        <v>34</v>
      </c>
      <c r="J622" t="s">
        <v>81</v>
      </c>
      <c r="K622" t="s">
        <v>1341</v>
      </c>
      <c r="L622">
        <v>251.03</v>
      </c>
      <c r="M622">
        <v>411.48</v>
      </c>
      <c r="N622">
        <v>0.16500000000000001</v>
      </c>
      <c r="O622">
        <v>3</v>
      </c>
    </row>
    <row r="623" spans="1:15" x14ac:dyDescent="0.35">
      <c r="A623" t="s">
        <v>1342</v>
      </c>
      <c r="B623" s="1">
        <v>45764</v>
      </c>
      <c r="C623" s="1">
        <v>45780</v>
      </c>
      <c r="D623" t="s">
        <v>52</v>
      </c>
      <c r="E623" t="s">
        <v>73</v>
      </c>
      <c r="F623" t="s">
        <v>225</v>
      </c>
      <c r="G623" t="s">
        <v>48</v>
      </c>
      <c r="H623" t="s">
        <v>40</v>
      </c>
      <c r="I623" t="s">
        <v>29</v>
      </c>
      <c r="J623" t="s">
        <v>35</v>
      </c>
      <c r="K623" t="s">
        <v>1343</v>
      </c>
      <c r="L623">
        <v>168.68</v>
      </c>
      <c r="M623">
        <v>413.34</v>
      </c>
      <c r="N623">
        <v>0.186</v>
      </c>
      <c r="O623">
        <v>7</v>
      </c>
    </row>
    <row r="624" spans="1:15" x14ac:dyDescent="0.35">
      <c r="A624" t="s">
        <v>1344</v>
      </c>
      <c r="B624" s="1">
        <v>45501</v>
      </c>
      <c r="C624" s="1">
        <v>45527</v>
      </c>
      <c r="D624" t="s">
        <v>45</v>
      </c>
      <c r="E624" t="s">
        <v>60</v>
      </c>
      <c r="F624" t="s">
        <v>281</v>
      </c>
      <c r="G624" t="s">
        <v>19</v>
      </c>
      <c r="H624" t="s">
        <v>20</v>
      </c>
      <c r="I624" t="s">
        <v>29</v>
      </c>
      <c r="J624" t="s">
        <v>35</v>
      </c>
      <c r="K624" t="s">
        <v>1345</v>
      </c>
      <c r="L624">
        <v>1339.24</v>
      </c>
      <c r="M624">
        <v>1558.89</v>
      </c>
      <c r="N624">
        <v>0.192</v>
      </c>
      <c r="O624">
        <v>24</v>
      </c>
    </row>
    <row r="625" spans="1:15" x14ac:dyDescent="0.35">
      <c r="A625" t="s">
        <v>1346</v>
      </c>
      <c r="B625" s="1">
        <v>45857</v>
      </c>
      <c r="C625" s="1">
        <v>45869</v>
      </c>
      <c r="D625" t="s">
        <v>16</v>
      </c>
      <c r="E625" t="s">
        <v>17</v>
      </c>
      <c r="F625" t="s">
        <v>33</v>
      </c>
      <c r="G625" t="s">
        <v>62</v>
      </c>
      <c r="H625" t="s">
        <v>40</v>
      </c>
      <c r="I625" t="s">
        <v>68</v>
      </c>
      <c r="J625" t="s">
        <v>81</v>
      </c>
      <c r="K625" t="s">
        <v>1347</v>
      </c>
      <c r="L625">
        <v>619.64</v>
      </c>
      <c r="M625">
        <v>861.16</v>
      </c>
      <c r="N625">
        <v>0.113</v>
      </c>
      <c r="O625">
        <v>14</v>
      </c>
    </row>
    <row r="626" spans="1:15" x14ac:dyDescent="0.35">
      <c r="A626" t="s">
        <v>1348</v>
      </c>
      <c r="B626" s="1">
        <v>45141</v>
      </c>
      <c r="C626" s="1">
        <v>45140</v>
      </c>
      <c r="D626" t="s">
        <v>45</v>
      </c>
      <c r="E626" t="s">
        <v>116</v>
      </c>
      <c r="F626" t="s">
        <v>162</v>
      </c>
      <c r="G626" t="s">
        <v>39</v>
      </c>
      <c r="H626" t="s">
        <v>98</v>
      </c>
      <c r="I626" t="s">
        <v>29</v>
      </c>
      <c r="J626" t="s">
        <v>35</v>
      </c>
      <c r="K626" t="s">
        <v>1349</v>
      </c>
      <c r="L626">
        <v>1021.97</v>
      </c>
      <c r="M626">
        <v>2296.25</v>
      </c>
      <c r="N626">
        <v>0.161</v>
      </c>
      <c r="O626">
        <v>26</v>
      </c>
    </row>
    <row r="627" spans="1:15" x14ac:dyDescent="0.35">
      <c r="A627" t="s">
        <v>1350</v>
      </c>
      <c r="B627" s="1">
        <v>45249</v>
      </c>
      <c r="C627" s="1">
        <v>45272</v>
      </c>
      <c r="D627" t="s">
        <v>45</v>
      </c>
      <c r="E627" t="s">
        <v>60</v>
      </c>
      <c r="F627" t="s">
        <v>141</v>
      </c>
      <c r="G627" t="s">
        <v>62</v>
      </c>
      <c r="H627" t="s">
        <v>98</v>
      </c>
      <c r="I627" t="s">
        <v>21</v>
      </c>
      <c r="J627" t="s">
        <v>35</v>
      </c>
      <c r="K627" t="s">
        <v>1351</v>
      </c>
      <c r="L627">
        <v>1349.04</v>
      </c>
      <c r="M627">
        <v>2636.6</v>
      </c>
      <c r="N627">
        <v>0.114</v>
      </c>
      <c r="O627">
        <v>14</v>
      </c>
    </row>
    <row r="628" spans="1:15" x14ac:dyDescent="0.35">
      <c r="A628" t="s">
        <v>1352</v>
      </c>
      <c r="B628" s="1">
        <v>45282</v>
      </c>
      <c r="C628" s="1">
        <v>45307</v>
      </c>
      <c r="D628" t="s">
        <v>45</v>
      </c>
      <c r="E628" t="s">
        <v>60</v>
      </c>
      <c r="F628" t="s">
        <v>281</v>
      </c>
      <c r="G628" t="s">
        <v>62</v>
      </c>
      <c r="H628" t="s">
        <v>20</v>
      </c>
      <c r="I628" t="s">
        <v>75</v>
      </c>
      <c r="J628" t="s">
        <v>22</v>
      </c>
      <c r="K628" t="s">
        <v>1353</v>
      </c>
      <c r="L628">
        <v>1346.81</v>
      </c>
      <c r="M628">
        <v>978.09</v>
      </c>
      <c r="N628">
        <v>0.159</v>
      </c>
      <c r="O628">
        <v>17</v>
      </c>
    </row>
    <row r="629" spans="1:15" x14ac:dyDescent="0.35">
      <c r="A629" t="s">
        <v>1354</v>
      </c>
      <c r="B629" s="1">
        <v>45141</v>
      </c>
      <c r="C629" s="1">
        <v>45168</v>
      </c>
      <c r="D629" t="s">
        <v>45</v>
      </c>
      <c r="E629" t="s">
        <v>116</v>
      </c>
      <c r="F629" t="s">
        <v>162</v>
      </c>
      <c r="G629" t="s">
        <v>48</v>
      </c>
      <c r="H629" t="s">
        <v>55</v>
      </c>
      <c r="I629" t="s">
        <v>126</v>
      </c>
      <c r="J629" t="s">
        <v>64</v>
      </c>
      <c r="K629" t="s">
        <v>1355</v>
      </c>
      <c r="L629">
        <v>226.04</v>
      </c>
      <c r="M629">
        <v>545.72</v>
      </c>
      <c r="N629">
        <v>0.151</v>
      </c>
      <c r="O629">
        <v>11</v>
      </c>
    </row>
    <row r="630" spans="1:15" x14ac:dyDescent="0.35">
      <c r="A630" t="s">
        <v>1356</v>
      </c>
      <c r="B630" s="1">
        <v>45100</v>
      </c>
      <c r="C630" s="1">
        <v>45125</v>
      </c>
      <c r="D630" t="s">
        <v>52</v>
      </c>
      <c r="E630" t="s">
        <v>53</v>
      </c>
      <c r="F630" t="s">
        <v>179</v>
      </c>
      <c r="G630" t="s">
        <v>105</v>
      </c>
      <c r="H630" t="s">
        <v>28</v>
      </c>
      <c r="I630" t="s">
        <v>126</v>
      </c>
      <c r="J630" t="s">
        <v>42</v>
      </c>
      <c r="K630" t="s">
        <v>1357</v>
      </c>
      <c r="L630">
        <v>807.02</v>
      </c>
      <c r="M630">
        <v>1435.54</v>
      </c>
      <c r="N630">
        <v>0</v>
      </c>
      <c r="O630">
        <v>23</v>
      </c>
    </row>
    <row r="631" spans="1:15" x14ac:dyDescent="0.35">
      <c r="A631" t="s">
        <v>1358</v>
      </c>
      <c r="B631" s="1">
        <v>45267</v>
      </c>
      <c r="C631" s="1">
        <v>45293</v>
      </c>
      <c r="D631" t="s">
        <v>78</v>
      </c>
      <c r="E631" t="s">
        <v>79</v>
      </c>
      <c r="F631" t="s">
        <v>335</v>
      </c>
      <c r="G631" t="s">
        <v>105</v>
      </c>
      <c r="H631" t="s">
        <v>55</v>
      </c>
      <c r="I631" t="s">
        <v>63</v>
      </c>
      <c r="J631" t="s">
        <v>22</v>
      </c>
      <c r="K631" t="s">
        <v>1359</v>
      </c>
      <c r="L631">
        <v>1071.99</v>
      </c>
      <c r="M631">
        <v>2397.3000000000002</v>
      </c>
      <c r="N631">
        <v>6.2E-2</v>
      </c>
      <c r="O631">
        <v>18</v>
      </c>
    </row>
    <row r="632" spans="1:15" x14ac:dyDescent="0.35">
      <c r="A632" t="s">
        <v>1360</v>
      </c>
      <c r="B632" s="1">
        <v>45249</v>
      </c>
      <c r="C632" s="1">
        <v>45279</v>
      </c>
      <c r="D632" t="s">
        <v>45</v>
      </c>
      <c r="E632" t="s">
        <v>46</v>
      </c>
      <c r="F632" t="s">
        <v>231</v>
      </c>
      <c r="G632" t="s">
        <v>48</v>
      </c>
      <c r="H632" t="s">
        <v>20</v>
      </c>
      <c r="J632" t="s">
        <v>42</v>
      </c>
      <c r="K632" t="s">
        <v>1361</v>
      </c>
      <c r="L632">
        <v>807.11</v>
      </c>
      <c r="M632">
        <v>1853.86</v>
      </c>
      <c r="N632">
        <v>0.13900000000000001</v>
      </c>
      <c r="O632">
        <v>8</v>
      </c>
    </row>
    <row r="633" spans="1:15" x14ac:dyDescent="0.35">
      <c r="A633" t="s">
        <v>1362</v>
      </c>
      <c r="B633" s="1">
        <v>45716</v>
      </c>
      <c r="C633" s="1">
        <v>45726</v>
      </c>
      <c r="D633" t="s">
        <v>45</v>
      </c>
      <c r="E633" t="s">
        <v>46</v>
      </c>
      <c r="F633" t="s">
        <v>47</v>
      </c>
      <c r="G633" t="s">
        <v>27</v>
      </c>
      <c r="H633" t="s">
        <v>55</v>
      </c>
      <c r="I633" t="s">
        <v>126</v>
      </c>
      <c r="J633" t="s">
        <v>57</v>
      </c>
      <c r="K633" t="s">
        <v>1363</v>
      </c>
      <c r="L633">
        <v>51.86</v>
      </c>
      <c r="M633">
        <v>45.98</v>
      </c>
      <c r="N633">
        <v>0.17299999999999999</v>
      </c>
      <c r="O633">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3DAC2-955A-496F-81B9-8A00D4D6CF62}">
  <sheetPr>
    <tabColor rgb="FF002060"/>
  </sheetPr>
  <dimension ref="A3:A127"/>
  <sheetViews>
    <sheetView workbookViewId="0">
      <selection activeCell="L2" sqref="L2"/>
    </sheetView>
  </sheetViews>
  <sheetFormatPr defaultRowHeight="14.5" x14ac:dyDescent="0.35"/>
  <cols>
    <col min="1" max="1" width="20.08984375" bestFit="1" customWidth="1"/>
  </cols>
  <sheetData>
    <row r="3" spans="1:1" x14ac:dyDescent="0.35">
      <c r="A3" s="8" t="s">
        <v>1383</v>
      </c>
    </row>
    <row r="4" spans="1:1" x14ac:dyDescent="0.35">
      <c r="A4" s="9" t="s">
        <v>67</v>
      </c>
    </row>
    <row r="5" spans="1:1" x14ac:dyDescent="0.35">
      <c r="A5" s="10" t="s">
        <v>16</v>
      </c>
    </row>
    <row r="6" spans="1:1" x14ac:dyDescent="0.35">
      <c r="A6" s="11" t="s">
        <v>25</v>
      </c>
    </row>
    <row r="7" spans="1:1" x14ac:dyDescent="0.35">
      <c r="A7" s="9" t="s">
        <v>326</v>
      </c>
    </row>
    <row r="8" spans="1:1" x14ac:dyDescent="0.35">
      <c r="A8" s="10" t="s">
        <v>52</v>
      </c>
    </row>
    <row r="9" spans="1:1" x14ac:dyDescent="0.35">
      <c r="A9" s="11" t="s">
        <v>122</v>
      </c>
    </row>
    <row r="10" spans="1:1" x14ac:dyDescent="0.35">
      <c r="A10" s="9" t="s">
        <v>338</v>
      </c>
    </row>
    <row r="11" spans="1:1" x14ac:dyDescent="0.35">
      <c r="A11" s="10" t="s">
        <v>45</v>
      </c>
    </row>
    <row r="12" spans="1:1" x14ac:dyDescent="0.35">
      <c r="A12" s="11" t="s">
        <v>116</v>
      </c>
    </row>
    <row r="13" spans="1:1" x14ac:dyDescent="0.35">
      <c r="A13" s="9" t="s">
        <v>61</v>
      </c>
    </row>
    <row r="14" spans="1:1" x14ac:dyDescent="0.35">
      <c r="A14" s="10" t="s">
        <v>45</v>
      </c>
    </row>
    <row r="15" spans="1:1" x14ac:dyDescent="0.35">
      <c r="A15" s="11" t="s">
        <v>60</v>
      </c>
    </row>
    <row r="16" spans="1:1" x14ac:dyDescent="0.35">
      <c r="A16" s="9" t="s">
        <v>80</v>
      </c>
    </row>
    <row r="17" spans="1:1" x14ac:dyDescent="0.35">
      <c r="A17" s="10" t="s">
        <v>78</v>
      </c>
    </row>
    <row r="18" spans="1:1" x14ac:dyDescent="0.35">
      <c r="A18" s="11" t="s">
        <v>79</v>
      </c>
    </row>
    <row r="19" spans="1:1" x14ac:dyDescent="0.35">
      <c r="A19" s="9" t="s">
        <v>109</v>
      </c>
    </row>
    <row r="20" spans="1:1" x14ac:dyDescent="0.35">
      <c r="A20" s="10" t="s">
        <v>78</v>
      </c>
    </row>
    <row r="21" spans="1:1" x14ac:dyDescent="0.35">
      <c r="A21" s="11" t="s">
        <v>108</v>
      </c>
    </row>
    <row r="22" spans="1:1" x14ac:dyDescent="0.35">
      <c r="A22" s="9" t="s">
        <v>87</v>
      </c>
    </row>
    <row r="23" spans="1:1" x14ac:dyDescent="0.35">
      <c r="A23" s="10" t="s">
        <v>52</v>
      </c>
    </row>
    <row r="24" spans="1:1" x14ac:dyDescent="0.35">
      <c r="A24" s="11" t="s">
        <v>73</v>
      </c>
    </row>
    <row r="25" spans="1:1" x14ac:dyDescent="0.35">
      <c r="A25" s="9" t="s">
        <v>258</v>
      </c>
    </row>
    <row r="26" spans="1:1" x14ac:dyDescent="0.35">
      <c r="A26" s="10" t="s">
        <v>16</v>
      </c>
    </row>
    <row r="27" spans="1:1" x14ac:dyDescent="0.35">
      <c r="A27" s="11" t="s">
        <v>148</v>
      </c>
    </row>
    <row r="28" spans="1:1" x14ac:dyDescent="0.35">
      <c r="A28" s="9" t="s">
        <v>123</v>
      </c>
    </row>
    <row r="29" spans="1:1" x14ac:dyDescent="0.35">
      <c r="A29" s="10" t="s">
        <v>52</v>
      </c>
    </row>
    <row r="30" spans="1:1" x14ac:dyDescent="0.35">
      <c r="A30" s="11" t="s">
        <v>122</v>
      </c>
    </row>
    <row r="31" spans="1:1" x14ac:dyDescent="0.35">
      <c r="A31" s="9" t="s">
        <v>141</v>
      </c>
    </row>
    <row r="32" spans="1:1" x14ac:dyDescent="0.35">
      <c r="A32" s="10" t="s">
        <v>45</v>
      </c>
    </row>
    <row r="33" spans="1:1" x14ac:dyDescent="0.35">
      <c r="A33" s="11" t="s">
        <v>60</v>
      </c>
    </row>
    <row r="34" spans="1:1" x14ac:dyDescent="0.35">
      <c r="A34" s="9" t="s">
        <v>172</v>
      </c>
    </row>
    <row r="35" spans="1:1" x14ac:dyDescent="0.35">
      <c r="A35" s="10" t="s">
        <v>16</v>
      </c>
    </row>
    <row r="36" spans="1:1" x14ac:dyDescent="0.35">
      <c r="A36" s="11" t="s">
        <v>148</v>
      </c>
    </row>
    <row r="37" spans="1:1" x14ac:dyDescent="0.35">
      <c r="A37" s="9" t="s">
        <v>335</v>
      </c>
    </row>
    <row r="38" spans="1:1" x14ac:dyDescent="0.35">
      <c r="A38" s="10" t="s">
        <v>78</v>
      </c>
    </row>
    <row r="39" spans="1:1" x14ac:dyDescent="0.35">
      <c r="A39" s="11" t="s">
        <v>79</v>
      </c>
    </row>
    <row r="40" spans="1:1" x14ac:dyDescent="0.35">
      <c r="A40" s="9" t="s">
        <v>281</v>
      </c>
    </row>
    <row r="41" spans="1:1" x14ac:dyDescent="0.35">
      <c r="A41" s="10" t="s">
        <v>45</v>
      </c>
    </row>
    <row r="42" spans="1:1" x14ac:dyDescent="0.35">
      <c r="A42" s="11" t="s">
        <v>60</v>
      </c>
    </row>
    <row r="43" spans="1:1" x14ac:dyDescent="0.35">
      <c r="A43" s="9" t="s">
        <v>149</v>
      </c>
    </row>
    <row r="44" spans="1:1" x14ac:dyDescent="0.35">
      <c r="A44" s="10" t="s">
        <v>16</v>
      </c>
    </row>
    <row r="45" spans="1:1" x14ac:dyDescent="0.35">
      <c r="A45" s="11" t="s">
        <v>148</v>
      </c>
    </row>
    <row r="46" spans="1:1" x14ac:dyDescent="0.35">
      <c r="A46" s="9" t="s">
        <v>18</v>
      </c>
    </row>
    <row r="47" spans="1:1" x14ac:dyDescent="0.35">
      <c r="A47" s="10" t="s">
        <v>16</v>
      </c>
    </row>
    <row r="48" spans="1:1" x14ac:dyDescent="0.35">
      <c r="A48" s="11" t="s">
        <v>17</v>
      </c>
    </row>
    <row r="49" spans="1:1" x14ac:dyDescent="0.35">
      <c r="A49" s="9" t="s">
        <v>38</v>
      </c>
    </row>
    <row r="50" spans="1:1" x14ac:dyDescent="0.35">
      <c r="A50" s="10" t="s">
        <v>16</v>
      </c>
    </row>
    <row r="51" spans="1:1" x14ac:dyDescent="0.35">
      <c r="A51" s="11" t="s">
        <v>25</v>
      </c>
    </row>
    <row r="52" spans="1:1" x14ac:dyDescent="0.35">
      <c r="A52" s="9" t="s">
        <v>152</v>
      </c>
    </row>
    <row r="53" spans="1:1" x14ac:dyDescent="0.35">
      <c r="A53" s="10" t="s">
        <v>78</v>
      </c>
    </row>
    <row r="54" spans="1:1" x14ac:dyDescent="0.35">
      <c r="A54" s="11" t="s">
        <v>108</v>
      </c>
    </row>
    <row r="55" spans="1:1" x14ac:dyDescent="0.35">
      <c r="A55" s="9" t="s">
        <v>138</v>
      </c>
    </row>
    <row r="56" spans="1:1" x14ac:dyDescent="0.35">
      <c r="A56" s="10" t="s">
        <v>78</v>
      </c>
    </row>
    <row r="57" spans="1:1" x14ac:dyDescent="0.35">
      <c r="A57" s="11" t="s">
        <v>90</v>
      </c>
    </row>
    <row r="58" spans="1:1" x14ac:dyDescent="0.35">
      <c r="A58" s="9" t="s">
        <v>228</v>
      </c>
    </row>
    <row r="59" spans="1:1" x14ac:dyDescent="0.35">
      <c r="A59" s="10" t="s">
        <v>78</v>
      </c>
    </row>
    <row r="60" spans="1:1" x14ac:dyDescent="0.35">
      <c r="A60" s="11" t="s">
        <v>108</v>
      </c>
    </row>
    <row r="61" spans="1:1" x14ac:dyDescent="0.35">
      <c r="A61" s="9" t="s">
        <v>91</v>
      </c>
    </row>
    <row r="62" spans="1:1" x14ac:dyDescent="0.35">
      <c r="A62" s="10" t="s">
        <v>78</v>
      </c>
    </row>
    <row r="63" spans="1:1" x14ac:dyDescent="0.35">
      <c r="A63" s="11" t="s">
        <v>90</v>
      </c>
    </row>
    <row r="64" spans="1:1" x14ac:dyDescent="0.35">
      <c r="A64" s="9" t="s">
        <v>113</v>
      </c>
    </row>
    <row r="65" spans="1:1" x14ac:dyDescent="0.35">
      <c r="A65" s="10" t="s">
        <v>16</v>
      </c>
    </row>
    <row r="66" spans="1:1" x14ac:dyDescent="0.35">
      <c r="A66" s="11" t="s">
        <v>17</v>
      </c>
    </row>
    <row r="67" spans="1:1" x14ac:dyDescent="0.35">
      <c r="A67" s="9" t="s">
        <v>144</v>
      </c>
    </row>
    <row r="68" spans="1:1" x14ac:dyDescent="0.35">
      <c r="A68" s="10" t="s">
        <v>52</v>
      </c>
    </row>
    <row r="69" spans="1:1" x14ac:dyDescent="0.35">
      <c r="A69" s="11" t="s">
        <v>53</v>
      </c>
    </row>
    <row r="70" spans="1:1" x14ac:dyDescent="0.35">
      <c r="A70" s="9" t="s">
        <v>220</v>
      </c>
    </row>
    <row r="71" spans="1:1" x14ac:dyDescent="0.35">
      <c r="A71" s="10" t="s">
        <v>45</v>
      </c>
    </row>
    <row r="72" spans="1:1" x14ac:dyDescent="0.35">
      <c r="A72" s="11" t="s">
        <v>60</v>
      </c>
    </row>
    <row r="73" spans="1:1" x14ac:dyDescent="0.35">
      <c r="A73" s="9" t="s">
        <v>159</v>
      </c>
    </row>
    <row r="74" spans="1:1" x14ac:dyDescent="0.35">
      <c r="A74" s="10" t="s">
        <v>78</v>
      </c>
    </row>
    <row r="75" spans="1:1" x14ac:dyDescent="0.35">
      <c r="A75" s="11" t="s">
        <v>79</v>
      </c>
    </row>
    <row r="76" spans="1:1" x14ac:dyDescent="0.35">
      <c r="A76" s="9" t="s">
        <v>231</v>
      </c>
    </row>
    <row r="77" spans="1:1" x14ac:dyDescent="0.35">
      <c r="A77" s="10" t="s">
        <v>45</v>
      </c>
    </row>
    <row r="78" spans="1:1" x14ac:dyDescent="0.35">
      <c r="A78" s="11" t="s">
        <v>46</v>
      </c>
    </row>
    <row r="79" spans="1:1" x14ac:dyDescent="0.35">
      <c r="A79" s="9" t="s">
        <v>33</v>
      </c>
    </row>
    <row r="80" spans="1:1" x14ac:dyDescent="0.35">
      <c r="A80" s="10" t="s">
        <v>16</v>
      </c>
    </row>
    <row r="81" spans="1:1" x14ac:dyDescent="0.35">
      <c r="A81" s="11" t="s">
        <v>17</v>
      </c>
    </row>
    <row r="82" spans="1:1" x14ac:dyDescent="0.35">
      <c r="A82" s="9" t="s">
        <v>135</v>
      </c>
    </row>
    <row r="83" spans="1:1" x14ac:dyDescent="0.35">
      <c r="A83" s="10" t="s">
        <v>16</v>
      </c>
    </row>
    <row r="84" spans="1:1" x14ac:dyDescent="0.35">
      <c r="A84" s="11" t="s">
        <v>17</v>
      </c>
    </row>
    <row r="85" spans="1:1" x14ac:dyDescent="0.35">
      <c r="A85" s="9" t="s">
        <v>387</v>
      </c>
    </row>
    <row r="86" spans="1:1" x14ac:dyDescent="0.35">
      <c r="A86" s="10" t="s">
        <v>52</v>
      </c>
    </row>
    <row r="87" spans="1:1" x14ac:dyDescent="0.35">
      <c r="A87" s="11" t="s">
        <v>122</v>
      </c>
    </row>
    <row r="88" spans="1:1" x14ac:dyDescent="0.35">
      <c r="A88" s="9" t="s">
        <v>47</v>
      </c>
    </row>
    <row r="89" spans="1:1" x14ac:dyDescent="0.35">
      <c r="A89" s="10" t="s">
        <v>45</v>
      </c>
    </row>
    <row r="90" spans="1:1" x14ac:dyDescent="0.35">
      <c r="A90" s="11" t="s">
        <v>46</v>
      </c>
    </row>
    <row r="91" spans="1:1" x14ac:dyDescent="0.35">
      <c r="A91" s="9" t="s">
        <v>217</v>
      </c>
    </row>
    <row r="92" spans="1:1" x14ac:dyDescent="0.35">
      <c r="A92" s="10" t="s">
        <v>78</v>
      </c>
    </row>
    <row r="93" spans="1:1" x14ac:dyDescent="0.35">
      <c r="A93" s="11" t="s">
        <v>90</v>
      </c>
    </row>
    <row r="94" spans="1:1" x14ac:dyDescent="0.35">
      <c r="A94" s="9" t="s">
        <v>26</v>
      </c>
    </row>
    <row r="95" spans="1:1" x14ac:dyDescent="0.35">
      <c r="A95" s="10" t="s">
        <v>16</v>
      </c>
    </row>
    <row r="96" spans="1:1" x14ac:dyDescent="0.35">
      <c r="A96" s="11" t="s">
        <v>25</v>
      </c>
    </row>
    <row r="97" spans="1:1" x14ac:dyDescent="0.35">
      <c r="A97" s="9" t="s">
        <v>225</v>
      </c>
    </row>
    <row r="98" spans="1:1" x14ac:dyDescent="0.35">
      <c r="A98" s="10" t="s">
        <v>52</v>
      </c>
    </row>
    <row r="99" spans="1:1" x14ac:dyDescent="0.35">
      <c r="A99" s="11" t="s">
        <v>73</v>
      </c>
    </row>
    <row r="100" spans="1:1" x14ac:dyDescent="0.35">
      <c r="A100" s="9" t="s">
        <v>167</v>
      </c>
    </row>
    <row r="101" spans="1:1" x14ac:dyDescent="0.35">
      <c r="A101" s="10" t="s">
        <v>52</v>
      </c>
    </row>
    <row r="102" spans="1:1" x14ac:dyDescent="0.35">
      <c r="A102" s="11" t="s">
        <v>122</v>
      </c>
    </row>
    <row r="103" spans="1:1" x14ac:dyDescent="0.35">
      <c r="A103" s="9" t="s">
        <v>74</v>
      </c>
    </row>
    <row r="104" spans="1:1" x14ac:dyDescent="0.35">
      <c r="A104" s="10" t="s">
        <v>52</v>
      </c>
    </row>
    <row r="105" spans="1:1" x14ac:dyDescent="0.35">
      <c r="A105" s="11" t="s">
        <v>73</v>
      </c>
    </row>
    <row r="106" spans="1:1" x14ac:dyDescent="0.35">
      <c r="A106" s="9" t="s">
        <v>162</v>
      </c>
    </row>
    <row r="107" spans="1:1" x14ac:dyDescent="0.35">
      <c r="A107" s="10" t="s">
        <v>45</v>
      </c>
    </row>
    <row r="108" spans="1:1" x14ac:dyDescent="0.35">
      <c r="A108" s="11" t="s">
        <v>116</v>
      </c>
    </row>
    <row r="109" spans="1:1" x14ac:dyDescent="0.35">
      <c r="A109" s="9" t="s">
        <v>117</v>
      </c>
    </row>
    <row r="110" spans="1:1" x14ac:dyDescent="0.35">
      <c r="A110" s="10" t="s">
        <v>45</v>
      </c>
    </row>
    <row r="111" spans="1:1" x14ac:dyDescent="0.35">
      <c r="A111" s="11" t="s">
        <v>116</v>
      </c>
    </row>
    <row r="112" spans="1:1" x14ac:dyDescent="0.35">
      <c r="A112" s="9" t="s">
        <v>214</v>
      </c>
    </row>
    <row r="113" spans="1:1" x14ac:dyDescent="0.35">
      <c r="A113" s="10" t="s">
        <v>45</v>
      </c>
    </row>
    <row r="114" spans="1:1" x14ac:dyDescent="0.35">
      <c r="A114" s="11" t="s">
        <v>46</v>
      </c>
    </row>
    <row r="115" spans="1:1" x14ac:dyDescent="0.35">
      <c r="A115" s="9" t="s">
        <v>54</v>
      </c>
    </row>
    <row r="116" spans="1:1" x14ac:dyDescent="0.35">
      <c r="A116" s="10" t="s">
        <v>52</v>
      </c>
    </row>
    <row r="117" spans="1:1" x14ac:dyDescent="0.35">
      <c r="A117" s="11" t="s">
        <v>53</v>
      </c>
    </row>
    <row r="118" spans="1:1" x14ac:dyDescent="0.35">
      <c r="A118" s="9" t="s">
        <v>179</v>
      </c>
    </row>
    <row r="119" spans="1:1" x14ac:dyDescent="0.35">
      <c r="A119" s="10" t="s">
        <v>52</v>
      </c>
    </row>
    <row r="120" spans="1:1" x14ac:dyDescent="0.35">
      <c r="A120" s="11" t="s">
        <v>53</v>
      </c>
    </row>
    <row r="121" spans="1:1" x14ac:dyDescent="0.35">
      <c r="A121" s="9" t="s">
        <v>1385</v>
      </c>
    </row>
    <row r="122" spans="1:1" x14ac:dyDescent="0.35">
      <c r="A122" s="10" t="s">
        <v>52</v>
      </c>
    </row>
    <row r="123" spans="1:1" x14ac:dyDescent="0.35">
      <c r="A123" s="11" t="s">
        <v>73</v>
      </c>
    </row>
    <row r="124" spans="1:1" x14ac:dyDescent="0.35">
      <c r="A124" s="10" t="s">
        <v>45</v>
      </c>
    </row>
    <row r="125" spans="1:1" x14ac:dyDescent="0.35">
      <c r="A125" s="11" t="s">
        <v>116</v>
      </c>
    </row>
    <row r="126" spans="1:1" x14ac:dyDescent="0.35">
      <c r="A126" s="11" t="s">
        <v>60</v>
      </c>
    </row>
    <row r="127" spans="1:1" x14ac:dyDescent="0.35">
      <c r="A127" s="9" t="s">
        <v>1384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7729C-52E1-4DEA-9C72-6CB821D02818}">
  <sheetPr>
    <tabColor theme="4" tint="-0.249977111117893"/>
  </sheetPr>
  <dimension ref="A3:B197"/>
  <sheetViews>
    <sheetView topLeftCell="A99" workbookViewId="0">
      <selection activeCell="A3" sqref="A3"/>
    </sheetView>
  </sheetViews>
  <sheetFormatPr defaultRowHeight="14.5" x14ac:dyDescent="0.35"/>
  <cols>
    <col min="1" max="1" width="16.1796875" bestFit="1" customWidth="1"/>
    <col min="2" max="2" width="19.1796875" bestFit="1" customWidth="1"/>
  </cols>
  <sheetData>
    <row r="3" spans="1:2" x14ac:dyDescent="0.35">
      <c r="A3" s="8" t="s">
        <v>1383</v>
      </c>
      <c r="B3" t="s">
        <v>1423</v>
      </c>
    </row>
    <row r="4" spans="1:2" x14ac:dyDescent="0.35">
      <c r="A4" s="9" t="s">
        <v>73</v>
      </c>
      <c r="B4" s="5">
        <v>482606.43934999994</v>
      </c>
    </row>
    <row r="5" spans="1:2" x14ac:dyDescent="0.35">
      <c r="A5" s="10" t="s">
        <v>1391</v>
      </c>
      <c r="B5" s="5">
        <v>57491.062559999998</v>
      </c>
    </row>
    <row r="6" spans="1:2" x14ac:dyDescent="0.35">
      <c r="A6" s="10" t="s">
        <v>1392</v>
      </c>
      <c r="B6" s="5">
        <v>6393.0952799999995</v>
      </c>
    </row>
    <row r="7" spans="1:2" x14ac:dyDescent="0.35">
      <c r="A7" s="10" t="s">
        <v>1393</v>
      </c>
      <c r="B7" s="5">
        <v>8186.057600000001</v>
      </c>
    </row>
    <row r="8" spans="1:2" x14ac:dyDescent="0.35">
      <c r="A8" s="10" t="s">
        <v>1394</v>
      </c>
      <c r="B8" s="5">
        <v>35396.277799999996</v>
      </c>
    </row>
    <row r="9" spans="1:2" x14ac:dyDescent="0.35">
      <c r="A9" s="10" t="s">
        <v>1396</v>
      </c>
      <c r="B9" s="5">
        <v>12153.267360000002</v>
      </c>
    </row>
    <row r="10" spans="1:2" x14ac:dyDescent="0.35">
      <c r="A10" s="10" t="s">
        <v>1398</v>
      </c>
      <c r="B10" s="5">
        <v>24894.430559999997</v>
      </c>
    </row>
    <row r="11" spans="1:2" x14ac:dyDescent="0.35">
      <c r="A11" s="10" t="s">
        <v>1399</v>
      </c>
      <c r="B11" s="5">
        <v>38535.955099999999</v>
      </c>
    </row>
    <row r="12" spans="1:2" x14ac:dyDescent="0.35">
      <c r="A12" s="10" t="s">
        <v>1400</v>
      </c>
      <c r="B12" s="5">
        <v>70563.592109999998</v>
      </c>
    </row>
    <row r="13" spans="1:2" x14ac:dyDescent="0.35">
      <c r="A13" s="10" t="s">
        <v>1404</v>
      </c>
      <c r="B13" s="5">
        <v>25672.127039999999</v>
      </c>
    </row>
    <row r="14" spans="1:2" x14ac:dyDescent="0.35">
      <c r="A14" s="10" t="s">
        <v>1407</v>
      </c>
      <c r="B14" s="5">
        <v>10161.46624</v>
      </c>
    </row>
    <row r="15" spans="1:2" x14ac:dyDescent="0.35">
      <c r="A15" s="10" t="s">
        <v>1408</v>
      </c>
      <c r="B15" s="5">
        <v>8596.2905599999995</v>
      </c>
    </row>
    <row r="16" spans="1:2" x14ac:dyDescent="0.35">
      <c r="A16" s="10" t="s">
        <v>1410</v>
      </c>
      <c r="B16" s="5">
        <v>24523.006720000001</v>
      </c>
    </row>
    <row r="17" spans="1:2" x14ac:dyDescent="0.35">
      <c r="A17" s="10" t="s">
        <v>1412</v>
      </c>
      <c r="B17" s="5">
        <v>6067.4510799999998</v>
      </c>
    </row>
    <row r="18" spans="1:2" x14ac:dyDescent="0.35">
      <c r="A18" s="10" t="s">
        <v>1415</v>
      </c>
      <c r="B18" s="5">
        <v>67158.244760000001</v>
      </c>
    </row>
    <row r="19" spans="1:2" x14ac:dyDescent="0.35">
      <c r="A19" s="10" t="s">
        <v>1417</v>
      </c>
      <c r="B19" s="5">
        <v>10817.3416</v>
      </c>
    </row>
    <row r="20" spans="1:2" x14ac:dyDescent="0.35">
      <c r="A20" s="10" t="s">
        <v>1421</v>
      </c>
      <c r="B20" s="5">
        <v>59403.568400000004</v>
      </c>
    </row>
    <row r="21" spans="1:2" x14ac:dyDescent="0.35">
      <c r="A21" s="10" t="s">
        <v>1422</v>
      </c>
      <c r="B21" s="5">
        <v>16593.204580000001</v>
      </c>
    </row>
    <row r="22" spans="1:2" x14ac:dyDescent="0.35">
      <c r="A22" s="9" t="s">
        <v>53</v>
      </c>
      <c r="B22" s="5">
        <v>421897.62889000005</v>
      </c>
    </row>
    <row r="23" spans="1:2" x14ac:dyDescent="0.35">
      <c r="A23" s="10" t="s">
        <v>1390</v>
      </c>
      <c r="B23" s="5">
        <v>7098.5495999999994</v>
      </c>
    </row>
    <row r="24" spans="1:2" x14ac:dyDescent="0.35">
      <c r="A24" s="10" t="s">
        <v>1393</v>
      </c>
      <c r="B24" s="5">
        <v>18258.868320000001</v>
      </c>
    </row>
    <row r="25" spans="1:2" x14ac:dyDescent="0.35">
      <c r="A25" s="10" t="s">
        <v>1397</v>
      </c>
      <c r="B25" s="5">
        <v>5960.3340000000007</v>
      </c>
    </row>
    <row r="26" spans="1:2" x14ac:dyDescent="0.35">
      <c r="A26" s="10" t="s">
        <v>1398</v>
      </c>
      <c r="B26" s="5">
        <v>26150.364320000001</v>
      </c>
    </row>
    <row r="27" spans="1:2" x14ac:dyDescent="0.35">
      <c r="A27" s="10" t="s">
        <v>1399</v>
      </c>
      <c r="B27" s="5">
        <v>9774.3888000000006</v>
      </c>
    </row>
    <row r="28" spans="1:2" x14ac:dyDescent="0.35">
      <c r="A28" s="10" t="s">
        <v>1401</v>
      </c>
      <c r="B28" s="5">
        <v>4141.7599999999993</v>
      </c>
    </row>
    <row r="29" spans="1:2" x14ac:dyDescent="0.35">
      <c r="A29" s="10" t="s">
        <v>1404</v>
      </c>
      <c r="B29" s="5">
        <v>29536.716</v>
      </c>
    </row>
    <row r="30" spans="1:2" x14ac:dyDescent="0.35">
      <c r="A30" s="10" t="s">
        <v>1406</v>
      </c>
      <c r="B30" s="5">
        <v>139870.75881</v>
      </c>
    </row>
    <row r="31" spans="1:2" x14ac:dyDescent="0.35">
      <c r="A31" s="10" t="s">
        <v>1407</v>
      </c>
      <c r="B31" s="5">
        <v>11283.400799999999</v>
      </c>
    </row>
    <row r="32" spans="1:2" x14ac:dyDescent="0.35">
      <c r="A32" s="10" t="s">
        <v>1408</v>
      </c>
      <c r="B32" s="5">
        <v>9969.4201499999999</v>
      </c>
    </row>
    <row r="33" spans="1:2" x14ac:dyDescent="0.35">
      <c r="A33" s="10" t="s">
        <v>1409</v>
      </c>
      <c r="B33" s="5">
        <v>765.99195000000009</v>
      </c>
    </row>
    <row r="34" spans="1:2" x14ac:dyDescent="0.35">
      <c r="A34" s="10" t="s">
        <v>1411</v>
      </c>
      <c r="B34" s="5">
        <v>17689.623</v>
      </c>
    </row>
    <row r="35" spans="1:2" x14ac:dyDescent="0.35">
      <c r="A35" s="10" t="s">
        <v>1414</v>
      </c>
      <c r="B35" s="5">
        <v>17930.494560000003</v>
      </c>
    </row>
    <row r="36" spans="1:2" x14ac:dyDescent="0.35">
      <c r="A36" s="10" t="s">
        <v>1415</v>
      </c>
      <c r="B36" s="5">
        <v>50545.319219999998</v>
      </c>
    </row>
    <row r="37" spans="1:2" x14ac:dyDescent="0.35">
      <c r="A37" s="10" t="s">
        <v>1417</v>
      </c>
      <c r="B37" s="5">
        <v>14894.903999999999</v>
      </c>
    </row>
    <row r="38" spans="1:2" x14ac:dyDescent="0.35">
      <c r="A38" s="10" t="s">
        <v>1420</v>
      </c>
      <c r="B38" s="5">
        <v>15530.929919999999</v>
      </c>
    </row>
    <row r="39" spans="1:2" x14ac:dyDescent="0.35">
      <c r="A39" s="10" t="s">
        <v>1421</v>
      </c>
      <c r="B39" s="5">
        <v>42495.805439999996</v>
      </c>
    </row>
    <row r="40" spans="1:2" x14ac:dyDescent="0.35">
      <c r="A40" s="9" t="s">
        <v>116</v>
      </c>
      <c r="B40" s="5">
        <v>262059.53911000001</v>
      </c>
    </row>
    <row r="41" spans="1:2" x14ac:dyDescent="0.35">
      <c r="A41" s="10" t="s">
        <v>1390</v>
      </c>
      <c r="B41" s="5">
        <v>23379.011199999997</v>
      </c>
    </row>
    <row r="42" spans="1:2" x14ac:dyDescent="0.35">
      <c r="A42" s="10" t="s">
        <v>1391</v>
      </c>
      <c r="B42" s="5">
        <v>14197.064400000001</v>
      </c>
    </row>
    <row r="43" spans="1:2" x14ac:dyDescent="0.35">
      <c r="A43" s="10" t="s">
        <v>1395</v>
      </c>
      <c r="B43" s="5">
        <v>33684.350699999995</v>
      </c>
    </row>
    <row r="44" spans="1:2" x14ac:dyDescent="0.35">
      <c r="A44" s="10" t="s">
        <v>1397</v>
      </c>
      <c r="B44" s="5">
        <v>19071.624059999998</v>
      </c>
    </row>
    <row r="45" spans="1:2" x14ac:dyDescent="0.35">
      <c r="A45" s="10" t="s">
        <v>1399</v>
      </c>
      <c r="B45" s="5">
        <v>1446.9507000000001</v>
      </c>
    </row>
    <row r="46" spans="1:2" x14ac:dyDescent="0.35">
      <c r="A46" s="10" t="s">
        <v>1406</v>
      </c>
      <c r="B46" s="5">
        <v>5328.4890400000004</v>
      </c>
    </row>
    <row r="47" spans="1:2" x14ac:dyDescent="0.35">
      <c r="A47" s="10" t="s">
        <v>1407</v>
      </c>
      <c r="B47" s="5">
        <v>5769.2758000000003</v>
      </c>
    </row>
    <row r="48" spans="1:2" x14ac:dyDescent="0.35">
      <c r="A48" s="10" t="s">
        <v>1408</v>
      </c>
      <c r="B48" s="5">
        <v>11851.806399999999</v>
      </c>
    </row>
    <row r="49" spans="1:2" x14ac:dyDescent="0.35">
      <c r="A49" s="10" t="s">
        <v>1409</v>
      </c>
      <c r="B49" s="5">
        <v>11995.153920000001</v>
      </c>
    </row>
    <row r="50" spans="1:2" x14ac:dyDescent="0.35">
      <c r="A50" s="10" t="s">
        <v>1410</v>
      </c>
      <c r="B50" s="5">
        <v>13437.300239999999</v>
      </c>
    </row>
    <row r="51" spans="1:2" x14ac:dyDescent="0.35">
      <c r="A51" s="10" t="s">
        <v>1411</v>
      </c>
      <c r="B51" s="5">
        <v>7327.9533600000004</v>
      </c>
    </row>
    <row r="52" spans="1:2" x14ac:dyDescent="0.35">
      <c r="A52" s="10" t="s">
        <v>1412</v>
      </c>
      <c r="B52" s="5">
        <v>741.43835999999999</v>
      </c>
    </row>
    <row r="53" spans="1:2" x14ac:dyDescent="0.35">
      <c r="A53" s="10" t="s">
        <v>1413</v>
      </c>
      <c r="B53" s="5">
        <v>40575.874040000002</v>
      </c>
    </row>
    <row r="54" spans="1:2" x14ac:dyDescent="0.35">
      <c r="A54" s="10" t="s">
        <v>1415</v>
      </c>
      <c r="B54" s="5">
        <v>9684.8756000000012</v>
      </c>
    </row>
    <row r="55" spans="1:2" x14ac:dyDescent="0.35">
      <c r="A55" s="10" t="s">
        <v>1418</v>
      </c>
      <c r="B55" s="5">
        <v>48097.911050000002</v>
      </c>
    </row>
    <row r="56" spans="1:2" x14ac:dyDescent="0.35">
      <c r="A56" s="10" t="s">
        <v>1419</v>
      </c>
      <c r="B56" s="5">
        <v>6535.6324800000002</v>
      </c>
    </row>
    <row r="57" spans="1:2" x14ac:dyDescent="0.35">
      <c r="A57" s="10" t="s">
        <v>1421</v>
      </c>
      <c r="B57" s="5">
        <v>8934.8277600000001</v>
      </c>
    </row>
    <row r="58" spans="1:2" x14ac:dyDescent="0.35">
      <c r="A58" s="9" t="s">
        <v>90</v>
      </c>
      <c r="B58" s="5">
        <v>280907.51348999998</v>
      </c>
    </row>
    <row r="59" spans="1:2" x14ac:dyDescent="0.35">
      <c r="A59" s="10" t="s">
        <v>1391</v>
      </c>
      <c r="B59" s="5">
        <v>16219.34496</v>
      </c>
    </row>
    <row r="60" spans="1:2" x14ac:dyDescent="0.35">
      <c r="A60" s="10" t="s">
        <v>1392</v>
      </c>
      <c r="B60" s="5">
        <v>31032.03772</v>
      </c>
    </row>
    <row r="61" spans="1:2" x14ac:dyDescent="0.35">
      <c r="A61" s="10" t="s">
        <v>1396</v>
      </c>
      <c r="B61" s="5">
        <v>4133.25108</v>
      </c>
    </row>
    <row r="62" spans="1:2" x14ac:dyDescent="0.35">
      <c r="A62" s="10" t="s">
        <v>1397</v>
      </c>
      <c r="B62" s="5">
        <v>25948.414799999995</v>
      </c>
    </row>
    <row r="63" spans="1:2" x14ac:dyDescent="0.35">
      <c r="A63" s="10" t="s">
        <v>1398</v>
      </c>
      <c r="B63" s="5">
        <v>39546.774539999999</v>
      </c>
    </row>
    <row r="64" spans="1:2" x14ac:dyDescent="0.35">
      <c r="A64" s="10" t="s">
        <v>1399</v>
      </c>
      <c r="B64" s="5">
        <v>7203.8047000000006</v>
      </c>
    </row>
    <row r="65" spans="1:2" x14ac:dyDescent="0.35">
      <c r="A65" s="10" t="s">
        <v>1403</v>
      </c>
      <c r="B65" s="5">
        <v>4831.9464600000001</v>
      </c>
    </row>
    <row r="66" spans="1:2" x14ac:dyDescent="0.35">
      <c r="A66" s="10" t="s">
        <v>1404</v>
      </c>
      <c r="B66" s="5">
        <v>52945.155879999998</v>
      </c>
    </row>
    <row r="67" spans="1:2" x14ac:dyDescent="0.35">
      <c r="A67" s="10" t="s">
        <v>1409</v>
      </c>
      <c r="B67" s="5">
        <v>8507.5949000000001</v>
      </c>
    </row>
    <row r="68" spans="1:2" x14ac:dyDescent="0.35">
      <c r="A68" s="10" t="s">
        <v>1411</v>
      </c>
      <c r="B68" s="5">
        <v>45104.930900000007</v>
      </c>
    </row>
    <row r="69" spans="1:2" x14ac:dyDescent="0.35">
      <c r="A69" s="10" t="s">
        <v>1414</v>
      </c>
      <c r="B69" s="5">
        <v>12413.98458</v>
      </c>
    </row>
    <row r="70" spans="1:2" x14ac:dyDescent="0.35">
      <c r="A70" s="10" t="s">
        <v>1416</v>
      </c>
      <c r="B70" s="5">
        <v>22983.34563</v>
      </c>
    </row>
    <row r="71" spans="1:2" x14ac:dyDescent="0.35">
      <c r="A71" s="10" t="s">
        <v>1417</v>
      </c>
      <c r="B71" s="5">
        <v>4877.1379800000004</v>
      </c>
    </row>
    <row r="72" spans="1:2" x14ac:dyDescent="0.35">
      <c r="A72" s="10" t="s">
        <v>1418</v>
      </c>
      <c r="B72" s="5">
        <v>5159.7893599999998</v>
      </c>
    </row>
    <row r="73" spans="1:2" x14ac:dyDescent="0.35">
      <c r="A73" s="9" t="s">
        <v>79</v>
      </c>
      <c r="B73" s="5">
        <v>455700.42245999997</v>
      </c>
    </row>
    <row r="74" spans="1:2" x14ac:dyDescent="0.35">
      <c r="A74" s="10" t="s">
        <v>1390</v>
      </c>
      <c r="B74" s="5">
        <v>82012.19111</v>
      </c>
    </row>
    <row r="75" spans="1:2" x14ac:dyDescent="0.35">
      <c r="A75" s="10" t="s">
        <v>1393</v>
      </c>
      <c r="B75" s="5">
        <v>215.19839999999996</v>
      </c>
    </row>
    <row r="76" spans="1:2" x14ac:dyDescent="0.35">
      <c r="A76" s="10" t="s">
        <v>1394</v>
      </c>
      <c r="B76" s="5">
        <v>41106.800970000004</v>
      </c>
    </row>
    <row r="77" spans="1:2" x14ac:dyDescent="0.35">
      <c r="A77" s="10" t="s">
        <v>1396</v>
      </c>
      <c r="B77" s="5">
        <v>40476.013200000001</v>
      </c>
    </row>
    <row r="78" spans="1:2" x14ac:dyDescent="0.35">
      <c r="A78" s="10" t="s">
        <v>1397</v>
      </c>
      <c r="B78" s="5">
        <v>748.22303999999997</v>
      </c>
    </row>
    <row r="79" spans="1:2" x14ac:dyDescent="0.35">
      <c r="A79" s="10" t="s">
        <v>1398</v>
      </c>
      <c r="B79" s="5">
        <v>85637.740319999997</v>
      </c>
    </row>
    <row r="80" spans="1:2" x14ac:dyDescent="0.35">
      <c r="A80" s="10" t="s">
        <v>1399</v>
      </c>
      <c r="B80" s="5">
        <v>321.93290999999999</v>
      </c>
    </row>
    <row r="81" spans="1:2" x14ac:dyDescent="0.35">
      <c r="A81" s="10" t="s">
        <v>1400</v>
      </c>
      <c r="B81" s="5">
        <v>10382.65884</v>
      </c>
    </row>
    <row r="82" spans="1:2" x14ac:dyDescent="0.35">
      <c r="A82" s="10" t="s">
        <v>1402</v>
      </c>
      <c r="B82" s="5">
        <v>25515.430039999999</v>
      </c>
    </row>
    <row r="83" spans="1:2" x14ac:dyDescent="0.35">
      <c r="A83" s="10" t="s">
        <v>1408</v>
      </c>
      <c r="B83" s="5">
        <v>65111.38614000001</v>
      </c>
    </row>
    <row r="84" spans="1:2" x14ac:dyDescent="0.35">
      <c r="A84" s="10" t="s">
        <v>1409</v>
      </c>
      <c r="B84" s="5">
        <v>25269.09</v>
      </c>
    </row>
    <row r="85" spans="1:2" x14ac:dyDescent="0.35">
      <c r="A85" s="10" t="s">
        <v>1411</v>
      </c>
      <c r="B85" s="5">
        <v>29605.104090000001</v>
      </c>
    </row>
    <row r="86" spans="1:2" x14ac:dyDescent="0.35">
      <c r="A86" s="10" t="s">
        <v>1412</v>
      </c>
      <c r="B86" s="5">
        <v>16252.219979999998</v>
      </c>
    </row>
    <row r="87" spans="1:2" x14ac:dyDescent="0.35">
      <c r="A87" s="10" t="s">
        <v>1414</v>
      </c>
      <c r="B87" s="5">
        <v>22380.204000000002</v>
      </c>
    </row>
    <row r="88" spans="1:2" x14ac:dyDescent="0.35">
      <c r="A88" s="10" t="s">
        <v>1415</v>
      </c>
      <c r="B88" s="5">
        <v>10666.229420000001</v>
      </c>
    </row>
    <row r="89" spans="1:2" x14ac:dyDescent="0.35">
      <c r="A89" s="9" t="s">
        <v>60</v>
      </c>
      <c r="B89" s="5">
        <v>345062.41976000002</v>
      </c>
    </row>
    <row r="90" spans="1:2" x14ac:dyDescent="0.35">
      <c r="A90" s="10" t="s">
        <v>1390</v>
      </c>
      <c r="B90" s="5">
        <v>32506.559399999998</v>
      </c>
    </row>
    <row r="91" spans="1:2" x14ac:dyDescent="0.35">
      <c r="A91" s="10" t="s">
        <v>1392</v>
      </c>
      <c r="B91" s="5">
        <v>4856.35725</v>
      </c>
    </row>
    <row r="92" spans="1:2" x14ac:dyDescent="0.35">
      <c r="A92" s="10" t="s">
        <v>1393</v>
      </c>
      <c r="B92" s="5">
        <v>7105.3528000000006</v>
      </c>
    </row>
    <row r="93" spans="1:2" x14ac:dyDescent="0.35">
      <c r="A93" s="10" t="s">
        <v>1394</v>
      </c>
      <c r="B93" s="5">
        <v>43785.68778</v>
      </c>
    </row>
    <row r="94" spans="1:2" x14ac:dyDescent="0.35">
      <c r="A94" s="10" t="s">
        <v>1396</v>
      </c>
      <c r="B94" s="5">
        <v>7738.9596900000006</v>
      </c>
    </row>
    <row r="95" spans="1:2" x14ac:dyDescent="0.35">
      <c r="A95" s="10" t="s">
        <v>1397</v>
      </c>
      <c r="B95" s="5">
        <v>35149.450819999998</v>
      </c>
    </row>
    <row r="96" spans="1:2" x14ac:dyDescent="0.35">
      <c r="A96" s="10" t="s">
        <v>1399</v>
      </c>
      <c r="B96" s="5">
        <v>8938.8996600000009</v>
      </c>
    </row>
    <row r="97" spans="1:2" x14ac:dyDescent="0.35">
      <c r="A97" s="10" t="s">
        <v>1400</v>
      </c>
      <c r="B97" s="5">
        <v>7120.6486400000003</v>
      </c>
    </row>
    <row r="98" spans="1:2" x14ac:dyDescent="0.35">
      <c r="A98" s="10" t="s">
        <v>1401</v>
      </c>
      <c r="B98" s="5">
        <v>26759.28775</v>
      </c>
    </row>
    <row r="99" spans="1:2" x14ac:dyDescent="0.35">
      <c r="A99" s="10" t="s">
        <v>1402</v>
      </c>
      <c r="B99" s="5">
        <v>20541.386319999998</v>
      </c>
    </row>
    <row r="100" spans="1:2" x14ac:dyDescent="0.35">
      <c r="A100" s="10" t="s">
        <v>1404</v>
      </c>
      <c r="B100" s="5">
        <v>12462.65055</v>
      </c>
    </row>
    <row r="101" spans="1:2" x14ac:dyDescent="0.35">
      <c r="A101" s="10" t="s">
        <v>1410</v>
      </c>
      <c r="B101" s="5">
        <v>6631.6443100000006</v>
      </c>
    </row>
    <row r="102" spans="1:2" x14ac:dyDescent="0.35">
      <c r="A102" s="10" t="s">
        <v>1413</v>
      </c>
      <c r="B102" s="5">
        <v>31297.193360000005</v>
      </c>
    </row>
    <row r="103" spans="1:2" x14ac:dyDescent="0.35">
      <c r="A103" s="10" t="s">
        <v>1416</v>
      </c>
      <c r="B103" s="5">
        <v>6684.1875</v>
      </c>
    </row>
    <row r="104" spans="1:2" x14ac:dyDescent="0.35">
      <c r="A104" s="10" t="s">
        <v>1417</v>
      </c>
      <c r="B104" s="5">
        <v>72665.817450000002</v>
      </c>
    </row>
    <row r="105" spans="1:2" x14ac:dyDescent="0.35">
      <c r="A105" s="10" t="s">
        <v>1418</v>
      </c>
      <c r="B105" s="5">
        <v>8907.6924999999992</v>
      </c>
    </row>
    <row r="106" spans="1:2" x14ac:dyDescent="0.35">
      <c r="A106" s="10" t="s">
        <v>1419</v>
      </c>
      <c r="B106" s="5">
        <v>599.53200000000004</v>
      </c>
    </row>
    <row r="107" spans="1:2" x14ac:dyDescent="0.35">
      <c r="A107" s="10" t="s">
        <v>1420</v>
      </c>
      <c r="B107" s="5">
        <v>11311.111980000001</v>
      </c>
    </row>
    <row r="108" spans="1:2" x14ac:dyDescent="0.35">
      <c r="A108" s="9" t="s">
        <v>46</v>
      </c>
      <c r="B108" s="5">
        <v>178149.84625</v>
      </c>
    </row>
    <row r="109" spans="1:2" x14ac:dyDescent="0.35">
      <c r="A109" s="10" t="s">
        <v>1392</v>
      </c>
      <c r="B109" s="5">
        <v>8903.4839999999986</v>
      </c>
    </row>
    <row r="110" spans="1:2" x14ac:dyDescent="0.35">
      <c r="A110" s="10" t="s">
        <v>1396</v>
      </c>
      <c r="B110" s="5">
        <v>10957.9797</v>
      </c>
    </row>
    <row r="111" spans="1:2" x14ac:dyDescent="0.35">
      <c r="A111" s="10" t="s">
        <v>1399</v>
      </c>
      <c r="B111" s="5">
        <v>15253.069799999999</v>
      </c>
    </row>
    <row r="112" spans="1:2" x14ac:dyDescent="0.35">
      <c r="A112" s="10" t="s">
        <v>1400</v>
      </c>
      <c r="B112" s="5">
        <v>7689.4560000000001</v>
      </c>
    </row>
    <row r="113" spans="1:2" x14ac:dyDescent="0.35">
      <c r="A113" s="10" t="s">
        <v>1403</v>
      </c>
      <c r="B113" s="5">
        <v>10370.549999999999</v>
      </c>
    </row>
    <row r="114" spans="1:2" x14ac:dyDescent="0.35">
      <c r="A114" s="10" t="s">
        <v>1407</v>
      </c>
      <c r="B114" s="5">
        <v>624.43503999999996</v>
      </c>
    </row>
    <row r="115" spans="1:2" x14ac:dyDescent="0.35">
      <c r="A115" s="10" t="s">
        <v>1412</v>
      </c>
      <c r="B115" s="5">
        <v>23500.10858</v>
      </c>
    </row>
    <row r="116" spans="1:2" x14ac:dyDescent="0.35">
      <c r="A116" s="10" t="s">
        <v>1413</v>
      </c>
      <c r="B116" s="5">
        <v>9062.34692</v>
      </c>
    </row>
    <row r="117" spans="1:2" x14ac:dyDescent="0.35">
      <c r="A117" s="10" t="s">
        <v>1414</v>
      </c>
      <c r="B117" s="5">
        <v>14287.896349999999</v>
      </c>
    </row>
    <row r="118" spans="1:2" x14ac:dyDescent="0.35">
      <c r="A118" s="10" t="s">
        <v>1415</v>
      </c>
      <c r="B118" s="5">
        <v>14431.738420000001</v>
      </c>
    </row>
    <row r="119" spans="1:2" x14ac:dyDescent="0.35">
      <c r="A119" s="10" t="s">
        <v>1422</v>
      </c>
      <c r="B119" s="5">
        <v>63068.781440000006</v>
      </c>
    </row>
    <row r="120" spans="1:2" x14ac:dyDescent="0.35">
      <c r="A120" s="9" t="s">
        <v>17</v>
      </c>
      <c r="B120" s="5">
        <v>149397.96340000001</v>
      </c>
    </row>
    <row r="121" spans="1:2" x14ac:dyDescent="0.35">
      <c r="A121" s="10" t="s">
        <v>1390</v>
      </c>
      <c r="B121" s="5">
        <v>7090.5672000000004</v>
      </c>
    </row>
    <row r="122" spans="1:2" x14ac:dyDescent="0.35">
      <c r="A122" s="10" t="s">
        <v>1395</v>
      </c>
      <c r="B122" s="5">
        <v>1654.8966000000003</v>
      </c>
    </row>
    <row r="123" spans="1:2" x14ac:dyDescent="0.35">
      <c r="A123" s="10" t="s">
        <v>1396</v>
      </c>
      <c r="B123" s="5">
        <v>16061.972879999999</v>
      </c>
    </row>
    <row r="124" spans="1:2" x14ac:dyDescent="0.35">
      <c r="A124" s="10" t="s">
        <v>1398</v>
      </c>
      <c r="B124" s="5">
        <v>2475.9159599999998</v>
      </c>
    </row>
    <row r="125" spans="1:2" x14ac:dyDescent="0.35">
      <c r="A125" s="10" t="s">
        <v>1399</v>
      </c>
      <c r="B125" s="5">
        <v>11326.846439999999</v>
      </c>
    </row>
    <row r="126" spans="1:2" x14ac:dyDescent="0.35">
      <c r="A126" s="10" t="s">
        <v>1403</v>
      </c>
      <c r="B126" s="5">
        <v>28386.015839999996</v>
      </c>
    </row>
    <row r="127" spans="1:2" x14ac:dyDescent="0.35">
      <c r="A127" s="10" t="s">
        <v>1404</v>
      </c>
      <c r="B127" s="5">
        <v>17067.938400000003</v>
      </c>
    </row>
    <row r="128" spans="1:2" x14ac:dyDescent="0.35">
      <c r="A128" s="10" t="s">
        <v>1405</v>
      </c>
      <c r="B128" s="5">
        <v>3980.7075</v>
      </c>
    </row>
    <row r="129" spans="1:2" x14ac:dyDescent="0.35">
      <c r="A129" s="10" t="s">
        <v>1408</v>
      </c>
      <c r="B129" s="5">
        <v>549.80010000000004</v>
      </c>
    </row>
    <row r="130" spans="1:2" x14ac:dyDescent="0.35">
      <c r="A130" s="10" t="s">
        <v>1410</v>
      </c>
      <c r="B130" s="5">
        <v>4336.2427499999994</v>
      </c>
    </row>
    <row r="131" spans="1:2" x14ac:dyDescent="0.35">
      <c r="A131" s="10" t="s">
        <v>1411</v>
      </c>
      <c r="B131" s="5">
        <v>4866.3287999999993</v>
      </c>
    </row>
    <row r="132" spans="1:2" x14ac:dyDescent="0.35">
      <c r="A132" s="10" t="s">
        <v>1413</v>
      </c>
      <c r="B132" s="5">
        <v>10946.711730000001</v>
      </c>
    </row>
    <row r="133" spans="1:2" x14ac:dyDescent="0.35">
      <c r="A133" s="10" t="s">
        <v>1415</v>
      </c>
      <c r="B133" s="5">
        <v>4569.8508000000002</v>
      </c>
    </row>
    <row r="134" spans="1:2" x14ac:dyDescent="0.35">
      <c r="A134" s="10" t="s">
        <v>1419</v>
      </c>
      <c r="B134" s="5">
        <v>30596.565999999999</v>
      </c>
    </row>
    <row r="135" spans="1:2" x14ac:dyDescent="0.35">
      <c r="A135" s="10" t="s">
        <v>1422</v>
      </c>
      <c r="B135" s="5">
        <v>5487.6023999999998</v>
      </c>
    </row>
    <row r="136" spans="1:2" x14ac:dyDescent="0.35">
      <c r="A136" s="9" t="s">
        <v>25</v>
      </c>
      <c r="B136" s="5">
        <v>225048.24507999999</v>
      </c>
    </row>
    <row r="137" spans="1:2" x14ac:dyDescent="0.35">
      <c r="A137" s="10" t="s">
        <v>1391</v>
      </c>
      <c r="B137" s="5">
        <v>14968.239</v>
      </c>
    </row>
    <row r="138" spans="1:2" x14ac:dyDescent="0.35">
      <c r="A138" s="10" t="s">
        <v>1401</v>
      </c>
      <c r="B138" s="5">
        <v>685.06776000000002</v>
      </c>
    </row>
    <row r="139" spans="1:2" x14ac:dyDescent="0.35">
      <c r="A139" s="10" t="s">
        <v>1404</v>
      </c>
      <c r="B139" s="5">
        <v>29574.104579999999</v>
      </c>
    </row>
    <row r="140" spans="1:2" x14ac:dyDescent="0.35">
      <c r="A140" s="10" t="s">
        <v>1409</v>
      </c>
      <c r="B140" s="5">
        <v>10936.992</v>
      </c>
    </row>
    <row r="141" spans="1:2" x14ac:dyDescent="0.35">
      <c r="A141" s="10" t="s">
        <v>1411</v>
      </c>
      <c r="B141" s="5">
        <v>2909.8689199999999</v>
      </c>
    </row>
    <row r="142" spans="1:2" x14ac:dyDescent="0.35">
      <c r="A142" s="10" t="s">
        <v>1412</v>
      </c>
      <c r="B142" s="5">
        <v>48310.143040000003</v>
      </c>
    </row>
    <row r="143" spans="1:2" x14ac:dyDescent="0.35">
      <c r="A143" s="10" t="s">
        <v>1414</v>
      </c>
      <c r="B143" s="5">
        <v>14714.12934</v>
      </c>
    </row>
    <row r="144" spans="1:2" x14ac:dyDescent="0.35">
      <c r="A144" s="10" t="s">
        <v>1419</v>
      </c>
      <c r="B144" s="5">
        <v>100069.71683999999</v>
      </c>
    </row>
    <row r="145" spans="1:2" x14ac:dyDescent="0.35">
      <c r="A145" s="10" t="s">
        <v>1421</v>
      </c>
      <c r="B145" s="5">
        <v>2879.9836</v>
      </c>
    </row>
    <row r="146" spans="1:2" x14ac:dyDescent="0.35">
      <c r="A146" s="9" t="s">
        <v>148</v>
      </c>
      <c r="B146" s="5">
        <v>393990.12596999999</v>
      </c>
    </row>
    <row r="147" spans="1:2" x14ac:dyDescent="0.35">
      <c r="A147" s="10" t="s">
        <v>1391</v>
      </c>
      <c r="B147" s="5">
        <v>20171.63305</v>
      </c>
    </row>
    <row r="148" spans="1:2" x14ac:dyDescent="0.35">
      <c r="A148" s="10" t="s">
        <v>1392</v>
      </c>
      <c r="B148" s="5">
        <v>1886.9915999999998</v>
      </c>
    </row>
    <row r="149" spans="1:2" x14ac:dyDescent="0.35">
      <c r="A149" s="10" t="s">
        <v>1393</v>
      </c>
      <c r="B149" s="5">
        <v>13175.171839999999</v>
      </c>
    </row>
    <row r="150" spans="1:2" x14ac:dyDescent="0.35">
      <c r="A150" s="10" t="s">
        <v>1396</v>
      </c>
      <c r="B150" s="5">
        <v>13146.470699999998</v>
      </c>
    </row>
    <row r="151" spans="1:2" x14ac:dyDescent="0.35">
      <c r="A151" s="10" t="s">
        <v>1398</v>
      </c>
      <c r="B151" s="5">
        <v>86597.081299999991</v>
      </c>
    </row>
    <row r="152" spans="1:2" x14ac:dyDescent="0.35">
      <c r="A152" s="10" t="s">
        <v>1404</v>
      </c>
      <c r="B152" s="5">
        <v>68109.976060000001</v>
      </c>
    </row>
    <row r="153" spans="1:2" x14ac:dyDescent="0.35">
      <c r="A153" s="10" t="s">
        <v>1406</v>
      </c>
      <c r="B153" s="5">
        <v>9647.3852800000004</v>
      </c>
    </row>
    <row r="154" spans="1:2" x14ac:dyDescent="0.35">
      <c r="A154" s="10" t="s">
        <v>1408</v>
      </c>
      <c r="B154" s="5">
        <v>34.689059999999998</v>
      </c>
    </row>
    <row r="155" spans="1:2" x14ac:dyDescent="0.35">
      <c r="A155" s="10" t="s">
        <v>1409</v>
      </c>
      <c r="B155" s="5">
        <v>71608.290430000008</v>
      </c>
    </row>
    <row r="156" spans="1:2" x14ac:dyDescent="0.35">
      <c r="A156" s="10" t="s">
        <v>1412</v>
      </c>
      <c r="B156" s="5">
        <v>5565.3272500000003</v>
      </c>
    </row>
    <row r="157" spans="1:2" x14ac:dyDescent="0.35">
      <c r="A157" s="10" t="s">
        <v>1413</v>
      </c>
      <c r="B157" s="5">
        <v>14256.965520000002</v>
      </c>
    </row>
    <row r="158" spans="1:2" x14ac:dyDescent="0.35">
      <c r="A158" s="10" t="s">
        <v>1414</v>
      </c>
      <c r="B158" s="5">
        <v>14032.850879999998</v>
      </c>
    </row>
    <row r="159" spans="1:2" x14ac:dyDescent="0.35">
      <c r="A159" s="10" t="s">
        <v>1415</v>
      </c>
      <c r="B159" s="5">
        <v>31556.187599999997</v>
      </c>
    </row>
    <row r="160" spans="1:2" x14ac:dyDescent="0.35">
      <c r="A160" s="10" t="s">
        <v>1416</v>
      </c>
      <c r="B160" s="5">
        <v>12954.358080000002</v>
      </c>
    </row>
    <row r="161" spans="1:2" x14ac:dyDescent="0.35">
      <c r="A161" s="10" t="s">
        <v>1419</v>
      </c>
      <c r="B161" s="5">
        <v>18061.204320000004</v>
      </c>
    </row>
    <row r="162" spans="1:2" x14ac:dyDescent="0.35">
      <c r="A162" s="10" t="s">
        <v>1422</v>
      </c>
      <c r="B162" s="5">
        <v>13185.543</v>
      </c>
    </row>
    <row r="163" spans="1:2" x14ac:dyDescent="0.35">
      <c r="A163" s="9" t="s">
        <v>108</v>
      </c>
      <c r="B163" s="5">
        <v>303426.15386999998</v>
      </c>
    </row>
    <row r="164" spans="1:2" x14ac:dyDescent="0.35">
      <c r="A164" s="10" t="s">
        <v>1390</v>
      </c>
      <c r="B164" s="5">
        <v>43209.006119999991</v>
      </c>
    </row>
    <row r="165" spans="1:2" x14ac:dyDescent="0.35">
      <c r="A165" s="10" t="s">
        <v>1393</v>
      </c>
      <c r="B165" s="5">
        <v>23038.615559999998</v>
      </c>
    </row>
    <row r="166" spans="1:2" x14ac:dyDescent="0.35">
      <c r="A166" s="10" t="s">
        <v>1394</v>
      </c>
      <c r="B166" s="5">
        <v>23687.524440000001</v>
      </c>
    </row>
    <row r="167" spans="1:2" x14ac:dyDescent="0.35">
      <c r="A167" s="10" t="s">
        <v>1395</v>
      </c>
      <c r="B167" s="5">
        <v>853.32276999999988</v>
      </c>
    </row>
    <row r="168" spans="1:2" x14ac:dyDescent="0.35">
      <c r="A168" s="10" t="s">
        <v>1400</v>
      </c>
      <c r="B168" s="5">
        <v>25553.782800000001</v>
      </c>
    </row>
    <row r="169" spans="1:2" x14ac:dyDescent="0.35">
      <c r="A169" s="10" t="s">
        <v>1401</v>
      </c>
      <c r="B169" s="5">
        <v>8336.8896000000004</v>
      </c>
    </row>
    <row r="170" spans="1:2" x14ac:dyDescent="0.35">
      <c r="A170" s="10" t="s">
        <v>1403</v>
      </c>
      <c r="B170" s="5">
        <v>11332.142999999998</v>
      </c>
    </row>
    <row r="171" spans="1:2" x14ac:dyDescent="0.35">
      <c r="A171" s="10" t="s">
        <v>1407</v>
      </c>
      <c r="B171" s="5">
        <v>23173.104240000001</v>
      </c>
    </row>
    <row r="172" spans="1:2" x14ac:dyDescent="0.35">
      <c r="A172" s="10" t="s">
        <v>1408</v>
      </c>
      <c r="B172" s="5">
        <v>30151.675319999998</v>
      </c>
    </row>
    <row r="173" spans="1:2" x14ac:dyDescent="0.35">
      <c r="A173" s="10" t="s">
        <v>1410</v>
      </c>
      <c r="B173" s="5">
        <v>16013.681599999998</v>
      </c>
    </row>
    <row r="174" spans="1:2" x14ac:dyDescent="0.35">
      <c r="A174" s="10" t="s">
        <v>1412</v>
      </c>
      <c r="B174" s="5">
        <v>21062.61248</v>
      </c>
    </row>
    <row r="175" spans="1:2" x14ac:dyDescent="0.35">
      <c r="A175" s="10" t="s">
        <v>1415</v>
      </c>
      <c r="B175" s="5">
        <v>39263.702919999996</v>
      </c>
    </row>
    <row r="176" spans="1:2" x14ac:dyDescent="0.35">
      <c r="A176" s="10" t="s">
        <v>1416</v>
      </c>
      <c r="B176" s="5">
        <v>5610.0923999999995</v>
      </c>
    </row>
    <row r="177" spans="1:2" x14ac:dyDescent="0.35">
      <c r="A177" s="10" t="s">
        <v>1418</v>
      </c>
      <c r="B177" s="5">
        <v>23375.594060000003</v>
      </c>
    </row>
    <row r="178" spans="1:2" x14ac:dyDescent="0.35">
      <c r="A178" s="10" t="s">
        <v>1422</v>
      </c>
      <c r="B178" s="5">
        <v>8764.4065599999994</v>
      </c>
    </row>
    <row r="179" spans="1:2" x14ac:dyDescent="0.35">
      <c r="A179" s="9" t="s">
        <v>122</v>
      </c>
      <c r="B179" s="5">
        <v>312199.44861999998</v>
      </c>
    </row>
    <row r="180" spans="1:2" x14ac:dyDescent="0.35">
      <c r="A180" s="10" t="s">
        <v>1390</v>
      </c>
      <c r="B180" s="5">
        <v>1115.1975999999997</v>
      </c>
    </row>
    <row r="181" spans="1:2" x14ac:dyDescent="0.35">
      <c r="A181" s="10" t="s">
        <v>1392</v>
      </c>
      <c r="B181" s="5">
        <v>3440.2658499999998</v>
      </c>
    </row>
    <row r="182" spans="1:2" x14ac:dyDescent="0.35">
      <c r="A182" s="10" t="s">
        <v>1394</v>
      </c>
      <c r="B182" s="5">
        <v>24374.594880000001</v>
      </c>
    </row>
    <row r="183" spans="1:2" x14ac:dyDescent="0.35">
      <c r="A183" s="10" t="s">
        <v>1397</v>
      </c>
      <c r="B183" s="5">
        <v>12031.491680000001</v>
      </c>
    </row>
    <row r="184" spans="1:2" x14ac:dyDescent="0.35">
      <c r="A184" s="10" t="s">
        <v>1400</v>
      </c>
      <c r="B184" s="5">
        <v>9984.7160999999978</v>
      </c>
    </row>
    <row r="185" spans="1:2" x14ac:dyDescent="0.35">
      <c r="A185" s="10" t="s">
        <v>1401</v>
      </c>
      <c r="B185" s="5">
        <v>16071.44868</v>
      </c>
    </row>
    <row r="186" spans="1:2" x14ac:dyDescent="0.35">
      <c r="A186" s="10" t="s">
        <v>1402</v>
      </c>
      <c r="B186" s="5">
        <v>4637.7968000000001</v>
      </c>
    </row>
    <row r="187" spans="1:2" x14ac:dyDescent="0.35">
      <c r="A187" s="10" t="s">
        <v>1403</v>
      </c>
      <c r="B187" s="5">
        <v>2537.2908000000002</v>
      </c>
    </row>
    <row r="188" spans="1:2" x14ac:dyDescent="0.35">
      <c r="A188" s="10" t="s">
        <v>1404</v>
      </c>
      <c r="B188" s="5">
        <v>32086.37586</v>
      </c>
    </row>
    <row r="189" spans="1:2" x14ac:dyDescent="0.35">
      <c r="A189" s="10" t="s">
        <v>1405</v>
      </c>
      <c r="B189" s="5">
        <v>25483.91488</v>
      </c>
    </row>
    <row r="190" spans="1:2" x14ac:dyDescent="0.35">
      <c r="A190" s="10" t="s">
        <v>1407</v>
      </c>
      <c r="B190" s="5">
        <v>3562.1983800000003</v>
      </c>
    </row>
    <row r="191" spans="1:2" x14ac:dyDescent="0.35">
      <c r="A191" s="10" t="s">
        <v>1411</v>
      </c>
      <c r="B191" s="5">
        <v>79548.755999999994</v>
      </c>
    </row>
    <row r="192" spans="1:2" x14ac:dyDescent="0.35">
      <c r="A192" s="10" t="s">
        <v>1413</v>
      </c>
      <c r="B192" s="5">
        <v>23132.398349999996</v>
      </c>
    </row>
    <row r="193" spans="1:2" x14ac:dyDescent="0.35">
      <c r="A193" s="10" t="s">
        <v>1414</v>
      </c>
      <c r="B193" s="5">
        <v>51230.472479999997</v>
      </c>
    </row>
    <row r="194" spans="1:2" x14ac:dyDescent="0.35">
      <c r="A194" s="10" t="s">
        <v>1415</v>
      </c>
      <c r="B194" s="5">
        <v>3644.3212800000006</v>
      </c>
    </row>
    <row r="195" spans="1:2" x14ac:dyDescent="0.35">
      <c r="A195" s="10" t="s">
        <v>1418</v>
      </c>
      <c r="B195" s="5">
        <v>5533.6230000000005</v>
      </c>
    </row>
    <row r="196" spans="1:2" x14ac:dyDescent="0.35">
      <c r="A196" s="10" t="s">
        <v>1420</v>
      </c>
      <c r="B196" s="5">
        <v>13784.586000000001</v>
      </c>
    </row>
    <row r="197" spans="1:2" x14ac:dyDescent="0.35">
      <c r="A197" s="9" t="s">
        <v>1384</v>
      </c>
      <c r="B197" s="5">
        <v>3810445.746249998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A526A-B730-4A8D-AD88-A97DD36A0741}">
  <sheetPr>
    <tabColor rgb="FF00B0F0"/>
  </sheetPr>
  <dimension ref="A3:C238"/>
  <sheetViews>
    <sheetView topLeftCell="A31" workbookViewId="0">
      <selection activeCell="C4" sqref="C4"/>
    </sheetView>
  </sheetViews>
  <sheetFormatPr defaultRowHeight="14.5" x14ac:dyDescent="0.35"/>
  <cols>
    <col min="1" max="1" width="13.6328125" bestFit="1" customWidth="1"/>
    <col min="2" max="2" width="19.1796875" bestFit="1" customWidth="1"/>
    <col min="3" max="4" width="18" bestFit="1" customWidth="1"/>
  </cols>
  <sheetData>
    <row r="3" spans="1:3" x14ac:dyDescent="0.35">
      <c r="A3" s="8" t="s">
        <v>1383</v>
      </c>
      <c r="B3" t="s">
        <v>1423</v>
      </c>
    </row>
    <row r="4" spans="1:3" x14ac:dyDescent="0.35">
      <c r="A4" s="9" t="s">
        <v>22</v>
      </c>
      <c r="B4" s="5">
        <v>714221.77760000015</v>
      </c>
      <c r="C4">
        <f>SUM(AD2:AD229)</f>
        <v>0</v>
      </c>
    </row>
    <row r="5" spans="1:3" x14ac:dyDescent="0.35">
      <c r="A5" s="10" t="s">
        <v>248</v>
      </c>
      <c r="B5" s="5">
        <v>6874.4828600000001</v>
      </c>
    </row>
    <row r="6" spans="1:3" x14ac:dyDescent="0.35">
      <c r="A6" s="10" t="s">
        <v>1359</v>
      </c>
      <c r="B6" s="5">
        <v>40476.013200000001</v>
      </c>
    </row>
    <row r="7" spans="1:3" x14ac:dyDescent="0.35">
      <c r="A7" s="10" t="s">
        <v>355</v>
      </c>
      <c r="B7" s="5">
        <v>65111.38614000001</v>
      </c>
    </row>
    <row r="8" spans="1:3" x14ac:dyDescent="0.35">
      <c r="A8" s="10" t="s">
        <v>886</v>
      </c>
      <c r="B8" s="5">
        <v>48097.911050000002</v>
      </c>
    </row>
    <row r="9" spans="1:3" x14ac:dyDescent="0.35">
      <c r="A9" s="10" t="s">
        <v>127</v>
      </c>
      <c r="B9" s="5">
        <v>24894.430559999997</v>
      </c>
    </row>
    <row r="10" spans="1:3" x14ac:dyDescent="0.35">
      <c r="A10" s="10" t="s">
        <v>273</v>
      </c>
      <c r="B10" s="5">
        <v>1654.8966000000003</v>
      </c>
    </row>
    <row r="11" spans="1:3" x14ac:dyDescent="0.35">
      <c r="A11" s="10" t="s">
        <v>88</v>
      </c>
      <c r="B11" s="5">
        <v>4968.5039999999999</v>
      </c>
    </row>
    <row r="12" spans="1:3" x14ac:dyDescent="0.35">
      <c r="A12" s="10" t="s">
        <v>375</v>
      </c>
      <c r="B12" s="5">
        <v>9698.1638399999993</v>
      </c>
    </row>
    <row r="13" spans="1:3" x14ac:dyDescent="0.35">
      <c r="A13" s="10" t="s">
        <v>76</v>
      </c>
      <c r="B13" s="5">
        <v>60928.502359999999</v>
      </c>
    </row>
    <row r="14" spans="1:3" x14ac:dyDescent="0.35">
      <c r="A14" s="10" t="s">
        <v>691</v>
      </c>
      <c r="B14" s="5">
        <v>8903.4839999999986</v>
      </c>
    </row>
    <row r="15" spans="1:3" x14ac:dyDescent="0.35">
      <c r="A15" s="10" t="s">
        <v>418</v>
      </c>
      <c r="B15" s="5">
        <v>24147.922500000001</v>
      </c>
    </row>
    <row r="16" spans="1:3" x14ac:dyDescent="0.35">
      <c r="A16" s="10" t="s">
        <v>523</v>
      </c>
      <c r="B16" s="5">
        <v>18061.204320000004</v>
      </c>
    </row>
    <row r="17" spans="1:2" x14ac:dyDescent="0.35">
      <c r="A17" s="10" t="s">
        <v>733</v>
      </c>
      <c r="B17" s="5">
        <v>8780.5809000000008</v>
      </c>
    </row>
    <row r="18" spans="1:2" x14ac:dyDescent="0.35">
      <c r="A18" s="10" t="s">
        <v>1038</v>
      </c>
      <c r="B18" s="5">
        <v>25269.09</v>
      </c>
    </row>
    <row r="19" spans="1:2" x14ac:dyDescent="0.35">
      <c r="A19" s="10" t="s">
        <v>269</v>
      </c>
      <c r="B19" s="5">
        <v>13146.470699999998</v>
      </c>
    </row>
    <row r="20" spans="1:2" x14ac:dyDescent="0.35">
      <c r="A20" s="10" t="s">
        <v>755</v>
      </c>
      <c r="B20" s="5">
        <v>2373.9623200000001</v>
      </c>
    </row>
    <row r="21" spans="1:2" x14ac:dyDescent="0.35">
      <c r="A21" s="10" t="s">
        <v>246</v>
      </c>
      <c r="B21" s="5">
        <v>4427.9172000000008</v>
      </c>
    </row>
    <row r="22" spans="1:2" x14ac:dyDescent="0.35">
      <c r="A22" s="10" t="s">
        <v>254</v>
      </c>
      <c r="B22" s="5">
        <v>21787.936199999996</v>
      </c>
    </row>
    <row r="23" spans="1:2" x14ac:dyDescent="0.35">
      <c r="A23" s="10" t="s">
        <v>180</v>
      </c>
      <c r="B23" s="5">
        <v>17930.494560000003</v>
      </c>
    </row>
    <row r="24" spans="1:2" x14ac:dyDescent="0.35">
      <c r="A24" s="10" t="s">
        <v>357</v>
      </c>
      <c r="B24" s="5">
        <v>853.32276999999988</v>
      </c>
    </row>
    <row r="25" spans="1:2" x14ac:dyDescent="0.35">
      <c r="A25" s="10" t="s">
        <v>898</v>
      </c>
      <c r="B25" s="5">
        <v>13185.543</v>
      </c>
    </row>
    <row r="26" spans="1:2" x14ac:dyDescent="0.35">
      <c r="A26" s="10" t="s">
        <v>142</v>
      </c>
      <c r="B26" s="5">
        <v>9805.8573800000013</v>
      </c>
    </row>
    <row r="27" spans="1:2" x14ac:dyDescent="0.35">
      <c r="A27" s="10" t="s">
        <v>215</v>
      </c>
      <c r="B27" s="5">
        <v>27701.570400000001</v>
      </c>
    </row>
    <row r="28" spans="1:2" x14ac:dyDescent="0.35">
      <c r="A28" s="10" t="s">
        <v>547</v>
      </c>
      <c r="B28" s="5">
        <v>4503.4363999999996</v>
      </c>
    </row>
    <row r="29" spans="1:2" x14ac:dyDescent="0.35">
      <c r="A29" s="10" t="s">
        <v>236</v>
      </c>
      <c r="B29" s="5">
        <v>8930.7124999999996</v>
      </c>
    </row>
    <row r="30" spans="1:2" x14ac:dyDescent="0.35">
      <c r="A30" s="10" t="s">
        <v>160</v>
      </c>
      <c r="B30" s="5">
        <v>18957.37689</v>
      </c>
    </row>
    <row r="31" spans="1:2" x14ac:dyDescent="0.35">
      <c r="A31" s="10" t="s">
        <v>212</v>
      </c>
      <c r="B31" s="5">
        <v>33687.501800000005</v>
      </c>
    </row>
    <row r="32" spans="1:2" x14ac:dyDescent="0.35">
      <c r="A32" s="10" t="s">
        <v>310</v>
      </c>
      <c r="B32" s="5">
        <v>12080.215199999999</v>
      </c>
    </row>
    <row r="33" spans="1:2" x14ac:dyDescent="0.35">
      <c r="A33" s="10" t="s">
        <v>302</v>
      </c>
      <c r="B33" s="5">
        <v>6324.5775999999996</v>
      </c>
    </row>
    <row r="34" spans="1:2" x14ac:dyDescent="0.35">
      <c r="A34" s="10" t="s">
        <v>271</v>
      </c>
      <c r="B34" s="5">
        <v>14197.064400000001</v>
      </c>
    </row>
    <row r="35" spans="1:2" x14ac:dyDescent="0.35">
      <c r="A35" s="10" t="s">
        <v>23</v>
      </c>
      <c r="B35" s="5">
        <v>4866.3287999999993</v>
      </c>
    </row>
    <row r="36" spans="1:2" x14ac:dyDescent="0.35">
      <c r="A36" s="10" t="s">
        <v>163</v>
      </c>
      <c r="B36" s="5">
        <v>11995.153920000001</v>
      </c>
    </row>
    <row r="37" spans="1:2" x14ac:dyDescent="0.35">
      <c r="A37" s="10" t="s">
        <v>577</v>
      </c>
      <c r="B37" s="5">
        <v>139277.83032000001</v>
      </c>
    </row>
    <row r="38" spans="1:2" x14ac:dyDescent="0.35">
      <c r="A38" s="10" t="s">
        <v>458</v>
      </c>
      <c r="B38" s="5">
        <v>321.93290999999999</v>
      </c>
    </row>
    <row r="39" spans="1:2" x14ac:dyDescent="0.35">
      <c r="A39" s="9" t="s">
        <v>30</v>
      </c>
      <c r="B39" s="5">
        <v>644510.64095999999</v>
      </c>
    </row>
    <row r="40" spans="1:2" x14ac:dyDescent="0.35">
      <c r="A40" s="10" t="s">
        <v>773</v>
      </c>
      <c r="B40" s="5">
        <v>16219.34496</v>
      </c>
    </row>
    <row r="41" spans="1:2" x14ac:dyDescent="0.35">
      <c r="A41" s="10" t="s">
        <v>567</v>
      </c>
      <c r="B41" s="5">
        <v>2879.9836</v>
      </c>
    </row>
    <row r="42" spans="1:2" x14ac:dyDescent="0.35">
      <c r="A42" s="10" t="s">
        <v>190</v>
      </c>
      <c r="B42" s="5">
        <v>34444.462359999998</v>
      </c>
    </row>
    <row r="43" spans="1:2" x14ac:dyDescent="0.35">
      <c r="A43" s="10" t="s">
        <v>982</v>
      </c>
      <c r="B43" s="5">
        <v>20672.289000000001</v>
      </c>
    </row>
    <row r="44" spans="1:2" x14ac:dyDescent="0.35">
      <c r="A44" s="10" t="s">
        <v>1002</v>
      </c>
      <c r="B44" s="5">
        <v>12462.65055</v>
      </c>
    </row>
    <row r="45" spans="1:2" x14ac:dyDescent="0.35">
      <c r="A45" s="10" t="s">
        <v>1215</v>
      </c>
      <c r="B45" s="5">
        <v>50545.319219999998</v>
      </c>
    </row>
    <row r="46" spans="1:2" x14ac:dyDescent="0.35">
      <c r="A46" s="10" t="s">
        <v>541</v>
      </c>
      <c r="B46" s="5">
        <v>28211.92124</v>
      </c>
    </row>
    <row r="47" spans="1:2" x14ac:dyDescent="0.35">
      <c r="A47" s="10" t="s">
        <v>609</v>
      </c>
      <c r="B47" s="5">
        <v>25483.91488</v>
      </c>
    </row>
    <row r="48" spans="1:2" x14ac:dyDescent="0.35">
      <c r="A48" s="10" t="s">
        <v>527</v>
      </c>
      <c r="B48" s="5">
        <v>6984.8246399999998</v>
      </c>
    </row>
    <row r="49" spans="1:2" x14ac:dyDescent="0.35">
      <c r="A49" s="10" t="s">
        <v>175</v>
      </c>
      <c r="B49" s="5">
        <v>30596.565999999999</v>
      </c>
    </row>
    <row r="50" spans="1:2" x14ac:dyDescent="0.35">
      <c r="A50" s="10" t="s">
        <v>1040</v>
      </c>
      <c r="B50" s="5">
        <v>16252.219979999998</v>
      </c>
    </row>
    <row r="51" spans="1:2" x14ac:dyDescent="0.35">
      <c r="A51" s="10" t="s">
        <v>831</v>
      </c>
      <c r="B51" s="5">
        <v>12717.311040000001</v>
      </c>
    </row>
    <row r="52" spans="1:2" x14ac:dyDescent="0.35">
      <c r="A52" s="10" t="s">
        <v>452</v>
      </c>
      <c r="B52" s="5">
        <v>1952.6356799999999</v>
      </c>
    </row>
    <row r="53" spans="1:2" x14ac:dyDescent="0.35">
      <c r="A53" s="10" t="s">
        <v>432</v>
      </c>
      <c r="B53" s="5">
        <v>11851.806399999999</v>
      </c>
    </row>
    <row r="54" spans="1:2" x14ac:dyDescent="0.35">
      <c r="A54" s="10" t="s">
        <v>390</v>
      </c>
      <c r="B54" s="5">
        <v>9969.4201499999999</v>
      </c>
    </row>
    <row r="55" spans="1:2" x14ac:dyDescent="0.35">
      <c r="A55" s="10" t="s">
        <v>157</v>
      </c>
      <c r="B55" s="5">
        <v>6631.6443100000006</v>
      </c>
    </row>
    <row r="56" spans="1:2" x14ac:dyDescent="0.35">
      <c r="A56" s="10" t="s">
        <v>371</v>
      </c>
      <c r="B56" s="5">
        <v>12031.491680000001</v>
      </c>
    </row>
    <row r="57" spans="1:2" x14ac:dyDescent="0.35">
      <c r="A57" s="10" t="s">
        <v>583</v>
      </c>
      <c r="B57" s="5">
        <v>4436.6291200000005</v>
      </c>
    </row>
    <row r="58" spans="1:2" x14ac:dyDescent="0.35">
      <c r="A58" s="10" t="s">
        <v>456</v>
      </c>
      <c r="B58" s="5">
        <v>15656.47056</v>
      </c>
    </row>
    <row r="59" spans="1:2" x14ac:dyDescent="0.35">
      <c r="A59" s="10" t="s">
        <v>1331</v>
      </c>
      <c r="B59" s="5">
        <v>10464.138360000001</v>
      </c>
    </row>
    <row r="60" spans="1:2" x14ac:dyDescent="0.35">
      <c r="A60" s="10" t="s">
        <v>777</v>
      </c>
      <c r="B60" s="5">
        <v>38535.955099999999</v>
      </c>
    </row>
    <row r="61" spans="1:2" x14ac:dyDescent="0.35">
      <c r="A61" s="10" t="s">
        <v>589</v>
      </c>
      <c r="B61" s="5">
        <v>748.22303999999997</v>
      </c>
    </row>
    <row r="62" spans="1:2" x14ac:dyDescent="0.35">
      <c r="A62" s="10" t="s">
        <v>539</v>
      </c>
      <c r="B62" s="5">
        <v>6535.6324800000002</v>
      </c>
    </row>
    <row r="63" spans="1:2" x14ac:dyDescent="0.35">
      <c r="A63" s="10" t="s">
        <v>938</v>
      </c>
      <c r="B63" s="5">
        <v>741.43835999999999</v>
      </c>
    </row>
    <row r="64" spans="1:2" x14ac:dyDescent="0.35">
      <c r="A64" s="10" t="s">
        <v>69</v>
      </c>
      <c r="B64" s="5">
        <v>685.06776000000002</v>
      </c>
    </row>
    <row r="65" spans="1:2" x14ac:dyDescent="0.35">
      <c r="A65" s="10" t="s">
        <v>333</v>
      </c>
      <c r="B65" s="5">
        <v>765.99195000000009</v>
      </c>
    </row>
    <row r="66" spans="1:2" x14ac:dyDescent="0.35">
      <c r="A66" s="10" t="s">
        <v>284</v>
      </c>
      <c r="B66" s="5">
        <v>10161.46624</v>
      </c>
    </row>
    <row r="67" spans="1:2" x14ac:dyDescent="0.35">
      <c r="A67" s="10" t="s">
        <v>168</v>
      </c>
      <c r="B67" s="5">
        <v>3562.1983800000003</v>
      </c>
    </row>
    <row r="68" spans="1:2" x14ac:dyDescent="0.35">
      <c r="A68" s="10" t="s">
        <v>101</v>
      </c>
      <c r="B68" s="5">
        <v>25948.414799999995</v>
      </c>
    </row>
    <row r="69" spans="1:2" x14ac:dyDescent="0.35">
      <c r="A69" s="10" t="s">
        <v>501</v>
      </c>
      <c r="B69" s="5">
        <v>55880.483749999999</v>
      </c>
    </row>
    <row r="70" spans="1:2" x14ac:dyDescent="0.35">
      <c r="A70" s="10" t="s">
        <v>165</v>
      </c>
      <c r="B70" s="5">
        <v>14968.239</v>
      </c>
    </row>
    <row r="71" spans="1:2" x14ac:dyDescent="0.35">
      <c r="A71" s="10" t="s">
        <v>50</v>
      </c>
      <c r="B71" s="5">
        <v>10957.9797</v>
      </c>
    </row>
    <row r="72" spans="1:2" x14ac:dyDescent="0.35">
      <c r="A72" s="10" t="s">
        <v>462</v>
      </c>
      <c r="B72" s="5">
        <v>4420.5961799999995</v>
      </c>
    </row>
    <row r="73" spans="1:2" x14ac:dyDescent="0.35">
      <c r="A73" s="10" t="s">
        <v>505</v>
      </c>
      <c r="B73" s="5">
        <v>4637.7968000000001</v>
      </c>
    </row>
    <row r="74" spans="1:2" x14ac:dyDescent="0.35">
      <c r="A74" s="10" t="s">
        <v>651</v>
      </c>
      <c r="B74" s="5">
        <v>11417.429099999999</v>
      </c>
    </row>
    <row r="75" spans="1:2" x14ac:dyDescent="0.35">
      <c r="A75" s="10" t="s">
        <v>685</v>
      </c>
      <c r="B75" s="5">
        <v>1098.9470800000001</v>
      </c>
    </row>
    <row r="76" spans="1:2" x14ac:dyDescent="0.35">
      <c r="A76" s="10" t="s">
        <v>290</v>
      </c>
      <c r="B76" s="5">
        <v>43209.006119999991</v>
      </c>
    </row>
    <row r="77" spans="1:2" x14ac:dyDescent="0.35">
      <c r="A77" s="10" t="s">
        <v>31</v>
      </c>
      <c r="B77" s="5">
        <v>17960.432489999999</v>
      </c>
    </row>
    <row r="78" spans="1:2" x14ac:dyDescent="0.35">
      <c r="A78" s="10" t="s">
        <v>914</v>
      </c>
      <c r="B78" s="5">
        <v>22457.143800000002</v>
      </c>
    </row>
    <row r="79" spans="1:2" x14ac:dyDescent="0.35">
      <c r="A79" s="10" t="s">
        <v>1042</v>
      </c>
      <c r="B79" s="5">
        <v>10428.057360000001</v>
      </c>
    </row>
    <row r="80" spans="1:2" x14ac:dyDescent="0.35">
      <c r="A80" s="10" t="s">
        <v>261</v>
      </c>
      <c r="B80" s="5">
        <v>18258.868320000001</v>
      </c>
    </row>
    <row r="81" spans="1:2" x14ac:dyDescent="0.35">
      <c r="A81" s="10" t="s">
        <v>177</v>
      </c>
      <c r="B81" s="5">
        <v>10666.229420000001</v>
      </c>
    </row>
    <row r="82" spans="1:2" x14ac:dyDescent="0.35">
      <c r="A82" s="9" t="s">
        <v>64</v>
      </c>
      <c r="B82" s="5">
        <v>635165.93267000001</v>
      </c>
    </row>
    <row r="83" spans="1:2" x14ac:dyDescent="0.35">
      <c r="A83" s="10" t="s">
        <v>781</v>
      </c>
      <c r="B83" s="5">
        <v>26106.613960000002</v>
      </c>
    </row>
    <row r="84" spans="1:2" x14ac:dyDescent="0.35">
      <c r="A84" s="10" t="s">
        <v>645</v>
      </c>
      <c r="B84" s="5">
        <v>7120.6486400000003</v>
      </c>
    </row>
    <row r="85" spans="1:2" x14ac:dyDescent="0.35">
      <c r="A85" s="10" t="s">
        <v>535</v>
      </c>
      <c r="B85" s="5">
        <v>7738.9596900000006</v>
      </c>
    </row>
    <row r="86" spans="1:2" x14ac:dyDescent="0.35">
      <c r="A86" s="10" t="s">
        <v>476</v>
      </c>
      <c r="B86" s="5">
        <v>4831.9464600000001</v>
      </c>
    </row>
    <row r="87" spans="1:2" x14ac:dyDescent="0.35">
      <c r="A87" s="10" t="s">
        <v>513</v>
      </c>
      <c r="B87" s="5">
        <v>26131.70736</v>
      </c>
    </row>
    <row r="88" spans="1:2" x14ac:dyDescent="0.35">
      <c r="A88" s="10" t="s">
        <v>912</v>
      </c>
      <c r="B88" s="5">
        <v>13437.300239999999</v>
      </c>
    </row>
    <row r="89" spans="1:2" x14ac:dyDescent="0.35">
      <c r="A89" s="10" t="s">
        <v>438</v>
      </c>
      <c r="B89" s="5">
        <v>12413.98458</v>
      </c>
    </row>
    <row r="90" spans="1:2" x14ac:dyDescent="0.35">
      <c r="A90" s="10" t="s">
        <v>234</v>
      </c>
      <c r="B90" s="5">
        <v>8671.7354400000004</v>
      </c>
    </row>
    <row r="91" spans="1:2" x14ac:dyDescent="0.35">
      <c r="A91" s="10" t="s">
        <v>1122</v>
      </c>
      <c r="B91" s="5">
        <v>9232.2830599999998</v>
      </c>
    </row>
    <row r="92" spans="1:2" x14ac:dyDescent="0.35">
      <c r="A92" s="10" t="s">
        <v>331</v>
      </c>
      <c r="B92" s="5">
        <v>24523.006720000001</v>
      </c>
    </row>
    <row r="93" spans="1:2" x14ac:dyDescent="0.35">
      <c r="A93" s="10" t="s">
        <v>277</v>
      </c>
      <c r="B93" s="5">
        <v>624.43503999999996</v>
      </c>
    </row>
    <row r="94" spans="1:2" x14ac:dyDescent="0.35">
      <c r="A94" s="10" t="s">
        <v>759</v>
      </c>
      <c r="B94" s="5">
        <v>6229.7423999999992</v>
      </c>
    </row>
    <row r="95" spans="1:2" x14ac:dyDescent="0.35">
      <c r="A95" s="10" t="s">
        <v>649</v>
      </c>
      <c r="B95" s="5">
        <v>29536.716</v>
      </c>
    </row>
    <row r="96" spans="1:2" x14ac:dyDescent="0.35">
      <c r="A96" s="10" t="s">
        <v>265</v>
      </c>
      <c r="B96" s="5">
        <v>524.81174999999996</v>
      </c>
    </row>
    <row r="97" spans="1:2" x14ac:dyDescent="0.35">
      <c r="A97" s="10" t="s">
        <v>345</v>
      </c>
      <c r="B97" s="5">
        <v>22983.34563</v>
      </c>
    </row>
    <row r="98" spans="1:2" x14ac:dyDescent="0.35">
      <c r="A98" s="10" t="s">
        <v>940</v>
      </c>
      <c r="B98" s="5">
        <v>9509.2865999999995</v>
      </c>
    </row>
    <row r="99" spans="1:2" x14ac:dyDescent="0.35">
      <c r="A99" s="10" t="s">
        <v>194</v>
      </c>
      <c r="B99" s="5">
        <v>599.53200000000004</v>
      </c>
    </row>
    <row r="100" spans="1:2" x14ac:dyDescent="0.35">
      <c r="A100" s="10" t="s">
        <v>607</v>
      </c>
      <c r="B100" s="5">
        <v>17689.623</v>
      </c>
    </row>
    <row r="101" spans="1:2" x14ac:dyDescent="0.35">
      <c r="A101" s="10" t="s">
        <v>511</v>
      </c>
      <c r="B101" s="5">
        <v>25553.782800000001</v>
      </c>
    </row>
    <row r="102" spans="1:2" x14ac:dyDescent="0.35">
      <c r="A102" s="10" t="s">
        <v>363</v>
      </c>
      <c r="B102" s="5">
        <v>7703.8640800000003</v>
      </c>
    </row>
    <row r="103" spans="1:2" x14ac:dyDescent="0.35">
      <c r="A103" s="10" t="s">
        <v>221</v>
      </c>
      <c r="B103" s="5">
        <v>72665.817450000002</v>
      </c>
    </row>
    <row r="104" spans="1:2" x14ac:dyDescent="0.35">
      <c r="A104" s="10" t="s">
        <v>460</v>
      </c>
      <c r="B104" s="5">
        <v>7098.5495999999994</v>
      </c>
    </row>
    <row r="105" spans="1:2" x14ac:dyDescent="0.35">
      <c r="A105" s="10" t="s">
        <v>829</v>
      </c>
      <c r="B105" s="5">
        <v>7327.9533600000004</v>
      </c>
    </row>
    <row r="106" spans="1:2" x14ac:dyDescent="0.35">
      <c r="A106" s="10" t="s">
        <v>493</v>
      </c>
      <c r="B106" s="5">
        <v>31191.64716</v>
      </c>
    </row>
    <row r="107" spans="1:2" x14ac:dyDescent="0.35">
      <c r="A107" s="10" t="s">
        <v>434</v>
      </c>
      <c r="B107" s="5">
        <v>85637.740319999997</v>
      </c>
    </row>
    <row r="108" spans="1:2" x14ac:dyDescent="0.35">
      <c r="A108" s="10" t="s">
        <v>232</v>
      </c>
      <c r="B108" s="5">
        <v>14287.896349999999</v>
      </c>
    </row>
    <row r="109" spans="1:2" x14ac:dyDescent="0.35">
      <c r="A109" s="10" t="s">
        <v>1010</v>
      </c>
      <c r="B109" s="5">
        <v>23132.398349999996</v>
      </c>
    </row>
    <row r="110" spans="1:2" x14ac:dyDescent="0.35">
      <c r="A110" s="10" t="s">
        <v>71</v>
      </c>
      <c r="B110" s="5">
        <v>14714.12934</v>
      </c>
    </row>
    <row r="111" spans="1:2" x14ac:dyDescent="0.35">
      <c r="A111" s="10" t="s">
        <v>996</v>
      </c>
      <c r="B111" s="5">
        <v>5565.3272500000003</v>
      </c>
    </row>
    <row r="112" spans="1:2" x14ac:dyDescent="0.35">
      <c r="A112" s="10" t="s">
        <v>256</v>
      </c>
      <c r="B112" s="5">
        <v>4877.1379800000004</v>
      </c>
    </row>
    <row r="113" spans="1:2" x14ac:dyDescent="0.35">
      <c r="A113" s="10" t="s">
        <v>65</v>
      </c>
      <c r="B113" s="5">
        <v>2886.4496399999998</v>
      </c>
    </row>
    <row r="114" spans="1:2" x14ac:dyDescent="0.35">
      <c r="A114" s="10" t="s">
        <v>472</v>
      </c>
      <c r="B114" s="5">
        <v>26408.63841</v>
      </c>
    </row>
    <row r="115" spans="1:2" x14ac:dyDescent="0.35">
      <c r="A115" s="10" t="s">
        <v>275</v>
      </c>
      <c r="B115" s="5">
        <v>11842.8464</v>
      </c>
    </row>
    <row r="116" spans="1:2" x14ac:dyDescent="0.35">
      <c r="A116" s="10" t="s">
        <v>339</v>
      </c>
      <c r="B116" s="5">
        <v>5769.2758000000003</v>
      </c>
    </row>
    <row r="117" spans="1:2" x14ac:dyDescent="0.35">
      <c r="A117" s="10" t="s">
        <v>1100</v>
      </c>
      <c r="B117" s="5">
        <v>16574.544740000001</v>
      </c>
    </row>
    <row r="118" spans="1:2" x14ac:dyDescent="0.35">
      <c r="A118" s="10" t="s">
        <v>739</v>
      </c>
      <c r="B118" s="5">
        <v>2915.4540999999999</v>
      </c>
    </row>
    <row r="119" spans="1:2" x14ac:dyDescent="0.35">
      <c r="A119" s="10" t="s">
        <v>170</v>
      </c>
      <c r="B119" s="5">
        <v>41106.800970000004</v>
      </c>
    </row>
    <row r="120" spans="1:2" x14ac:dyDescent="0.35">
      <c r="A120" s="9" t="s">
        <v>35</v>
      </c>
      <c r="B120" s="5">
        <v>550279.64956000005</v>
      </c>
    </row>
    <row r="121" spans="1:2" x14ac:dyDescent="0.35">
      <c r="A121" s="10" t="s">
        <v>296</v>
      </c>
      <c r="B121" s="5">
        <v>5328.4890400000004</v>
      </c>
    </row>
    <row r="122" spans="1:2" x14ac:dyDescent="0.35">
      <c r="A122" s="10" t="s">
        <v>785</v>
      </c>
      <c r="B122" s="5">
        <v>1115.1975999999997</v>
      </c>
    </row>
    <row r="123" spans="1:2" x14ac:dyDescent="0.35">
      <c r="A123" s="10" t="s">
        <v>244</v>
      </c>
      <c r="B123" s="5">
        <v>9373.460219999999</v>
      </c>
    </row>
    <row r="124" spans="1:2" x14ac:dyDescent="0.35">
      <c r="A124" s="10" t="s">
        <v>182</v>
      </c>
      <c r="B124" s="5">
        <v>32506.559399999998</v>
      </c>
    </row>
    <row r="125" spans="1:2" x14ac:dyDescent="0.35">
      <c r="A125" s="10" t="s">
        <v>392</v>
      </c>
      <c r="B125" s="5">
        <v>25672.127039999999</v>
      </c>
    </row>
    <row r="126" spans="1:2" x14ac:dyDescent="0.35">
      <c r="A126" s="10" t="s">
        <v>980</v>
      </c>
      <c r="B126" s="5">
        <v>2795.6384399999997</v>
      </c>
    </row>
    <row r="127" spans="1:2" x14ac:dyDescent="0.35">
      <c r="A127" s="10" t="s">
        <v>118</v>
      </c>
      <c r="B127" s="5">
        <v>19903.585040000002</v>
      </c>
    </row>
    <row r="128" spans="1:2" x14ac:dyDescent="0.35">
      <c r="A128" s="10" t="s">
        <v>717</v>
      </c>
      <c r="B128" s="5">
        <v>3644.3212800000006</v>
      </c>
    </row>
    <row r="129" spans="1:2" x14ac:dyDescent="0.35">
      <c r="A129" s="10" t="s">
        <v>817</v>
      </c>
      <c r="B129" s="5">
        <v>49336.511399999996</v>
      </c>
    </row>
    <row r="130" spans="1:2" x14ac:dyDescent="0.35">
      <c r="A130" s="10" t="s">
        <v>361</v>
      </c>
      <c r="B130" s="5">
        <v>16071.44868</v>
      </c>
    </row>
    <row r="131" spans="1:2" x14ac:dyDescent="0.35">
      <c r="A131" s="10" t="s">
        <v>324</v>
      </c>
      <c r="B131" s="5">
        <v>34.689059999999998</v>
      </c>
    </row>
    <row r="132" spans="1:2" x14ac:dyDescent="0.35">
      <c r="A132" s="10" t="s">
        <v>259</v>
      </c>
      <c r="B132" s="5">
        <v>60292.805299999993</v>
      </c>
    </row>
    <row r="133" spans="1:2" x14ac:dyDescent="0.35">
      <c r="A133" s="10" t="s">
        <v>747</v>
      </c>
      <c r="B133" s="5">
        <v>39546.774539999999</v>
      </c>
    </row>
    <row r="134" spans="1:2" x14ac:dyDescent="0.35">
      <c r="A134" s="10" t="s">
        <v>188</v>
      </c>
      <c r="B134" s="5">
        <v>35621.302319999995</v>
      </c>
    </row>
    <row r="135" spans="1:2" x14ac:dyDescent="0.35">
      <c r="A135" s="10" t="s">
        <v>1028</v>
      </c>
      <c r="B135" s="5">
        <v>1886.9915999999998</v>
      </c>
    </row>
    <row r="136" spans="1:2" x14ac:dyDescent="0.35">
      <c r="A136" s="10" t="s">
        <v>1329</v>
      </c>
      <c r="B136" s="5">
        <v>18500.693520000001</v>
      </c>
    </row>
    <row r="137" spans="1:2" x14ac:dyDescent="0.35">
      <c r="A137" s="10" t="s">
        <v>861</v>
      </c>
      <c r="B137" s="5">
        <v>33200.038079999998</v>
      </c>
    </row>
    <row r="138" spans="1:2" x14ac:dyDescent="0.35">
      <c r="A138" s="10" t="s">
        <v>655</v>
      </c>
      <c r="B138" s="5">
        <v>79548.755999999994</v>
      </c>
    </row>
    <row r="139" spans="1:2" x14ac:dyDescent="0.35">
      <c r="A139" s="10" t="s">
        <v>267</v>
      </c>
      <c r="B139" s="5">
        <v>21062.61248</v>
      </c>
    </row>
    <row r="140" spans="1:2" x14ac:dyDescent="0.35">
      <c r="A140" s="10" t="s">
        <v>533</v>
      </c>
      <c r="B140" s="5">
        <v>15253.069799999999</v>
      </c>
    </row>
    <row r="141" spans="1:2" x14ac:dyDescent="0.35">
      <c r="A141" s="10" t="s">
        <v>150</v>
      </c>
      <c r="B141" s="5">
        <v>9647.3852800000004</v>
      </c>
    </row>
    <row r="142" spans="1:2" x14ac:dyDescent="0.35">
      <c r="A142" s="10" t="s">
        <v>970</v>
      </c>
      <c r="B142" s="5">
        <v>1950.0031200000001</v>
      </c>
    </row>
    <row r="143" spans="1:2" x14ac:dyDescent="0.35">
      <c r="A143" s="10" t="s">
        <v>665</v>
      </c>
      <c r="B143" s="5">
        <v>13035.970220000001</v>
      </c>
    </row>
    <row r="144" spans="1:2" x14ac:dyDescent="0.35">
      <c r="A144" s="10" t="s">
        <v>349</v>
      </c>
      <c r="B144" s="5">
        <v>10817.3416</v>
      </c>
    </row>
    <row r="145" spans="1:2" x14ac:dyDescent="0.35">
      <c r="A145" s="10" t="s">
        <v>416</v>
      </c>
      <c r="B145" s="5">
        <v>7203.8047000000006</v>
      </c>
    </row>
    <row r="146" spans="1:2" x14ac:dyDescent="0.35">
      <c r="A146" s="10" t="s">
        <v>765</v>
      </c>
      <c r="B146" s="5">
        <v>8764.4065599999994</v>
      </c>
    </row>
    <row r="147" spans="1:2" x14ac:dyDescent="0.35">
      <c r="A147" s="10" t="s">
        <v>627</v>
      </c>
      <c r="B147" s="5">
        <v>8186.057600000001</v>
      </c>
    </row>
    <row r="148" spans="1:2" x14ac:dyDescent="0.35">
      <c r="A148" s="10" t="s">
        <v>36</v>
      </c>
      <c r="B148" s="5">
        <v>-319.72248000000002</v>
      </c>
    </row>
    <row r="149" spans="1:2" x14ac:dyDescent="0.35">
      <c r="A149" s="10" t="s">
        <v>139</v>
      </c>
      <c r="B149" s="5">
        <v>20084.133720000002</v>
      </c>
    </row>
    <row r="150" spans="1:2" x14ac:dyDescent="0.35">
      <c r="A150" s="10" t="s">
        <v>200</v>
      </c>
      <c r="B150" s="5">
        <v>215.19839999999996</v>
      </c>
    </row>
    <row r="151" spans="1:2" x14ac:dyDescent="0.35">
      <c r="A151" s="9" t="s">
        <v>81</v>
      </c>
      <c r="B151" s="5">
        <v>460387.37524999992</v>
      </c>
    </row>
    <row r="152" spans="1:2" x14ac:dyDescent="0.35">
      <c r="A152" s="10" t="s">
        <v>381</v>
      </c>
      <c r="B152" s="5">
        <v>1446.9507000000001</v>
      </c>
    </row>
    <row r="153" spans="1:2" x14ac:dyDescent="0.35">
      <c r="A153" s="10" t="s">
        <v>769</v>
      </c>
      <c r="B153" s="5">
        <v>5610.0923999999995</v>
      </c>
    </row>
    <row r="154" spans="1:2" x14ac:dyDescent="0.35">
      <c r="A154" s="10" t="s">
        <v>783</v>
      </c>
      <c r="B154" s="5">
        <v>17067.938400000003</v>
      </c>
    </row>
    <row r="155" spans="1:2" x14ac:dyDescent="0.35">
      <c r="A155" s="10" t="s">
        <v>892</v>
      </c>
      <c r="B155" s="5">
        <v>14431.738420000001</v>
      </c>
    </row>
    <row r="156" spans="1:2" x14ac:dyDescent="0.35">
      <c r="A156" s="10" t="s">
        <v>689</v>
      </c>
      <c r="B156" s="5">
        <v>7382.1450000000004</v>
      </c>
    </row>
    <row r="157" spans="1:2" x14ac:dyDescent="0.35">
      <c r="A157" s="10" t="s">
        <v>517</v>
      </c>
      <c r="B157" s="5">
        <v>28386.015839999996</v>
      </c>
    </row>
    <row r="158" spans="1:2" x14ac:dyDescent="0.35">
      <c r="A158" s="10" t="s">
        <v>208</v>
      </c>
      <c r="B158" s="5">
        <v>-272.98599999999999</v>
      </c>
    </row>
    <row r="159" spans="1:2" x14ac:dyDescent="0.35">
      <c r="A159" s="10" t="s">
        <v>210</v>
      </c>
      <c r="B159" s="5">
        <v>4569.8508000000002</v>
      </c>
    </row>
    <row r="160" spans="1:2" x14ac:dyDescent="0.35">
      <c r="A160" s="10" t="s">
        <v>753</v>
      </c>
      <c r="B160" s="5">
        <v>9829.0483199999999</v>
      </c>
    </row>
    <row r="161" spans="1:2" x14ac:dyDescent="0.35">
      <c r="A161" s="10" t="s">
        <v>306</v>
      </c>
      <c r="B161" s="5">
        <v>5960.3340000000007</v>
      </c>
    </row>
    <row r="162" spans="1:2" x14ac:dyDescent="0.35">
      <c r="A162" s="10" t="s">
        <v>238</v>
      </c>
      <c r="B162" s="5">
        <v>10647.727199999999</v>
      </c>
    </row>
    <row r="163" spans="1:2" x14ac:dyDescent="0.35">
      <c r="A163" s="10" t="s">
        <v>727</v>
      </c>
      <c r="B163" s="5">
        <v>11283.400799999999</v>
      </c>
    </row>
    <row r="164" spans="1:2" x14ac:dyDescent="0.35">
      <c r="A164" s="10" t="s">
        <v>767</v>
      </c>
      <c r="B164" s="5">
        <v>7105.3528000000006</v>
      </c>
    </row>
    <row r="165" spans="1:2" x14ac:dyDescent="0.35">
      <c r="A165" s="10" t="s">
        <v>1195</v>
      </c>
      <c r="B165" s="5">
        <v>15530.929919999999</v>
      </c>
    </row>
    <row r="166" spans="1:2" x14ac:dyDescent="0.35">
      <c r="A166" s="10" t="s">
        <v>120</v>
      </c>
      <c r="B166" s="5">
        <v>10936.992</v>
      </c>
    </row>
    <row r="167" spans="1:2" x14ac:dyDescent="0.35">
      <c r="A167" s="10" t="s">
        <v>420</v>
      </c>
      <c r="B167" s="5">
        <v>10382.65884</v>
      </c>
    </row>
    <row r="168" spans="1:2" x14ac:dyDescent="0.35">
      <c r="A168" s="10" t="s">
        <v>250</v>
      </c>
      <c r="B168" s="5">
        <v>35396.277799999996</v>
      </c>
    </row>
    <row r="169" spans="1:2" x14ac:dyDescent="0.35">
      <c r="A169" s="10" t="s">
        <v>477</v>
      </c>
      <c r="B169" s="5">
        <v>26759.28775</v>
      </c>
    </row>
    <row r="170" spans="1:2" x14ac:dyDescent="0.35">
      <c r="A170" s="10" t="s">
        <v>557</v>
      </c>
      <c r="B170" s="5">
        <v>5533.6230000000005</v>
      </c>
    </row>
    <row r="171" spans="1:2" x14ac:dyDescent="0.35">
      <c r="A171" s="10" t="s">
        <v>807</v>
      </c>
      <c r="B171" s="5">
        <v>26552.60298</v>
      </c>
    </row>
    <row r="172" spans="1:2" x14ac:dyDescent="0.35">
      <c r="A172" s="10" t="s">
        <v>192</v>
      </c>
      <c r="B172" s="5">
        <v>14894.903999999999</v>
      </c>
    </row>
    <row r="173" spans="1:2" x14ac:dyDescent="0.35">
      <c r="A173" s="10" t="s">
        <v>464</v>
      </c>
      <c r="B173" s="5">
        <v>18.659839999999999</v>
      </c>
    </row>
    <row r="174" spans="1:2" x14ac:dyDescent="0.35">
      <c r="A174" s="10" t="s">
        <v>388</v>
      </c>
      <c r="B174" s="5">
        <v>32086.37586</v>
      </c>
    </row>
    <row r="175" spans="1:2" x14ac:dyDescent="0.35">
      <c r="A175" s="10" t="s">
        <v>82</v>
      </c>
      <c r="B175" s="5">
        <v>16006.14344</v>
      </c>
    </row>
    <row r="176" spans="1:2" x14ac:dyDescent="0.35">
      <c r="A176" s="10" t="s">
        <v>779</v>
      </c>
      <c r="B176" s="5">
        <v>3021.5016000000001</v>
      </c>
    </row>
    <row r="177" spans="1:2" x14ac:dyDescent="0.35">
      <c r="A177" s="10" t="s">
        <v>687</v>
      </c>
      <c r="B177" s="5">
        <v>23375.594060000003</v>
      </c>
    </row>
    <row r="178" spans="1:2" x14ac:dyDescent="0.35">
      <c r="A178" s="10" t="s">
        <v>129</v>
      </c>
      <c r="B178" s="5">
        <v>8596.2905599999995</v>
      </c>
    </row>
    <row r="179" spans="1:2" x14ac:dyDescent="0.35">
      <c r="A179" s="10" t="s">
        <v>286</v>
      </c>
      <c r="B179" s="5">
        <v>20079.343620000003</v>
      </c>
    </row>
    <row r="180" spans="1:2" x14ac:dyDescent="0.35">
      <c r="A180" s="10" t="s">
        <v>229</v>
      </c>
      <c r="B180" s="5">
        <v>16013.681599999998</v>
      </c>
    </row>
    <row r="181" spans="1:2" x14ac:dyDescent="0.35">
      <c r="A181" s="10" t="s">
        <v>1177</v>
      </c>
      <c r="B181" s="5">
        <v>20430.771599999996</v>
      </c>
    </row>
    <row r="182" spans="1:2" x14ac:dyDescent="0.35">
      <c r="A182" s="10" t="s">
        <v>715</v>
      </c>
      <c r="B182" s="5">
        <v>43084.872000000003</v>
      </c>
    </row>
    <row r="183" spans="1:2" x14ac:dyDescent="0.35">
      <c r="A183" s="10" t="s">
        <v>468</v>
      </c>
      <c r="B183" s="5">
        <v>7689.4560000000001</v>
      </c>
    </row>
    <row r="184" spans="1:2" x14ac:dyDescent="0.35">
      <c r="A184" s="10" t="s">
        <v>318</v>
      </c>
      <c r="B184" s="5">
        <v>549.80010000000004</v>
      </c>
    </row>
    <row r="185" spans="1:2" x14ac:dyDescent="0.35">
      <c r="A185" s="9" t="s">
        <v>42</v>
      </c>
      <c r="B185" s="5">
        <v>407544.81476000004</v>
      </c>
    </row>
    <row r="186" spans="1:2" x14ac:dyDescent="0.35">
      <c r="A186" s="10" t="s">
        <v>944</v>
      </c>
      <c r="B186" s="5">
        <v>9984.7160999999978</v>
      </c>
    </row>
    <row r="187" spans="1:2" x14ac:dyDescent="0.35">
      <c r="A187" s="10" t="s">
        <v>103</v>
      </c>
      <c r="B187" s="5">
        <v>35367.211040000002</v>
      </c>
    </row>
    <row r="188" spans="1:2" x14ac:dyDescent="0.35">
      <c r="A188" s="10" t="s">
        <v>789</v>
      </c>
      <c r="B188" s="5">
        <v>8938.8996600000009</v>
      </c>
    </row>
    <row r="189" spans="1:2" x14ac:dyDescent="0.35">
      <c r="A189" s="10" t="s">
        <v>314</v>
      </c>
      <c r="B189" s="5">
        <v>23687.524440000001</v>
      </c>
    </row>
    <row r="190" spans="1:2" x14ac:dyDescent="0.35">
      <c r="A190" s="10" t="s">
        <v>579</v>
      </c>
      <c r="B190" s="5">
        <v>6684.1875</v>
      </c>
    </row>
    <row r="191" spans="1:2" x14ac:dyDescent="0.35">
      <c r="A191" s="10" t="s">
        <v>956</v>
      </c>
      <c r="B191" s="5">
        <v>19637.76528</v>
      </c>
    </row>
    <row r="192" spans="1:2" x14ac:dyDescent="0.35">
      <c r="A192" s="10" t="s">
        <v>585</v>
      </c>
      <c r="B192" s="5">
        <v>9684.8756000000012</v>
      </c>
    </row>
    <row r="193" spans="1:2" x14ac:dyDescent="0.35">
      <c r="A193" s="10" t="s">
        <v>771</v>
      </c>
      <c r="B193" s="5">
        <v>4856.35725</v>
      </c>
    </row>
    <row r="194" spans="1:2" x14ac:dyDescent="0.35">
      <c r="A194" s="10" t="s">
        <v>43</v>
      </c>
      <c r="B194" s="5">
        <v>5225.2710400000005</v>
      </c>
    </row>
    <row r="195" spans="1:2" x14ac:dyDescent="0.35">
      <c r="A195" s="10" t="s">
        <v>402</v>
      </c>
      <c r="B195" s="5">
        <v>42495.805439999996</v>
      </c>
    </row>
    <row r="196" spans="1:2" x14ac:dyDescent="0.35">
      <c r="A196" s="10" t="s">
        <v>226</v>
      </c>
      <c r="B196" s="5">
        <v>12153.267360000002</v>
      </c>
    </row>
    <row r="197" spans="1:2" x14ac:dyDescent="0.35">
      <c r="A197" s="10" t="s">
        <v>593</v>
      </c>
      <c r="B197" s="5">
        <v>2909.8689199999999</v>
      </c>
    </row>
    <row r="198" spans="1:2" x14ac:dyDescent="0.35">
      <c r="A198" s="10" t="s">
        <v>146</v>
      </c>
      <c r="B198" s="5">
        <v>26150.364320000001</v>
      </c>
    </row>
    <row r="199" spans="1:2" x14ac:dyDescent="0.35">
      <c r="A199" s="10" t="s">
        <v>497</v>
      </c>
      <c r="B199" s="5">
        <v>11326.846439999999</v>
      </c>
    </row>
    <row r="200" spans="1:2" x14ac:dyDescent="0.35">
      <c r="A200" s="10" t="s">
        <v>428</v>
      </c>
      <c r="B200" s="5">
        <v>8154.5511600000009</v>
      </c>
    </row>
    <row r="201" spans="1:2" x14ac:dyDescent="0.35">
      <c r="A201" s="10" t="s">
        <v>1074</v>
      </c>
      <c r="B201" s="5">
        <v>5159.7893599999998</v>
      </c>
    </row>
    <row r="202" spans="1:2" x14ac:dyDescent="0.35">
      <c r="A202" s="10" t="s">
        <v>735</v>
      </c>
      <c r="B202" s="5">
        <v>9062.34692</v>
      </c>
    </row>
    <row r="203" spans="1:2" x14ac:dyDescent="0.35">
      <c r="A203" s="10" t="s">
        <v>763</v>
      </c>
      <c r="B203" s="5">
        <v>2537.2908000000002</v>
      </c>
    </row>
    <row r="204" spans="1:2" x14ac:dyDescent="0.35">
      <c r="A204" s="10" t="s">
        <v>133</v>
      </c>
      <c r="B204" s="5">
        <v>3980.7075</v>
      </c>
    </row>
    <row r="205" spans="1:2" x14ac:dyDescent="0.35">
      <c r="A205" s="10" t="s">
        <v>288</v>
      </c>
      <c r="B205" s="5">
        <v>5487.6023999999998</v>
      </c>
    </row>
    <row r="206" spans="1:2" x14ac:dyDescent="0.35">
      <c r="A206" s="10" t="s">
        <v>85</v>
      </c>
      <c r="B206" s="5">
        <v>10370.549999999999</v>
      </c>
    </row>
    <row r="207" spans="1:2" x14ac:dyDescent="0.35">
      <c r="A207" s="10" t="s">
        <v>1315</v>
      </c>
      <c r="B207" s="5">
        <v>29175.036029999999</v>
      </c>
    </row>
    <row r="208" spans="1:2" x14ac:dyDescent="0.35">
      <c r="A208" s="10" t="s">
        <v>347</v>
      </c>
      <c r="B208" s="5">
        <v>16061.972879999999</v>
      </c>
    </row>
    <row r="209" spans="1:2" x14ac:dyDescent="0.35">
      <c r="A209" s="10" t="s">
        <v>851</v>
      </c>
      <c r="B209" s="5">
        <v>31005.24768</v>
      </c>
    </row>
    <row r="210" spans="1:2" x14ac:dyDescent="0.35">
      <c r="A210" s="10" t="s">
        <v>377</v>
      </c>
      <c r="B210" s="5">
        <v>4336.2427499999994</v>
      </c>
    </row>
    <row r="211" spans="1:2" x14ac:dyDescent="0.35">
      <c r="A211" s="10" t="s">
        <v>218</v>
      </c>
      <c r="B211" s="5">
        <v>10947.904</v>
      </c>
    </row>
    <row r="212" spans="1:2" x14ac:dyDescent="0.35">
      <c r="A212" s="10" t="s">
        <v>312</v>
      </c>
      <c r="B212" s="5">
        <v>518.65436999999997</v>
      </c>
    </row>
    <row r="213" spans="1:2" x14ac:dyDescent="0.35">
      <c r="A213" s="10" t="s">
        <v>422</v>
      </c>
      <c r="B213" s="5">
        <v>29263.754519999995</v>
      </c>
    </row>
    <row r="214" spans="1:2" x14ac:dyDescent="0.35">
      <c r="A214" s="10" t="s">
        <v>743</v>
      </c>
      <c r="B214" s="5">
        <v>22380.204000000002</v>
      </c>
    </row>
    <row r="215" spans="1:2" x14ac:dyDescent="0.35">
      <c r="A215" s="9" t="s">
        <v>57</v>
      </c>
      <c r="B215" s="5">
        <v>398335.55545000004</v>
      </c>
    </row>
    <row r="216" spans="1:2" x14ac:dyDescent="0.35">
      <c r="A216" s="10" t="s">
        <v>1170</v>
      </c>
      <c r="B216" s="5">
        <v>42433.254400000005</v>
      </c>
    </row>
    <row r="217" spans="1:2" x14ac:dyDescent="0.35">
      <c r="A217" s="10" t="s">
        <v>436</v>
      </c>
      <c r="B217" s="5">
        <v>14448.298699999998</v>
      </c>
    </row>
    <row r="218" spans="1:2" x14ac:dyDescent="0.35">
      <c r="A218" s="10" t="s">
        <v>394</v>
      </c>
      <c r="B218" s="5">
        <v>12954.358080000002</v>
      </c>
    </row>
    <row r="219" spans="1:2" x14ac:dyDescent="0.35">
      <c r="A219" s="10" t="s">
        <v>99</v>
      </c>
      <c r="B219" s="5">
        <v>7090.5672000000004</v>
      </c>
    </row>
    <row r="220" spans="1:2" x14ac:dyDescent="0.35">
      <c r="A220" s="10" t="s">
        <v>341</v>
      </c>
      <c r="B220" s="5">
        <v>592.92849000000001</v>
      </c>
    </row>
    <row r="221" spans="1:2" x14ac:dyDescent="0.35">
      <c r="A221" s="10" t="s">
        <v>661</v>
      </c>
      <c r="B221" s="5">
        <v>8907.6924999999992</v>
      </c>
    </row>
    <row r="222" spans="1:2" x14ac:dyDescent="0.35">
      <c r="A222" s="10" t="s">
        <v>595</v>
      </c>
      <c r="B222" s="5">
        <v>9774.3888000000006</v>
      </c>
    </row>
    <row r="223" spans="1:2" x14ac:dyDescent="0.35">
      <c r="A223" s="10" t="s">
        <v>872</v>
      </c>
      <c r="B223" s="5">
        <v>22064.910300000003</v>
      </c>
    </row>
    <row r="224" spans="1:2" x14ac:dyDescent="0.35">
      <c r="A224" s="10" t="s">
        <v>843</v>
      </c>
      <c r="B224" s="5">
        <v>4133.25108</v>
      </c>
    </row>
    <row r="225" spans="1:2" x14ac:dyDescent="0.35">
      <c r="A225" s="10" t="s">
        <v>111</v>
      </c>
      <c r="B225" s="5">
        <v>39263.702919999996</v>
      </c>
    </row>
    <row r="226" spans="1:2" x14ac:dyDescent="0.35">
      <c r="A226" s="10" t="s">
        <v>223</v>
      </c>
      <c r="B226" s="5">
        <v>26304.275999999998</v>
      </c>
    </row>
    <row r="227" spans="1:2" x14ac:dyDescent="0.35">
      <c r="A227" s="10" t="s">
        <v>240</v>
      </c>
      <c r="B227" s="5">
        <v>6393.0952799999995</v>
      </c>
    </row>
    <row r="228" spans="1:2" x14ac:dyDescent="0.35">
      <c r="A228" s="10" t="s">
        <v>124</v>
      </c>
      <c r="B228" s="5">
        <v>20225.2248</v>
      </c>
    </row>
    <row r="229" spans="1:2" x14ac:dyDescent="0.35">
      <c r="A229" s="10" t="s">
        <v>406</v>
      </c>
      <c r="B229" s="5">
        <v>21572.590500000002</v>
      </c>
    </row>
    <row r="230" spans="1:2" x14ac:dyDescent="0.35">
      <c r="A230" s="10" t="s">
        <v>839</v>
      </c>
      <c r="B230" s="5">
        <v>13784.586000000001</v>
      </c>
    </row>
    <row r="231" spans="1:2" x14ac:dyDescent="0.35">
      <c r="A231" s="10" t="s">
        <v>204</v>
      </c>
      <c r="B231" s="5">
        <v>29659.68995</v>
      </c>
    </row>
    <row r="232" spans="1:2" x14ac:dyDescent="0.35">
      <c r="A232" s="10" t="s">
        <v>450</v>
      </c>
      <c r="B232" s="5">
        <v>31556.187599999997</v>
      </c>
    </row>
    <row r="233" spans="1:2" x14ac:dyDescent="0.35">
      <c r="A233" s="10" t="s">
        <v>487</v>
      </c>
      <c r="B233" s="5">
        <v>24374.594880000001</v>
      </c>
    </row>
    <row r="234" spans="1:2" x14ac:dyDescent="0.35">
      <c r="A234" s="10" t="s">
        <v>242</v>
      </c>
      <c r="B234" s="5">
        <v>20171.63305</v>
      </c>
    </row>
    <row r="235" spans="1:2" x14ac:dyDescent="0.35">
      <c r="A235" s="10" t="s">
        <v>58</v>
      </c>
      <c r="B235" s="5">
        <v>4141.7599999999993</v>
      </c>
    </row>
    <row r="236" spans="1:2" x14ac:dyDescent="0.35">
      <c r="A236" s="10" t="s">
        <v>322</v>
      </c>
      <c r="B236" s="5">
        <v>30151.675319999998</v>
      </c>
    </row>
    <row r="237" spans="1:2" x14ac:dyDescent="0.35">
      <c r="A237" s="10" t="s">
        <v>367</v>
      </c>
      <c r="B237" s="5">
        <v>8336.8896000000004</v>
      </c>
    </row>
    <row r="238" spans="1:2" x14ac:dyDescent="0.35">
      <c r="A238" s="9" t="s">
        <v>1384</v>
      </c>
      <c r="B238" s="5">
        <v>3810445.7462499985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463E5-C69F-4697-89E1-D85A8B578483}">
  <sheetPr>
    <tabColor rgb="FF00B0F0"/>
  </sheetPr>
  <dimension ref="A3:F20"/>
  <sheetViews>
    <sheetView workbookViewId="0">
      <selection activeCell="E4" sqref="E4"/>
    </sheetView>
  </sheetViews>
  <sheetFormatPr defaultRowHeight="14.5" x14ac:dyDescent="0.35"/>
  <cols>
    <col min="1" max="1" width="12.36328125" bestFit="1" customWidth="1"/>
    <col min="2" max="2" width="15.36328125" bestFit="1" customWidth="1"/>
    <col min="3" max="3" width="19.1796875" bestFit="1" customWidth="1"/>
    <col min="4" max="4" width="17.1796875" bestFit="1" customWidth="1"/>
    <col min="5" max="5" width="13.81640625" style="3" bestFit="1" customWidth="1"/>
    <col min="6" max="6" width="15.90625" style="12" bestFit="1" customWidth="1"/>
  </cols>
  <sheetData>
    <row r="3" spans="1:6" s="14" customFormat="1" x14ac:dyDescent="0.35">
      <c r="A3" s="13" t="s">
        <v>1383</v>
      </c>
      <c r="B3" s="14" t="s">
        <v>1425</v>
      </c>
      <c r="C3" s="14" t="s">
        <v>1423</v>
      </c>
      <c r="D3" s="14" t="s">
        <v>1426</v>
      </c>
      <c r="E3" s="15" t="s">
        <v>1427</v>
      </c>
      <c r="F3" s="16" t="s">
        <v>1428</v>
      </c>
    </row>
    <row r="4" spans="1:6" x14ac:dyDescent="0.35">
      <c r="A4" s="9" t="s">
        <v>75</v>
      </c>
      <c r="B4">
        <v>17</v>
      </c>
      <c r="C4" s="5">
        <v>285116.88491000002</v>
      </c>
      <c r="D4" s="6">
        <v>10326884384.291155</v>
      </c>
      <c r="E4" s="3">
        <f>C4/B4</f>
        <v>16771.581465294119</v>
      </c>
      <c r="F4" s="12">
        <f>D4/B4</f>
        <v>607463787.31124437</v>
      </c>
    </row>
    <row r="5" spans="1:6" x14ac:dyDescent="0.35">
      <c r="A5" s="9" t="s">
        <v>56</v>
      </c>
      <c r="B5">
        <v>18</v>
      </c>
      <c r="C5" s="5">
        <v>286559.05874999997</v>
      </c>
      <c r="D5" s="6">
        <v>8876694771.7481842</v>
      </c>
      <c r="E5" s="3">
        <f t="shared" ref="E5:E20" si="0">C5/B5</f>
        <v>15919.947708333331</v>
      </c>
      <c r="F5" s="12">
        <f t="shared" ref="F5:F20" si="1">D5/B5</f>
        <v>493149709.54156578</v>
      </c>
    </row>
    <row r="6" spans="1:6" x14ac:dyDescent="0.35">
      <c r="A6" s="9" t="s">
        <v>21</v>
      </c>
      <c r="B6">
        <v>14</v>
      </c>
      <c r="C6" s="5">
        <v>251978.37331</v>
      </c>
      <c r="D6" s="6">
        <v>9226612588.8408298</v>
      </c>
      <c r="E6" s="3">
        <f t="shared" si="0"/>
        <v>17998.45523642857</v>
      </c>
      <c r="F6" s="12">
        <f t="shared" si="1"/>
        <v>659043756.34577358</v>
      </c>
    </row>
    <row r="7" spans="1:6" x14ac:dyDescent="0.35">
      <c r="A7" s="9" t="s">
        <v>145</v>
      </c>
      <c r="B7">
        <v>11</v>
      </c>
      <c r="C7" s="5">
        <v>163397.62542000003</v>
      </c>
      <c r="D7" s="6">
        <v>4211898149.9070649</v>
      </c>
      <c r="E7" s="3">
        <f t="shared" si="0"/>
        <v>14854.329583636367</v>
      </c>
      <c r="F7" s="12">
        <f t="shared" si="1"/>
        <v>382899831.80973315</v>
      </c>
    </row>
    <row r="8" spans="1:6" x14ac:dyDescent="0.35">
      <c r="A8" s="9" t="s">
        <v>63</v>
      </c>
      <c r="B8">
        <v>15</v>
      </c>
      <c r="C8" s="5">
        <v>222197.25579999998</v>
      </c>
      <c r="D8" s="6">
        <v>5211501170.6469011</v>
      </c>
      <c r="E8" s="3">
        <f t="shared" si="0"/>
        <v>14813.150386666666</v>
      </c>
      <c r="F8" s="12">
        <f t="shared" si="1"/>
        <v>347433411.37646008</v>
      </c>
    </row>
    <row r="9" spans="1:6" x14ac:dyDescent="0.35">
      <c r="A9" s="9" t="s">
        <v>84</v>
      </c>
      <c r="B9">
        <v>17</v>
      </c>
      <c r="C9" s="5">
        <v>221448.03626000002</v>
      </c>
      <c r="D9" s="6">
        <v>5921605151.8112125</v>
      </c>
      <c r="E9" s="3">
        <f t="shared" si="0"/>
        <v>13026.355074117648</v>
      </c>
      <c r="F9" s="12">
        <f t="shared" si="1"/>
        <v>348329714.81242424</v>
      </c>
    </row>
    <row r="10" spans="1:6" x14ac:dyDescent="0.35">
      <c r="A10" s="9" t="s">
        <v>41</v>
      </c>
      <c r="B10">
        <v>10</v>
      </c>
      <c r="C10" s="5">
        <v>152061.01255000001</v>
      </c>
      <c r="D10" s="6">
        <v>4176995632.4348421</v>
      </c>
      <c r="E10" s="3">
        <f t="shared" si="0"/>
        <v>15206.101255000001</v>
      </c>
      <c r="F10" s="12">
        <f t="shared" si="1"/>
        <v>417699563.2434842</v>
      </c>
    </row>
    <row r="11" spans="1:6" x14ac:dyDescent="0.35">
      <c r="A11" s="9" t="s">
        <v>92</v>
      </c>
      <c r="B11">
        <v>18</v>
      </c>
      <c r="C11" s="5">
        <v>365315.40064000007</v>
      </c>
      <c r="D11" s="6">
        <v>28897853972.965046</v>
      </c>
      <c r="E11" s="3">
        <f t="shared" si="0"/>
        <v>20295.30003555556</v>
      </c>
      <c r="F11" s="12">
        <f t="shared" si="1"/>
        <v>1605436331.8313913</v>
      </c>
    </row>
    <row r="12" spans="1:6" x14ac:dyDescent="0.35">
      <c r="A12" s="9" t="s">
        <v>34</v>
      </c>
      <c r="B12">
        <v>17</v>
      </c>
      <c r="C12" s="5">
        <v>255407.92588999998</v>
      </c>
      <c r="D12" s="6">
        <v>7596870614.655921</v>
      </c>
      <c r="E12" s="3">
        <f t="shared" si="0"/>
        <v>15023.995640588235</v>
      </c>
      <c r="F12" s="12">
        <f t="shared" si="1"/>
        <v>446874742.03858358</v>
      </c>
    </row>
    <row r="13" spans="1:6" x14ac:dyDescent="0.35">
      <c r="A13" s="9" t="s">
        <v>29</v>
      </c>
      <c r="B13">
        <v>15</v>
      </c>
      <c r="C13" s="5">
        <v>241501.06403000001</v>
      </c>
      <c r="D13" s="6">
        <v>8829425907.621294</v>
      </c>
      <c r="E13" s="3">
        <f t="shared" si="0"/>
        <v>16100.070935333333</v>
      </c>
      <c r="F13" s="12">
        <f t="shared" si="1"/>
        <v>588628393.84141958</v>
      </c>
    </row>
    <row r="14" spans="1:6" x14ac:dyDescent="0.35">
      <c r="A14" s="9" t="s">
        <v>95</v>
      </c>
      <c r="B14">
        <v>13</v>
      </c>
      <c r="C14" s="5">
        <v>237958.11132000005</v>
      </c>
      <c r="D14" s="6">
        <v>6844236336.3486996</v>
      </c>
      <c r="E14" s="3">
        <f t="shared" si="0"/>
        <v>18304.470101538467</v>
      </c>
      <c r="F14" s="12">
        <f t="shared" si="1"/>
        <v>526479718.18066919</v>
      </c>
    </row>
    <row r="15" spans="1:6" x14ac:dyDescent="0.35">
      <c r="A15" s="9" t="s">
        <v>49</v>
      </c>
      <c r="B15">
        <v>16</v>
      </c>
      <c r="C15" s="5">
        <v>199508.13654000001</v>
      </c>
      <c r="D15" s="6">
        <v>9197029122.1511726</v>
      </c>
      <c r="E15" s="3">
        <f t="shared" si="0"/>
        <v>12469.25853375</v>
      </c>
      <c r="F15" s="12">
        <f t="shared" si="1"/>
        <v>574814320.13444829</v>
      </c>
    </row>
    <row r="16" spans="1:6" x14ac:dyDescent="0.35">
      <c r="A16" s="9" t="s">
        <v>110</v>
      </c>
      <c r="B16">
        <v>19</v>
      </c>
      <c r="C16" s="5">
        <v>415780.99275000003</v>
      </c>
      <c r="D16" s="6">
        <v>16930382967.228287</v>
      </c>
      <c r="E16" s="3">
        <f t="shared" si="0"/>
        <v>21883.210144736844</v>
      </c>
      <c r="F16" s="12">
        <f t="shared" si="1"/>
        <v>891072787.74885714</v>
      </c>
    </row>
    <row r="17" spans="1:6" x14ac:dyDescent="0.35">
      <c r="A17" s="9" t="s">
        <v>126</v>
      </c>
      <c r="B17">
        <v>10</v>
      </c>
      <c r="C17" s="5">
        <v>137430.32718000002</v>
      </c>
      <c r="D17" s="6">
        <v>3400665192.593472</v>
      </c>
      <c r="E17" s="3">
        <f t="shared" si="0"/>
        <v>13743.032718000002</v>
      </c>
      <c r="F17" s="12">
        <f t="shared" si="1"/>
        <v>340066519.2593472</v>
      </c>
    </row>
    <row r="18" spans="1:6" x14ac:dyDescent="0.35">
      <c r="A18" s="9" t="s">
        <v>68</v>
      </c>
      <c r="B18">
        <v>15</v>
      </c>
      <c r="C18" s="5">
        <v>305096.59154000005</v>
      </c>
      <c r="D18" s="6">
        <v>18357519724.440857</v>
      </c>
      <c r="E18" s="3">
        <f t="shared" si="0"/>
        <v>20339.772769333336</v>
      </c>
      <c r="F18" s="12">
        <f t="shared" si="1"/>
        <v>1223834648.2960572</v>
      </c>
    </row>
    <row r="19" spans="1:6" x14ac:dyDescent="0.35">
      <c r="A19" s="9" t="s">
        <v>1385</v>
      </c>
      <c r="B19">
        <v>3</v>
      </c>
      <c r="C19" s="5">
        <v>69688.949359999999</v>
      </c>
      <c r="D19" s="6">
        <v>2504498056.0611415</v>
      </c>
      <c r="E19" s="3">
        <f t="shared" si="0"/>
        <v>23229.649786666665</v>
      </c>
      <c r="F19" s="12">
        <f t="shared" si="1"/>
        <v>834832685.35371387</v>
      </c>
    </row>
    <row r="20" spans="1:6" x14ac:dyDescent="0.35">
      <c r="A20" s="9" t="s">
        <v>1384</v>
      </c>
      <c r="B20">
        <v>228</v>
      </c>
      <c r="C20" s="5">
        <v>3810445.7462499994</v>
      </c>
      <c r="D20" s="6">
        <v>150510673743.74606</v>
      </c>
      <c r="E20" s="3">
        <f t="shared" si="0"/>
        <v>16712.481343201751</v>
      </c>
      <c r="F20" s="12">
        <f t="shared" si="1"/>
        <v>660134533.96379852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09050-7BD6-4BE3-B91E-55517B481040}">
  <sheetPr>
    <tabColor rgb="FF00B0F0"/>
  </sheetPr>
  <dimension ref="A3:AI21"/>
  <sheetViews>
    <sheetView topLeftCell="B1" workbookViewId="0">
      <selection activeCell="E14" sqref="E14"/>
    </sheetView>
  </sheetViews>
  <sheetFormatPr defaultRowHeight="14.5" x14ac:dyDescent="0.35"/>
  <cols>
    <col min="1" max="1" width="15.36328125" bestFit="1" customWidth="1"/>
    <col min="2" max="2" width="15.26953125" bestFit="1" customWidth="1"/>
    <col min="3" max="4" width="8.453125" bestFit="1" customWidth="1"/>
    <col min="5" max="7" width="8.6328125" bestFit="1" customWidth="1"/>
    <col min="8" max="9" width="8.54296875" bestFit="1" customWidth="1"/>
    <col min="10" max="12" width="8.453125" bestFit="1" customWidth="1"/>
    <col min="13" max="15" width="8.1796875" bestFit="1" customWidth="1"/>
    <col min="16" max="18" width="7.6328125" bestFit="1" customWidth="1"/>
    <col min="19" max="21" width="8.26953125" bestFit="1" customWidth="1"/>
    <col min="22" max="24" width="8.90625" bestFit="1" customWidth="1"/>
    <col min="25" max="27" width="9.08984375" bestFit="1" customWidth="1"/>
    <col min="28" max="29" width="8.7265625" bestFit="1" customWidth="1"/>
    <col min="30" max="31" width="8.36328125" bestFit="1" customWidth="1"/>
    <col min="32" max="34" width="8.453125" bestFit="1" customWidth="1"/>
    <col min="35" max="35" width="10.7265625" bestFit="1" customWidth="1"/>
    <col min="36" max="36" width="13.453125" bestFit="1" customWidth="1"/>
    <col min="37" max="42" width="15.90625" bestFit="1" customWidth="1"/>
    <col min="43" max="43" width="13.453125" bestFit="1" customWidth="1"/>
    <col min="44" max="47" width="15.90625" bestFit="1" customWidth="1"/>
    <col min="48" max="48" width="13.453125" bestFit="1" customWidth="1"/>
    <col min="49" max="55" width="15.90625" bestFit="1" customWidth="1"/>
    <col min="56" max="56" width="13.36328125" bestFit="1" customWidth="1"/>
    <col min="57" max="65" width="15.90625" bestFit="1" customWidth="1"/>
    <col min="66" max="66" width="13.36328125" bestFit="1" customWidth="1"/>
    <col min="67" max="74" width="15.90625" bestFit="1" customWidth="1"/>
    <col min="75" max="75" width="13.26953125" bestFit="1" customWidth="1"/>
    <col min="76" max="83" width="15.90625" bestFit="1" customWidth="1"/>
    <col min="84" max="84" width="13.26953125" bestFit="1" customWidth="1"/>
    <col min="85" max="92" width="15.90625" bestFit="1" customWidth="1"/>
    <col min="93" max="93" width="13.26953125" bestFit="1" customWidth="1"/>
    <col min="94" max="97" width="15.90625" bestFit="1" customWidth="1"/>
    <col min="98" max="98" width="13" bestFit="1" customWidth="1"/>
    <col min="99" max="104" width="15.90625" bestFit="1" customWidth="1"/>
    <col min="105" max="105" width="13" bestFit="1" customWidth="1"/>
    <col min="106" max="110" width="15.90625" bestFit="1" customWidth="1"/>
    <col min="111" max="111" width="13" bestFit="1" customWidth="1"/>
    <col min="112" max="123" width="15.90625" bestFit="1" customWidth="1"/>
    <col min="124" max="124" width="12.36328125" bestFit="1" customWidth="1"/>
    <col min="125" max="126" width="15.90625" bestFit="1" customWidth="1"/>
    <col min="127" max="127" width="12.36328125" bestFit="1" customWidth="1"/>
    <col min="128" max="131" width="15.90625" bestFit="1" customWidth="1"/>
    <col min="132" max="132" width="12.36328125" bestFit="1" customWidth="1"/>
    <col min="133" max="139" width="15.90625" bestFit="1" customWidth="1"/>
    <col min="140" max="140" width="13.08984375" bestFit="1" customWidth="1"/>
    <col min="141" max="147" width="15.90625" bestFit="1" customWidth="1"/>
    <col min="148" max="148" width="13.08984375" bestFit="1" customWidth="1"/>
    <col min="149" max="156" width="15.90625" bestFit="1" customWidth="1"/>
    <col min="157" max="157" width="13.08984375" bestFit="1" customWidth="1"/>
    <col min="158" max="162" width="15.90625" bestFit="1" customWidth="1"/>
    <col min="163" max="163" width="13.7265625" bestFit="1" customWidth="1"/>
    <col min="164" max="172" width="15.90625" bestFit="1" customWidth="1"/>
    <col min="173" max="173" width="13.7265625" bestFit="1" customWidth="1"/>
    <col min="174" max="183" width="15.90625" bestFit="1" customWidth="1"/>
    <col min="184" max="184" width="13.7265625" bestFit="1" customWidth="1"/>
    <col min="185" max="194" width="15.90625" bestFit="1" customWidth="1"/>
    <col min="195" max="195" width="13.90625" bestFit="1" customWidth="1"/>
    <col min="196" max="204" width="15.90625" bestFit="1" customWidth="1"/>
    <col min="205" max="205" width="13.90625" bestFit="1" customWidth="1"/>
    <col min="206" max="215" width="15.90625" bestFit="1" customWidth="1"/>
    <col min="216" max="216" width="13.90625" bestFit="1" customWidth="1"/>
    <col min="217" max="220" width="15.90625" bestFit="1" customWidth="1"/>
    <col min="221" max="221" width="13.54296875" bestFit="1" customWidth="1"/>
    <col min="222" max="225" width="15.90625" bestFit="1" customWidth="1"/>
    <col min="226" max="226" width="13.54296875" bestFit="1" customWidth="1"/>
    <col min="227" max="231" width="15.90625" bestFit="1" customWidth="1"/>
    <col min="232" max="232" width="13.1796875" bestFit="1" customWidth="1"/>
    <col min="233" max="240" width="15.90625" bestFit="1" customWidth="1"/>
    <col min="241" max="241" width="13.1796875" bestFit="1" customWidth="1"/>
    <col min="242" max="245" width="15.90625" bestFit="1" customWidth="1"/>
    <col min="246" max="246" width="13.26953125" bestFit="1" customWidth="1"/>
    <col min="247" max="252" width="15.90625" bestFit="1" customWidth="1"/>
    <col min="253" max="253" width="13.26953125" bestFit="1" customWidth="1"/>
    <col min="254" max="260" width="15.90625" bestFit="1" customWidth="1"/>
    <col min="261" max="261" width="13.26953125" bestFit="1" customWidth="1"/>
    <col min="262" max="262" width="10.7265625" bestFit="1" customWidth="1"/>
  </cols>
  <sheetData>
    <row r="3" spans="1:35" x14ac:dyDescent="0.35">
      <c r="A3" s="8" t="s">
        <v>1425</v>
      </c>
      <c r="B3" s="8" t="s">
        <v>1429</v>
      </c>
    </row>
    <row r="4" spans="1:35" x14ac:dyDescent="0.35">
      <c r="A4" s="8" t="s">
        <v>1383</v>
      </c>
      <c r="B4" t="s">
        <v>1390</v>
      </c>
      <c r="C4" t="s">
        <v>1391</v>
      </c>
      <c r="D4" t="s">
        <v>1392</v>
      </c>
      <c r="E4" t="s">
        <v>1393</v>
      </c>
      <c r="F4" t="s">
        <v>1394</v>
      </c>
      <c r="G4" t="s">
        <v>1395</v>
      </c>
      <c r="H4" t="s">
        <v>1396</v>
      </c>
      <c r="I4" t="s">
        <v>1397</v>
      </c>
      <c r="J4" t="s">
        <v>1398</v>
      </c>
      <c r="K4" t="s">
        <v>1399</v>
      </c>
      <c r="L4" t="s">
        <v>1400</v>
      </c>
      <c r="M4" t="s">
        <v>1401</v>
      </c>
      <c r="N4" t="s">
        <v>1402</v>
      </c>
      <c r="O4" t="s">
        <v>1403</v>
      </c>
      <c r="P4" t="s">
        <v>1404</v>
      </c>
      <c r="Q4" t="s">
        <v>1405</v>
      </c>
      <c r="R4" t="s">
        <v>1406</v>
      </c>
      <c r="S4" t="s">
        <v>1407</v>
      </c>
      <c r="T4" t="s">
        <v>1408</v>
      </c>
      <c r="U4" t="s">
        <v>1409</v>
      </c>
      <c r="V4" t="s">
        <v>1410</v>
      </c>
      <c r="W4" t="s">
        <v>1411</v>
      </c>
      <c r="X4" t="s">
        <v>1412</v>
      </c>
      <c r="Y4" t="s">
        <v>1413</v>
      </c>
      <c r="Z4" t="s">
        <v>1414</v>
      </c>
      <c r="AA4" t="s">
        <v>1415</v>
      </c>
      <c r="AB4" t="s">
        <v>1416</v>
      </c>
      <c r="AC4" t="s">
        <v>1417</v>
      </c>
      <c r="AD4" t="s">
        <v>1418</v>
      </c>
      <c r="AE4" t="s">
        <v>1419</v>
      </c>
      <c r="AF4" t="s">
        <v>1420</v>
      </c>
      <c r="AG4" t="s">
        <v>1421</v>
      </c>
      <c r="AH4" t="s">
        <v>1422</v>
      </c>
      <c r="AI4" t="s">
        <v>1384</v>
      </c>
    </row>
    <row r="5" spans="1:35" x14ac:dyDescent="0.35">
      <c r="A5" s="9" t="s">
        <v>75</v>
      </c>
      <c r="B5">
        <v>2</v>
      </c>
      <c r="C5">
        <v>2</v>
      </c>
      <c r="K5">
        <v>2</v>
      </c>
      <c r="M5">
        <v>1</v>
      </c>
      <c r="N5">
        <v>1</v>
      </c>
      <c r="Q5">
        <v>1</v>
      </c>
      <c r="T5">
        <v>1</v>
      </c>
      <c r="Y5">
        <v>1</v>
      </c>
      <c r="AA5">
        <v>3</v>
      </c>
      <c r="AD5">
        <v>1</v>
      </c>
      <c r="AE5">
        <v>1</v>
      </c>
      <c r="AF5">
        <v>1</v>
      </c>
      <c r="AI5">
        <v>17</v>
      </c>
    </row>
    <row r="6" spans="1:35" x14ac:dyDescent="0.35">
      <c r="A6" s="9" t="s">
        <v>56</v>
      </c>
      <c r="C6">
        <v>1</v>
      </c>
      <c r="F6">
        <v>1</v>
      </c>
      <c r="G6">
        <v>1</v>
      </c>
      <c r="I6">
        <v>1</v>
      </c>
      <c r="K6">
        <v>1</v>
      </c>
      <c r="L6">
        <v>2</v>
      </c>
      <c r="M6">
        <v>2</v>
      </c>
      <c r="N6">
        <v>1</v>
      </c>
      <c r="P6">
        <v>3</v>
      </c>
      <c r="T6">
        <v>1</v>
      </c>
      <c r="W6">
        <v>1</v>
      </c>
      <c r="X6">
        <v>1</v>
      </c>
      <c r="Y6">
        <v>1</v>
      </c>
      <c r="AF6">
        <v>1</v>
      </c>
      <c r="AI6">
        <v>18</v>
      </c>
    </row>
    <row r="7" spans="1:35" x14ac:dyDescent="0.35">
      <c r="A7" s="9" t="s">
        <v>21</v>
      </c>
      <c r="F7">
        <v>1</v>
      </c>
      <c r="N7">
        <v>1</v>
      </c>
      <c r="P7">
        <v>1</v>
      </c>
      <c r="T7">
        <v>1</v>
      </c>
      <c r="V7">
        <v>2</v>
      </c>
      <c r="W7">
        <v>1</v>
      </c>
      <c r="Y7">
        <v>1</v>
      </c>
      <c r="Z7">
        <v>2</v>
      </c>
      <c r="AD7">
        <v>2</v>
      </c>
      <c r="AH7">
        <v>2</v>
      </c>
      <c r="AI7">
        <v>14</v>
      </c>
    </row>
    <row r="8" spans="1:35" x14ac:dyDescent="0.35">
      <c r="A8" s="9" t="s">
        <v>145</v>
      </c>
      <c r="D8">
        <v>1</v>
      </c>
      <c r="E8">
        <v>1</v>
      </c>
      <c r="F8">
        <v>1</v>
      </c>
      <c r="H8">
        <v>1</v>
      </c>
      <c r="J8">
        <v>1</v>
      </c>
      <c r="K8">
        <v>1</v>
      </c>
      <c r="L8">
        <v>1</v>
      </c>
      <c r="R8">
        <v>1</v>
      </c>
      <c r="X8">
        <v>1</v>
      </c>
      <c r="AC8">
        <v>1</v>
      </c>
      <c r="AH8">
        <v>1</v>
      </c>
      <c r="AI8">
        <v>11</v>
      </c>
    </row>
    <row r="9" spans="1:35" x14ac:dyDescent="0.35">
      <c r="A9" s="9" t="s">
        <v>63</v>
      </c>
      <c r="B9">
        <v>2</v>
      </c>
      <c r="C9">
        <v>1</v>
      </c>
      <c r="D9">
        <v>1</v>
      </c>
      <c r="G9">
        <v>1</v>
      </c>
      <c r="H9">
        <v>1</v>
      </c>
      <c r="I9">
        <v>1</v>
      </c>
      <c r="N9">
        <v>1</v>
      </c>
      <c r="O9">
        <v>1</v>
      </c>
      <c r="P9">
        <v>1</v>
      </c>
      <c r="S9">
        <v>1</v>
      </c>
      <c r="X9">
        <v>1</v>
      </c>
      <c r="Y9">
        <v>1</v>
      </c>
      <c r="Z9">
        <v>1</v>
      </c>
      <c r="AB9">
        <v>1</v>
      </c>
      <c r="AI9">
        <v>15</v>
      </c>
    </row>
    <row r="10" spans="1:35" x14ac:dyDescent="0.35">
      <c r="A10" s="9" t="s">
        <v>84</v>
      </c>
      <c r="D10">
        <v>1</v>
      </c>
      <c r="I10">
        <v>1</v>
      </c>
      <c r="J10">
        <v>1</v>
      </c>
      <c r="K10">
        <v>1</v>
      </c>
      <c r="L10">
        <v>1</v>
      </c>
      <c r="O10">
        <v>1</v>
      </c>
      <c r="P10">
        <v>1</v>
      </c>
      <c r="S10">
        <v>2</v>
      </c>
      <c r="W10">
        <v>1</v>
      </c>
      <c r="Y10">
        <v>1</v>
      </c>
      <c r="Z10">
        <v>1</v>
      </c>
      <c r="AA10">
        <v>2</v>
      </c>
      <c r="AD10">
        <v>1</v>
      </c>
      <c r="AE10">
        <v>2</v>
      </c>
      <c r="AI10">
        <v>17</v>
      </c>
    </row>
    <row r="11" spans="1:35" x14ac:dyDescent="0.35">
      <c r="A11" s="9" t="s">
        <v>41</v>
      </c>
      <c r="B11">
        <v>1</v>
      </c>
      <c r="D11">
        <v>1</v>
      </c>
      <c r="I11">
        <v>1</v>
      </c>
      <c r="N11">
        <v>1</v>
      </c>
      <c r="P11">
        <v>1</v>
      </c>
      <c r="U11">
        <v>1</v>
      </c>
      <c r="V11">
        <v>1</v>
      </c>
      <c r="X11">
        <v>2</v>
      </c>
      <c r="Y11">
        <v>1</v>
      </c>
      <c r="AI11">
        <v>10</v>
      </c>
    </row>
    <row r="12" spans="1:35" x14ac:dyDescent="0.35">
      <c r="A12" s="9" t="s">
        <v>92</v>
      </c>
      <c r="B12">
        <v>1</v>
      </c>
      <c r="D12">
        <v>1</v>
      </c>
      <c r="K12">
        <v>1</v>
      </c>
      <c r="L12">
        <v>1</v>
      </c>
      <c r="O12">
        <v>2</v>
      </c>
      <c r="R12">
        <v>1</v>
      </c>
      <c r="U12">
        <v>2</v>
      </c>
      <c r="X12">
        <v>2</v>
      </c>
      <c r="Y12">
        <v>1</v>
      </c>
      <c r="Z12">
        <v>1</v>
      </c>
      <c r="AA12">
        <v>2</v>
      </c>
      <c r="AB12">
        <v>2</v>
      </c>
      <c r="AE12">
        <v>1</v>
      </c>
      <c r="AI12">
        <v>18</v>
      </c>
    </row>
    <row r="13" spans="1:35" x14ac:dyDescent="0.35">
      <c r="A13" s="9" t="s">
        <v>34</v>
      </c>
      <c r="B13">
        <v>1</v>
      </c>
      <c r="D13">
        <v>2</v>
      </c>
      <c r="E13">
        <v>1</v>
      </c>
      <c r="F13">
        <v>1</v>
      </c>
      <c r="G13">
        <v>1</v>
      </c>
      <c r="J13">
        <v>1</v>
      </c>
      <c r="K13">
        <v>1</v>
      </c>
      <c r="P13">
        <v>2</v>
      </c>
      <c r="Q13">
        <v>1</v>
      </c>
      <c r="R13">
        <v>1</v>
      </c>
      <c r="S13">
        <v>1</v>
      </c>
      <c r="W13">
        <v>2</v>
      </c>
      <c r="AC13">
        <v>2</v>
      </c>
      <c r="AI13">
        <v>17</v>
      </c>
    </row>
    <row r="14" spans="1:35" x14ac:dyDescent="0.35">
      <c r="A14" s="9" t="s">
        <v>29</v>
      </c>
      <c r="B14">
        <v>1</v>
      </c>
      <c r="F14">
        <v>1</v>
      </c>
      <c r="I14">
        <v>2</v>
      </c>
      <c r="N14">
        <v>1</v>
      </c>
      <c r="O14">
        <v>1</v>
      </c>
      <c r="T14">
        <v>1</v>
      </c>
      <c r="U14">
        <v>1</v>
      </c>
      <c r="V14">
        <v>1</v>
      </c>
      <c r="X14">
        <v>2</v>
      </c>
      <c r="Y14">
        <v>1</v>
      </c>
      <c r="AE14">
        <v>1</v>
      </c>
      <c r="AF14">
        <v>2</v>
      </c>
      <c r="AI14">
        <v>15</v>
      </c>
    </row>
    <row r="15" spans="1:35" x14ac:dyDescent="0.35">
      <c r="A15" s="9" t="s">
        <v>95</v>
      </c>
      <c r="C15">
        <v>1</v>
      </c>
      <c r="I15">
        <v>1</v>
      </c>
      <c r="J15">
        <v>2</v>
      </c>
      <c r="S15">
        <v>2</v>
      </c>
      <c r="W15">
        <v>2</v>
      </c>
      <c r="Y15">
        <v>1</v>
      </c>
      <c r="Z15">
        <v>1</v>
      </c>
      <c r="AG15">
        <v>3</v>
      </c>
      <c r="AI15">
        <v>13</v>
      </c>
    </row>
    <row r="16" spans="1:35" x14ac:dyDescent="0.35">
      <c r="A16" s="9" t="s">
        <v>49</v>
      </c>
      <c r="E16">
        <v>1</v>
      </c>
      <c r="H16">
        <v>3</v>
      </c>
      <c r="J16">
        <v>1</v>
      </c>
      <c r="K16">
        <v>1</v>
      </c>
      <c r="L16">
        <v>2</v>
      </c>
      <c r="T16">
        <v>1</v>
      </c>
      <c r="V16">
        <v>1</v>
      </c>
      <c r="X16">
        <v>1</v>
      </c>
      <c r="AA16">
        <v>1</v>
      </c>
      <c r="AB16">
        <v>1</v>
      </c>
      <c r="AG16">
        <v>1</v>
      </c>
      <c r="AH16">
        <v>2</v>
      </c>
      <c r="AI16">
        <v>16</v>
      </c>
    </row>
    <row r="17" spans="1:35" x14ac:dyDescent="0.35">
      <c r="A17" s="9" t="s">
        <v>110</v>
      </c>
      <c r="D17">
        <v>1</v>
      </c>
      <c r="G17">
        <v>1</v>
      </c>
      <c r="H17">
        <v>1</v>
      </c>
      <c r="I17">
        <v>2</v>
      </c>
      <c r="J17">
        <v>1</v>
      </c>
      <c r="P17">
        <v>2</v>
      </c>
      <c r="R17">
        <v>1</v>
      </c>
      <c r="S17">
        <v>1</v>
      </c>
      <c r="T17">
        <v>2</v>
      </c>
      <c r="U17">
        <v>2</v>
      </c>
      <c r="W17">
        <v>1</v>
      </c>
      <c r="Y17">
        <v>1</v>
      </c>
      <c r="Z17">
        <v>1</v>
      </c>
      <c r="AA17">
        <v>1</v>
      </c>
      <c r="AE17">
        <v>1</v>
      </c>
      <c r="AI17">
        <v>19</v>
      </c>
    </row>
    <row r="18" spans="1:35" x14ac:dyDescent="0.35">
      <c r="A18" s="9" t="s">
        <v>126</v>
      </c>
      <c r="C18">
        <v>1</v>
      </c>
      <c r="E18">
        <v>3</v>
      </c>
      <c r="J18">
        <v>1</v>
      </c>
      <c r="M18">
        <v>1</v>
      </c>
      <c r="U18">
        <v>1</v>
      </c>
      <c r="Z18">
        <v>1</v>
      </c>
      <c r="AG18">
        <v>1</v>
      </c>
      <c r="AH18">
        <v>1</v>
      </c>
      <c r="AI18">
        <v>10</v>
      </c>
    </row>
    <row r="19" spans="1:35" x14ac:dyDescent="0.35">
      <c r="A19" s="9" t="s">
        <v>68</v>
      </c>
      <c r="B19">
        <v>1</v>
      </c>
      <c r="E19">
        <v>1</v>
      </c>
      <c r="H19">
        <v>1</v>
      </c>
      <c r="L19">
        <v>1</v>
      </c>
      <c r="M19">
        <v>1</v>
      </c>
      <c r="U19">
        <v>1</v>
      </c>
      <c r="W19">
        <v>1</v>
      </c>
      <c r="Z19">
        <v>1</v>
      </c>
      <c r="AA19">
        <v>1</v>
      </c>
      <c r="AC19">
        <v>1</v>
      </c>
      <c r="AD19">
        <v>1</v>
      </c>
      <c r="AE19">
        <v>2</v>
      </c>
      <c r="AG19">
        <v>1</v>
      </c>
      <c r="AH19">
        <v>1</v>
      </c>
      <c r="AI19">
        <v>15</v>
      </c>
    </row>
    <row r="20" spans="1:35" x14ac:dyDescent="0.35">
      <c r="A20" s="9" t="s">
        <v>1385</v>
      </c>
      <c r="E20">
        <v>1</v>
      </c>
      <c r="F20">
        <v>1</v>
      </c>
      <c r="P20">
        <v>1</v>
      </c>
      <c r="AI20">
        <v>3</v>
      </c>
    </row>
    <row r="21" spans="1:35" x14ac:dyDescent="0.35">
      <c r="A21" s="9" t="s">
        <v>1384</v>
      </c>
      <c r="B21">
        <v>9</v>
      </c>
      <c r="C21">
        <v>6</v>
      </c>
      <c r="D21">
        <v>8</v>
      </c>
      <c r="E21">
        <v>8</v>
      </c>
      <c r="F21">
        <v>6</v>
      </c>
      <c r="G21">
        <v>4</v>
      </c>
      <c r="H21">
        <v>7</v>
      </c>
      <c r="I21">
        <v>9</v>
      </c>
      <c r="J21">
        <v>8</v>
      </c>
      <c r="K21">
        <v>8</v>
      </c>
      <c r="L21">
        <v>8</v>
      </c>
      <c r="M21">
        <v>5</v>
      </c>
      <c r="N21">
        <v>6</v>
      </c>
      <c r="O21">
        <v>5</v>
      </c>
      <c r="P21">
        <v>12</v>
      </c>
      <c r="Q21">
        <v>2</v>
      </c>
      <c r="R21">
        <v>4</v>
      </c>
      <c r="S21">
        <v>7</v>
      </c>
      <c r="T21">
        <v>7</v>
      </c>
      <c r="U21">
        <v>8</v>
      </c>
      <c r="V21">
        <v>5</v>
      </c>
      <c r="W21">
        <v>9</v>
      </c>
      <c r="X21">
        <v>10</v>
      </c>
      <c r="Y21">
        <v>10</v>
      </c>
      <c r="Z21">
        <v>9</v>
      </c>
      <c r="AA21">
        <v>10</v>
      </c>
      <c r="AB21">
        <v>4</v>
      </c>
      <c r="AC21">
        <v>4</v>
      </c>
      <c r="AD21">
        <v>5</v>
      </c>
      <c r="AE21">
        <v>8</v>
      </c>
      <c r="AF21">
        <v>4</v>
      </c>
      <c r="AG21">
        <v>6</v>
      </c>
      <c r="AH21">
        <v>7</v>
      </c>
      <c r="AI21">
        <v>228</v>
      </c>
    </row>
  </sheetData>
  <conditionalFormatting pivot="1" sqref="B5">
    <cfRule type="top10" priority="2" bottom="1" rank="3"/>
  </conditionalFormatting>
  <conditionalFormatting pivot="1" sqref="B5:AH20">
    <cfRule type="top10" priority="1" bottom="1" rank="2"/>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97E8F-85DD-4BBC-9B71-8218E58E9322}">
  <sheetPr>
    <tabColor rgb="FF00B0F0"/>
  </sheetPr>
  <dimension ref="A3:H9"/>
  <sheetViews>
    <sheetView workbookViewId="0">
      <selection activeCell="A3" sqref="A3"/>
    </sheetView>
  </sheetViews>
  <sheetFormatPr defaultRowHeight="14.5" x14ac:dyDescent="0.35"/>
  <cols>
    <col min="1" max="1" width="19.1796875" bestFit="1" customWidth="1"/>
    <col min="2" max="2" width="15.26953125" bestFit="1" customWidth="1"/>
    <col min="3" max="3" width="10" bestFit="1" customWidth="1"/>
    <col min="4" max="4" width="11.36328125" bestFit="1" customWidth="1"/>
    <col min="5" max="6" width="6.81640625" bestFit="1" customWidth="1"/>
    <col min="7" max="7" width="6.7265625" bestFit="1" customWidth="1"/>
    <col min="8" max="8" width="10.7265625" bestFit="1" customWidth="1"/>
  </cols>
  <sheetData>
    <row r="3" spans="1:8" x14ac:dyDescent="0.35">
      <c r="A3" s="8" t="s">
        <v>1423</v>
      </c>
      <c r="B3" s="8" t="s">
        <v>1429</v>
      </c>
    </row>
    <row r="4" spans="1:8" x14ac:dyDescent="0.35">
      <c r="A4" s="8" t="s">
        <v>1383</v>
      </c>
      <c r="B4" t="s">
        <v>98</v>
      </c>
      <c r="C4" t="s">
        <v>55</v>
      </c>
      <c r="D4" t="s">
        <v>40</v>
      </c>
      <c r="E4" t="s">
        <v>28</v>
      </c>
      <c r="F4" t="s">
        <v>20</v>
      </c>
      <c r="G4" t="s">
        <v>1385</v>
      </c>
      <c r="H4" t="s">
        <v>1384</v>
      </c>
    </row>
    <row r="5" spans="1:8" x14ac:dyDescent="0.35">
      <c r="A5" s="9" t="s">
        <v>16</v>
      </c>
      <c r="B5" s="7">
        <v>0.16515738271386735</v>
      </c>
      <c r="C5" s="7">
        <v>0.27280731454485957</v>
      </c>
      <c r="D5" s="7">
        <v>0.23773140180930183</v>
      </c>
      <c r="E5" s="7">
        <v>0.15362109686613348</v>
      </c>
      <c r="F5" s="7">
        <v>0.12810683158346325</v>
      </c>
      <c r="G5" s="7">
        <v>4.2575972482374595E-2</v>
      </c>
      <c r="H5" s="7">
        <v>1</v>
      </c>
    </row>
    <row r="6" spans="1:8" x14ac:dyDescent="0.35">
      <c r="A6" s="9" t="s">
        <v>52</v>
      </c>
      <c r="B6" s="7">
        <v>0.18054254146228133</v>
      </c>
      <c r="C6" s="7">
        <v>0.22641537083820079</v>
      </c>
      <c r="D6" s="7">
        <v>9.0289781304742106E-2</v>
      </c>
      <c r="E6" s="7">
        <v>0.37292797248666942</v>
      </c>
      <c r="F6" s="7">
        <v>0.12982433390810641</v>
      </c>
      <c r="G6" s="7">
        <v>0</v>
      </c>
      <c r="H6" s="7">
        <v>1</v>
      </c>
    </row>
    <row r="7" spans="1:8" x14ac:dyDescent="0.35">
      <c r="A7" s="9" t="s">
        <v>45</v>
      </c>
      <c r="B7" s="7">
        <v>0.19883564439976262</v>
      </c>
      <c r="C7" s="7">
        <v>0.26456581277389946</v>
      </c>
      <c r="D7" s="7">
        <v>0.22398088148997317</v>
      </c>
      <c r="E7" s="7">
        <v>0.10029568318445423</v>
      </c>
      <c r="F7" s="7">
        <v>0.21232197815191056</v>
      </c>
      <c r="G7" s="7">
        <v>0</v>
      </c>
      <c r="H7" s="7">
        <v>1</v>
      </c>
    </row>
    <row r="8" spans="1:8" x14ac:dyDescent="0.35">
      <c r="A8" s="9" t="s">
        <v>78</v>
      </c>
      <c r="B8" s="7">
        <v>0.32893157219414582</v>
      </c>
      <c r="C8" s="7">
        <v>0.11010871883999453</v>
      </c>
      <c r="D8" s="7">
        <v>0.21002011128097126</v>
      </c>
      <c r="E8" s="7">
        <v>0.21317979539341098</v>
      </c>
      <c r="F8" s="7">
        <v>0.13311385221417166</v>
      </c>
      <c r="G8" s="7">
        <v>4.6459500773059006E-3</v>
      </c>
      <c r="H8" s="7">
        <v>1</v>
      </c>
    </row>
    <row r="9" spans="1:8" x14ac:dyDescent="0.35">
      <c r="A9" s="9" t="s">
        <v>1384</v>
      </c>
      <c r="B9" s="7">
        <v>0.22171152901243074</v>
      </c>
      <c r="C9" s="7">
        <v>0.21188815668470826</v>
      </c>
      <c r="D9" s="7">
        <v>0.18025483987429969</v>
      </c>
      <c r="E9" s="7">
        <v>0.22891401504362777</v>
      </c>
      <c r="F9" s="7">
        <v>0.14737726562638107</v>
      </c>
      <c r="G9" s="7">
        <v>9.8541937585525877E-3</v>
      </c>
      <c r="H9" s="7">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F207C-08AD-4256-853A-D2241ED9B56E}">
  <sheetPr>
    <tabColor rgb="FF00B0F0"/>
  </sheetPr>
  <dimension ref="A3:B93"/>
  <sheetViews>
    <sheetView workbookViewId="0">
      <selection activeCell="A3" sqref="A3"/>
    </sheetView>
  </sheetViews>
  <sheetFormatPr defaultRowHeight="14.5" x14ac:dyDescent="0.35"/>
  <cols>
    <col min="1" max="1" width="16.1796875" bestFit="1" customWidth="1"/>
    <col min="2" max="2" width="19.26953125" bestFit="1" customWidth="1"/>
  </cols>
  <sheetData>
    <row r="3" spans="1:2" x14ac:dyDescent="0.35">
      <c r="A3" s="8" t="s">
        <v>148</v>
      </c>
      <c r="B3" t="s">
        <v>1430</v>
      </c>
    </row>
    <row r="4" spans="1:2" x14ac:dyDescent="0.35">
      <c r="A4" s="9" t="s">
        <v>73</v>
      </c>
      <c r="B4" s="7">
        <v>1</v>
      </c>
    </row>
    <row r="5" spans="1:2" x14ac:dyDescent="0.35">
      <c r="A5" s="10" t="s">
        <v>81</v>
      </c>
      <c r="B5" s="7">
        <v>1</v>
      </c>
    </row>
    <row r="6" spans="1:2" x14ac:dyDescent="0.35">
      <c r="A6" s="10" t="s">
        <v>22</v>
      </c>
      <c r="B6" s="7">
        <v>1</v>
      </c>
    </row>
    <row r="7" spans="1:2" x14ac:dyDescent="0.35">
      <c r="A7" s="10" t="s">
        <v>57</v>
      </c>
      <c r="B7" s="7">
        <v>1</v>
      </c>
    </row>
    <row r="8" spans="1:2" x14ac:dyDescent="0.35">
      <c r="A8" s="10" t="s">
        <v>64</v>
      </c>
      <c r="B8" s="7">
        <v>1</v>
      </c>
    </row>
    <row r="9" spans="1:2" x14ac:dyDescent="0.35">
      <c r="A9" s="10" t="s">
        <v>35</v>
      </c>
      <c r="B9" s="7">
        <v>1</v>
      </c>
    </row>
    <row r="10" spans="1:2" x14ac:dyDescent="0.35">
      <c r="A10" s="10" t="s">
        <v>42</v>
      </c>
      <c r="B10" s="7">
        <v>1</v>
      </c>
    </row>
    <row r="11" spans="1:2" x14ac:dyDescent="0.35">
      <c r="A11" s="10" t="s">
        <v>30</v>
      </c>
      <c r="B11" s="7">
        <v>1</v>
      </c>
    </row>
    <row r="12" spans="1:2" x14ac:dyDescent="0.35">
      <c r="A12" s="9" t="s">
        <v>53</v>
      </c>
      <c r="B12" s="7">
        <v>0.78474114441416898</v>
      </c>
    </row>
    <row r="13" spans="1:2" x14ac:dyDescent="0.35">
      <c r="A13" s="10" t="s">
        <v>81</v>
      </c>
      <c r="B13" s="7">
        <v>1.5555555555555556</v>
      </c>
    </row>
    <row r="14" spans="1:2" x14ac:dyDescent="0.35">
      <c r="A14" s="10" t="s">
        <v>22</v>
      </c>
      <c r="B14" s="7">
        <v>0.38775510204081631</v>
      </c>
    </row>
    <row r="15" spans="1:2" x14ac:dyDescent="0.35">
      <c r="A15" s="10" t="s">
        <v>57</v>
      </c>
      <c r="B15" s="7">
        <v>0.61702127659574468</v>
      </c>
    </row>
    <row r="16" spans="1:2" x14ac:dyDescent="0.35">
      <c r="A16" s="10" t="s">
        <v>64</v>
      </c>
      <c r="B16" s="7">
        <v>0.90322580645161288</v>
      </c>
    </row>
    <row r="17" spans="1:2" x14ac:dyDescent="0.35">
      <c r="A17" s="10" t="s">
        <v>42</v>
      </c>
      <c r="B17" s="7">
        <v>2.0370370370370372</v>
      </c>
    </row>
    <row r="18" spans="1:2" x14ac:dyDescent="0.35">
      <c r="A18" s="10" t="s">
        <v>30</v>
      </c>
      <c r="B18" s="7">
        <v>1.0925925925925926</v>
      </c>
    </row>
    <row r="19" spans="1:2" x14ac:dyDescent="0.35">
      <c r="A19" s="9" t="s">
        <v>116</v>
      </c>
      <c r="B19" s="7">
        <v>1.1008174386920981</v>
      </c>
    </row>
    <row r="20" spans="1:2" x14ac:dyDescent="0.35">
      <c r="A20" s="10" t="s">
        <v>81</v>
      </c>
      <c r="B20" s="7">
        <v>0</v>
      </c>
    </row>
    <row r="21" spans="1:2" x14ac:dyDescent="0.35">
      <c r="A21" s="10" t="s">
        <v>22</v>
      </c>
      <c r="B21" s="7">
        <v>2.0408163265306123</v>
      </c>
    </row>
    <row r="22" spans="1:2" x14ac:dyDescent="0.35">
      <c r="A22" s="10" t="s">
        <v>57</v>
      </c>
      <c r="B22" s="7">
        <v>0.63829787234042556</v>
      </c>
    </row>
    <row r="23" spans="1:2" x14ac:dyDescent="0.35">
      <c r="A23" s="10" t="s">
        <v>64</v>
      </c>
      <c r="B23" s="7">
        <v>0.90322580645161288</v>
      </c>
    </row>
    <row r="24" spans="1:2" x14ac:dyDescent="0.35">
      <c r="A24" s="10" t="s">
        <v>35</v>
      </c>
      <c r="B24" s="7">
        <v>0.72289156626506024</v>
      </c>
    </row>
    <row r="25" spans="1:2" x14ac:dyDescent="0.35">
      <c r="A25" s="10" t="s">
        <v>42</v>
      </c>
      <c r="B25" s="7">
        <v>1.1481481481481481</v>
      </c>
    </row>
    <row r="26" spans="1:2" x14ac:dyDescent="0.35">
      <c r="A26" s="10" t="s">
        <v>30</v>
      </c>
      <c r="B26" s="7">
        <v>2.3518518518518516</v>
      </c>
    </row>
    <row r="27" spans="1:2" x14ac:dyDescent="0.35">
      <c r="A27" s="9" t="s">
        <v>90</v>
      </c>
      <c r="B27" s="7">
        <v>0.95640326975476841</v>
      </c>
    </row>
    <row r="28" spans="1:2" x14ac:dyDescent="0.35">
      <c r="A28" s="10" t="s">
        <v>81</v>
      </c>
      <c r="B28" s="7">
        <v>0.2</v>
      </c>
    </row>
    <row r="29" spans="1:2" x14ac:dyDescent="0.35">
      <c r="A29" s="10" t="s">
        <v>22</v>
      </c>
      <c r="B29" s="7">
        <v>0.7142857142857143</v>
      </c>
    </row>
    <row r="30" spans="1:2" x14ac:dyDescent="0.35">
      <c r="A30" s="10" t="s">
        <v>57</v>
      </c>
      <c r="B30" s="7">
        <v>0.1702127659574468</v>
      </c>
    </row>
    <row r="31" spans="1:2" x14ac:dyDescent="0.35">
      <c r="A31" s="10" t="s">
        <v>64</v>
      </c>
      <c r="B31" s="7">
        <v>1.6451612903225807</v>
      </c>
    </row>
    <row r="32" spans="1:2" x14ac:dyDescent="0.35">
      <c r="A32" s="10" t="s">
        <v>35</v>
      </c>
      <c r="B32" s="7">
        <v>0.61445783132530118</v>
      </c>
    </row>
    <row r="33" spans="1:2" x14ac:dyDescent="0.35">
      <c r="A33" s="10" t="s">
        <v>42</v>
      </c>
      <c r="B33" s="7">
        <v>2.1481481481481484</v>
      </c>
    </row>
    <row r="34" spans="1:2" x14ac:dyDescent="0.35">
      <c r="A34" s="10" t="s">
        <v>30</v>
      </c>
      <c r="B34" s="7">
        <v>1.6296296296296295</v>
      </c>
    </row>
    <row r="35" spans="1:2" x14ac:dyDescent="0.35">
      <c r="A35" s="9" t="s">
        <v>79</v>
      </c>
      <c r="B35" s="7">
        <v>0.73841961852861038</v>
      </c>
    </row>
    <row r="36" spans="1:2" x14ac:dyDescent="0.35">
      <c r="A36" s="10" t="s">
        <v>81</v>
      </c>
      <c r="B36" s="7">
        <v>0.33333333333333331</v>
      </c>
    </row>
    <row r="37" spans="1:2" x14ac:dyDescent="0.35">
      <c r="A37" s="10" t="s">
        <v>22</v>
      </c>
      <c r="B37" s="7">
        <v>1.7346938775510203</v>
      </c>
    </row>
    <row r="38" spans="1:2" x14ac:dyDescent="0.35">
      <c r="A38" s="10" t="s">
        <v>64</v>
      </c>
      <c r="B38" s="7">
        <v>1.2741935483870968</v>
      </c>
    </row>
    <row r="39" spans="1:2" x14ac:dyDescent="0.35">
      <c r="A39" s="10" t="s">
        <v>35</v>
      </c>
      <c r="B39" s="7">
        <v>2.4096385542168676E-2</v>
      </c>
    </row>
    <row r="40" spans="1:2" x14ac:dyDescent="0.35">
      <c r="A40" s="10" t="s">
        <v>42</v>
      </c>
      <c r="B40" s="7">
        <v>0.77777777777777779</v>
      </c>
    </row>
    <row r="41" spans="1:2" x14ac:dyDescent="0.35">
      <c r="A41" s="10" t="s">
        <v>30</v>
      </c>
      <c r="B41" s="7">
        <v>1.2777777777777777</v>
      </c>
    </row>
    <row r="42" spans="1:2" x14ac:dyDescent="0.35">
      <c r="A42" s="9" t="s">
        <v>60</v>
      </c>
      <c r="B42" s="7">
        <v>1.1961852861035422</v>
      </c>
    </row>
    <row r="43" spans="1:2" x14ac:dyDescent="0.35">
      <c r="A43" s="10" t="s">
        <v>81</v>
      </c>
      <c r="B43" s="7">
        <v>0.75555555555555554</v>
      </c>
    </row>
    <row r="44" spans="1:2" x14ac:dyDescent="0.35">
      <c r="A44" s="10" t="s">
        <v>22</v>
      </c>
      <c r="B44" s="7">
        <v>1.7755102040816326</v>
      </c>
    </row>
    <row r="45" spans="1:2" x14ac:dyDescent="0.35">
      <c r="A45" s="10" t="s">
        <v>57</v>
      </c>
      <c r="B45" s="7">
        <v>0.95744680851063835</v>
      </c>
    </row>
    <row r="46" spans="1:2" x14ac:dyDescent="0.35">
      <c r="A46" s="10" t="s">
        <v>64</v>
      </c>
      <c r="B46" s="7">
        <v>1.6935483870967742</v>
      </c>
    </row>
    <row r="47" spans="1:2" x14ac:dyDescent="0.35">
      <c r="A47" s="10" t="s">
        <v>35</v>
      </c>
      <c r="B47" s="7">
        <v>0.13253012048192772</v>
      </c>
    </row>
    <row r="48" spans="1:2" x14ac:dyDescent="0.35">
      <c r="A48" s="10" t="s">
        <v>42</v>
      </c>
      <c r="B48" s="7">
        <v>2.9629629629629628</v>
      </c>
    </row>
    <row r="49" spans="1:2" x14ac:dyDescent="0.35">
      <c r="A49" s="10" t="s">
        <v>30</v>
      </c>
      <c r="B49" s="7">
        <v>1.4259259259259258</v>
      </c>
    </row>
    <row r="50" spans="1:2" x14ac:dyDescent="0.35">
      <c r="A50" s="9" t="s">
        <v>46</v>
      </c>
      <c r="B50" s="7">
        <v>0.56403269754768393</v>
      </c>
    </row>
    <row r="51" spans="1:2" x14ac:dyDescent="0.35">
      <c r="A51" s="10" t="s">
        <v>81</v>
      </c>
      <c r="B51" s="7">
        <v>0.93333333333333335</v>
      </c>
    </row>
    <row r="52" spans="1:2" x14ac:dyDescent="0.35">
      <c r="A52" s="10" t="s">
        <v>22</v>
      </c>
      <c r="B52" s="7">
        <v>0.51020408163265307</v>
      </c>
    </row>
    <row r="53" spans="1:2" x14ac:dyDescent="0.35">
      <c r="A53" s="10" t="s">
        <v>64</v>
      </c>
      <c r="B53" s="7">
        <v>0.29032258064516131</v>
      </c>
    </row>
    <row r="54" spans="1:2" x14ac:dyDescent="0.35">
      <c r="A54" s="10" t="s">
        <v>35</v>
      </c>
      <c r="B54" s="7">
        <v>0.54216867469879515</v>
      </c>
    </row>
    <row r="55" spans="1:2" x14ac:dyDescent="0.35">
      <c r="A55" s="10" t="s">
        <v>42</v>
      </c>
      <c r="B55" s="7">
        <v>1.3333333333333333</v>
      </c>
    </row>
    <row r="56" spans="1:2" x14ac:dyDescent="0.35">
      <c r="A56" s="10" t="s">
        <v>30</v>
      </c>
      <c r="B56" s="7">
        <v>0.7592592592592593</v>
      </c>
    </row>
    <row r="57" spans="1:2" x14ac:dyDescent="0.35">
      <c r="A57" s="9" t="s">
        <v>17</v>
      </c>
      <c r="B57" s="7">
        <v>0.77929155313351495</v>
      </c>
    </row>
    <row r="58" spans="1:2" x14ac:dyDescent="0.35">
      <c r="A58" s="10" t="s">
        <v>81</v>
      </c>
      <c r="B58" s="7">
        <v>1.4888888888888889</v>
      </c>
    </row>
    <row r="59" spans="1:2" x14ac:dyDescent="0.35">
      <c r="A59" s="10" t="s">
        <v>22</v>
      </c>
      <c r="B59" s="7">
        <v>0.77551020408163263</v>
      </c>
    </row>
    <row r="60" spans="1:2" x14ac:dyDescent="0.35">
      <c r="A60" s="10" t="s">
        <v>57</v>
      </c>
      <c r="B60" s="7">
        <v>0.14893617021276595</v>
      </c>
    </row>
    <row r="61" spans="1:2" x14ac:dyDescent="0.35">
      <c r="A61" s="10" t="s">
        <v>35</v>
      </c>
      <c r="B61" s="7">
        <v>0.53012048192771088</v>
      </c>
    </row>
    <row r="62" spans="1:2" x14ac:dyDescent="0.35">
      <c r="A62" s="10" t="s">
        <v>42</v>
      </c>
      <c r="B62" s="7">
        <v>3.7777777777777777</v>
      </c>
    </row>
    <row r="63" spans="1:2" x14ac:dyDescent="0.35">
      <c r="A63" s="10" t="s">
        <v>30</v>
      </c>
      <c r="B63" s="7">
        <v>0.51851851851851849</v>
      </c>
    </row>
    <row r="64" spans="1:2" x14ac:dyDescent="0.35">
      <c r="A64" s="9" t="s">
        <v>25</v>
      </c>
      <c r="B64" s="7">
        <v>0.48501362397820164</v>
      </c>
    </row>
    <row r="65" spans="1:2" x14ac:dyDescent="0.35">
      <c r="A65" s="10" t="s">
        <v>81</v>
      </c>
      <c r="B65" s="7">
        <v>1.3555555555555556</v>
      </c>
    </row>
    <row r="66" spans="1:2" x14ac:dyDescent="0.35">
      <c r="A66" s="10" t="s">
        <v>64</v>
      </c>
      <c r="B66" s="7">
        <v>0.5161290322580645</v>
      </c>
    </row>
    <row r="67" spans="1:2" x14ac:dyDescent="0.35">
      <c r="A67" s="10" t="s">
        <v>35</v>
      </c>
      <c r="B67" s="7">
        <v>0.30120481927710846</v>
      </c>
    </row>
    <row r="68" spans="1:2" x14ac:dyDescent="0.35">
      <c r="A68" s="10" t="s">
        <v>42</v>
      </c>
      <c r="B68" s="7">
        <v>0.88888888888888884</v>
      </c>
    </row>
    <row r="69" spans="1:2" x14ac:dyDescent="0.35">
      <c r="A69" s="10" t="s">
        <v>30</v>
      </c>
      <c r="B69" s="7">
        <v>0.66666666666666663</v>
      </c>
    </row>
    <row r="70" spans="1:2" x14ac:dyDescent="0.35">
      <c r="A70" s="9" t="s">
        <v>148</v>
      </c>
      <c r="B70" s="7">
        <v>0.81198910081743869</v>
      </c>
    </row>
    <row r="71" spans="1:2" x14ac:dyDescent="0.35">
      <c r="A71" s="10" t="s">
        <v>81</v>
      </c>
      <c r="B71" s="7">
        <v>0.62222222222222223</v>
      </c>
    </row>
    <row r="72" spans="1:2" x14ac:dyDescent="0.35">
      <c r="A72" s="10" t="s">
        <v>22</v>
      </c>
      <c r="B72" s="7">
        <v>1.2040816326530612</v>
      </c>
    </row>
    <row r="73" spans="1:2" x14ac:dyDescent="0.35">
      <c r="A73" s="10" t="s">
        <v>57</v>
      </c>
      <c r="B73" s="7">
        <v>1.9148936170212767</v>
      </c>
    </row>
    <row r="74" spans="1:2" x14ac:dyDescent="0.35">
      <c r="A74" s="10" t="s">
        <v>64</v>
      </c>
      <c r="B74" s="7">
        <v>0.90322580645161288</v>
      </c>
    </row>
    <row r="75" spans="1:2" x14ac:dyDescent="0.35">
      <c r="A75" s="10" t="s">
        <v>35</v>
      </c>
      <c r="B75" s="7">
        <v>0.62650602409638556</v>
      </c>
    </row>
    <row r="76" spans="1:2" x14ac:dyDescent="0.35">
      <c r="A76" s="10" t="s">
        <v>42</v>
      </c>
      <c r="B76" s="7">
        <v>7.407407407407407E-2</v>
      </c>
    </row>
    <row r="77" spans="1:2" x14ac:dyDescent="0.35">
      <c r="A77" s="10" t="s">
        <v>30</v>
      </c>
      <c r="B77" s="7">
        <v>0.20370370370370369</v>
      </c>
    </row>
    <row r="78" spans="1:2" x14ac:dyDescent="0.35">
      <c r="A78" s="9" t="s">
        <v>108</v>
      </c>
      <c r="B78" s="7">
        <v>0.72752043596730243</v>
      </c>
    </row>
    <row r="79" spans="1:2" x14ac:dyDescent="0.35">
      <c r="A79" s="10" t="s">
        <v>81</v>
      </c>
      <c r="B79" s="7">
        <v>2.0222222222222221</v>
      </c>
    </row>
    <row r="80" spans="1:2" x14ac:dyDescent="0.35">
      <c r="A80" s="10" t="s">
        <v>22</v>
      </c>
      <c r="B80" s="7">
        <v>0.5714285714285714</v>
      </c>
    </row>
    <row r="81" spans="1:2" x14ac:dyDescent="0.35">
      <c r="A81" s="10" t="s">
        <v>57</v>
      </c>
      <c r="B81" s="7">
        <v>0.25531914893617019</v>
      </c>
    </row>
    <row r="82" spans="1:2" x14ac:dyDescent="0.35">
      <c r="A82" s="10" t="s">
        <v>64</v>
      </c>
      <c r="B82" s="7">
        <v>0.33870967741935482</v>
      </c>
    </row>
    <row r="83" spans="1:2" x14ac:dyDescent="0.35">
      <c r="A83" s="10" t="s">
        <v>35</v>
      </c>
      <c r="B83" s="7">
        <v>0.42168674698795183</v>
      </c>
    </row>
    <row r="84" spans="1:2" x14ac:dyDescent="0.35">
      <c r="A84" s="10" t="s">
        <v>42</v>
      </c>
      <c r="B84" s="7">
        <v>0.77777777777777779</v>
      </c>
    </row>
    <row r="85" spans="1:2" x14ac:dyDescent="0.35">
      <c r="A85" s="10" t="s">
        <v>30</v>
      </c>
      <c r="B85" s="7">
        <v>1.0925925925925926</v>
      </c>
    </row>
    <row r="86" spans="1:2" x14ac:dyDescent="0.35">
      <c r="A86" s="9" t="s">
        <v>122</v>
      </c>
      <c r="B86" s="7">
        <v>0.76839237057220711</v>
      </c>
    </row>
    <row r="87" spans="1:2" x14ac:dyDescent="0.35">
      <c r="A87" s="10" t="s">
        <v>81</v>
      </c>
      <c r="B87" s="7">
        <v>1.2222222222222223</v>
      </c>
    </row>
    <row r="88" spans="1:2" x14ac:dyDescent="0.35">
      <c r="A88" s="10" t="s">
        <v>57</v>
      </c>
      <c r="B88" s="7">
        <v>0.87234042553191493</v>
      </c>
    </row>
    <row r="89" spans="1:2" x14ac:dyDescent="0.35">
      <c r="A89" s="10" t="s">
        <v>64</v>
      </c>
      <c r="B89" s="7">
        <v>0.9838709677419355</v>
      </c>
    </row>
    <row r="90" spans="1:2" x14ac:dyDescent="0.35">
      <c r="A90" s="10" t="s">
        <v>35</v>
      </c>
      <c r="B90" s="7">
        <v>0.62650602409638556</v>
      </c>
    </row>
    <row r="91" spans="1:2" x14ac:dyDescent="0.35">
      <c r="A91" s="10" t="s">
        <v>42</v>
      </c>
      <c r="B91" s="7">
        <v>1.5555555555555556</v>
      </c>
    </row>
    <row r="92" spans="1:2" x14ac:dyDescent="0.35">
      <c r="A92" s="10" t="s">
        <v>30</v>
      </c>
      <c r="B92" s="7">
        <v>0.57407407407407407</v>
      </c>
    </row>
    <row r="93" spans="1:2" x14ac:dyDescent="0.35">
      <c r="A93" s="9" t="s">
        <v>1384</v>
      </c>
      <c r="B93" s="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617A-1E1C-4F79-ADA2-5ADACFEAFFD7}">
  <sheetPr>
    <tabColor rgb="FF00B0F0"/>
  </sheetPr>
  <dimension ref="A3:B69"/>
  <sheetViews>
    <sheetView workbookViewId="0">
      <selection activeCell="A3" sqref="A3"/>
    </sheetView>
  </sheetViews>
  <sheetFormatPr defaultRowHeight="14.5" x14ac:dyDescent="0.35"/>
  <cols>
    <col min="1" max="1" width="13.08984375" bestFit="1" customWidth="1"/>
    <col min="2" max="3" width="27.6328125" bestFit="1" customWidth="1"/>
  </cols>
  <sheetData>
    <row r="3" spans="1:2" x14ac:dyDescent="0.35">
      <c r="A3" s="8" t="s">
        <v>1383</v>
      </c>
      <c r="B3" t="s">
        <v>1431</v>
      </c>
    </row>
    <row r="4" spans="1:2" x14ac:dyDescent="0.35">
      <c r="A4" s="9" t="s">
        <v>16</v>
      </c>
      <c r="B4">
        <v>7.984</v>
      </c>
    </row>
    <row r="5" spans="1:2" x14ac:dyDescent="0.35">
      <c r="A5" s="10" t="s">
        <v>75</v>
      </c>
      <c r="B5">
        <v>1.371</v>
      </c>
    </row>
    <row r="6" spans="1:2" x14ac:dyDescent="0.35">
      <c r="A6" s="10" t="s">
        <v>56</v>
      </c>
      <c r="B6">
        <v>0.21299999999999997</v>
      </c>
    </row>
    <row r="7" spans="1:2" x14ac:dyDescent="0.35">
      <c r="A7" s="10" t="s">
        <v>21</v>
      </c>
      <c r="B7">
        <v>0.377</v>
      </c>
    </row>
    <row r="8" spans="1:2" x14ac:dyDescent="0.35">
      <c r="A8" s="10" t="s">
        <v>145</v>
      </c>
      <c r="B8">
        <v>0.441</v>
      </c>
    </row>
    <row r="9" spans="1:2" x14ac:dyDescent="0.35">
      <c r="A9" s="10" t="s">
        <v>63</v>
      </c>
      <c r="B9">
        <v>0.18099999999999999</v>
      </c>
    </row>
    <row r="10" spans="1:2" x14ac:dyDescent="0.35">
      <c r="A10" s="10" t="s">
        <v>84</v>
      </c>
      <c r="B10">
        <v>0.25600000000000001</v>
      </c>
    </row>
    <row r="11" spans="1:2" x14ac:dyDescent="0.35">
      <c r="A11" s="10" t="s">
        <v>41</v>
      </c>
      <c r="B11">
        <v>0.29599999999999999</v>
      </c>
    </row>
    <row r="12" spans="1:2" x14ac:dyDescent="0.35">
      <c r="A12" s="10" t="s">
        <v>92</v>
      </c>
      <c r="B12">
        <v>0.39700000000000002</v>
      </c>
    </row>
    <row r="13" spans="1:2" x14ac:dyDescent="0.35">
      <c r="A13" s="10" t="s">
        <v>34</v>
      </c>
      <c r="B13">
        <v>0.57700000000000007</v>
      </c>
    </row>
    <row r="14" spans="1:2" x14ac:dyDescent="0.35">
      <c r="A14" s="10" t="s">
        <v>29</v>
      </c>
      <c r="B14">
        <v>1.0629999999999999</v>
      </c>
    </row>
    <row r="15" spans="1:2" x14ac:dyDescent="0.35">
      <c r="A15" s="10" t="s">
        <v>95</v>
      </c>
      <c r="B15">
        <v>0.36699999999999999</v>
      </c>
    </row>
    <row r="16" spans="1:2" x14ac:dyDescent="0.35">
      <c r="A16" s="10" t="s">
        <v>49</v>
      </c>
      <c r="B16">
        <v>0.36299999999999999</v>
      </c>
    </row>
    <row r="17" spans="1:2" x14ac:dyDescent="0.35">
      <c r="A17" s="10" t="s">
        <v>110</v>
      </c>
      <c r="B17">
        <v>1.2000000000000002</v>
      </c>
    </row>
    <row r="18" spans="1:2" x14ac:dyDescent="0.35">
      <c r="A18" s="10" t="s">
        <v>126</v>
      </c>
      <c r="B18">
        <v>9.2999999999999999E-2</v>
      </c>
    </row>
    <row r="19" spans="1:2" x14ac:dyDescent="0.35">
      <c r="A19" s="10" t="s">
        <v>68</v>
      </c>
      <c r="B19">
        <v>0.49000000000000005</v>
      </c>
    </row>
    <row r="20" spans="1:2" x14ac:dyDescent="0.35">
      <c r="A20" s="10" t="s">
        <v>1385</v>
      </c>
      <c r="B20">
        <v>0.29899999999999999</v>
      </c>
    </row>
    <row r="21" spans="1:2" x14ac:dyDescent="0.35">
      <c r="A21" s="9" t="s">
        <v>52</v>
      </c>
      <c r="B21">
        <v>8.6120000000000001</v>
      </c>
    </row>
    <row r="22" spans="1:2" x14ac:dyDescent="0.35">
      <c r="A22" s="10" t="s">
        <v>75</v>
      </c>
      <c r="B22">
        <v>0.93599999999999994</v>
      </c>
    </row>
    <row r="23" spans="1:2" x14ac:dyDescent="0.35">
      <c r="A23" s="10" t="s">
        <v>56</v>
      </c>
      <c r="B23">
        <v>0.35</v>
      </c>
    </row>
    <row r="24" spans="1:2" x14ac:dyDescent="0.35">
      <c r="A24" s="10" t="s">
        <v>21</v>
      </c>
      <c r="B24">
        <v>0.80600000000000005</v>
      </c>
    </row>
    <row r="25" spans="1:2" x14ac:dyDescent="0.35">
      <c r="A25" s="10" t="s">
        <v>145</v>
      </c>
      <c r="B25">
        <v>0.85899999999999999</v>
      </c>
    </row>
    <row r="26" spans="1:2" x14ac:dyDescent="0.35">
      <c r="A26" s="10" t="s">
        <v>63</v>
      </c>
      <c r="B26">
        <v>9.6000000000000002E-2</v>
      </c>
    </row>
    <row r="27" spans="1:2" x14ac:dyDescent="0.35">
      <c r="A27" s="10" t="s">
        <v>84</v>
      </c>
      <c r="B27">
        <v>0.63300000000000001</v>
      </c>
    </row>
    <row r="28" spans="1:2" x14ac:dyDescent="0.35">
      <c r="A28" s="10" t="s">
        <v>41</v>
      </c>
      <c r="B28">
        <v>0.40699999999999997</v>
      </c>
    </row>
    <row r="29" spans="1:2" x14ac:dyDescent="0.35">
      <c r="A29" s="10" t="s">
        <v>92</v>
      </c>
      <c r="B29">
        <v>0.442</v>
      </c>
    </row>
    <row r="30" spans="1:2" x14ac:dyDescent="0.35">
      <c r="A30" s="10" t="s">
        <v>34</v>
      </c>
      <c r="B30">
        <v>0.84199999999999997</v>
      </c>
    </row>
    <row r="31" spans="1:2" x14ac:dyDescent="0.35">
      <c r="A31" s="10" t="s">
        <v>29</v>
      </c>
      <c r="B31">
        <v>0.2</v>
      </c>
    </row>
    <row r="32" spans="1:2" x14ac:dyDescent="0.35">
      <c r="A32" s="10" t="s">
        <v>95</v>
      </c>
      <c r="B32">
        <v>0.60699999999999998</v>
      </c>
    </row>
    <row r="33" spans="1:2" x14ac:dyDescent="0.35">
      <c r="A33" s="10" t="s">
        <v>49</v>
      </c>
      <c r="B33">
        <v>0.91300000000000003</v>
      </c>
    </row>
    <row r="34" spans="1:2" x14ac:dyDescent="0.35">
      <c r="A34" s="10" t="s">
        <v>110</v>
      </c>
      <c r="B34">
        <v>0.43099999999999994</v>
      </c>
    </row>
    <row r="35" spans="1:2" x14ac:dyDescent="0.35">
      <c r="A35" s="10" t="s">
        <v>126</v>
      </c>
      <c r="B35">
        <v>0.161</v>
      </c>
    </row>
    <row r="36" spans="1:2" x14ac:dyDescent="0.35">
      <c r="A36" s="10" t="s">
        <v>68</v>
      </c>
      <c r="B36">
        <v>0.57899999999999996</v>
      </c>
    </row>
    <row r="37" spans="1:2" x14ac:dyDescent="0.35">
      <c r="A37" s="10" t="s">
        <v>1385</v>
      </c>
      <c r="B37">
        <v>0.35</v>
      </c>
    </row>
    <row r="38" spans="1:2" x14ac:dyDescent="0.35">
      <c r="A38" s="9" t="s">
        <v>45</v>
      </c>
      <c r="B38">
        <v>8.89</v>
      </c>
    </row>
    <row r="39" spans="1:2" x14ac:dyDescent="0.35">
      <c r="A39" s="10" t="s">
        <v>75</v>
      </c>
      <c r="B39">
        <v>0.21900000000000003</v>
      </c>
    </row>
    <row r="40" spans="1:2" x14ac:dyDescent="0.35">
      <c r="A40" s="10" t="s">
        <v>56</v>
      </c>
      <c r="B40">
        <v>0.80900000000000005</v>
      </c>
    </row>
    <row r="41" spans="1:2" x14ac:dyDescent="0.35">
      <c r="A41" s="10" t="s">
        <v>21</v>
      </c>
      <c r="B41">
        <v>1.1910000000000001</v>
      </c>
    </row>
    <row r="42" spans="1:2" x14ac:dyDescent="0.35">
      <c r="A42" s="10" t="s">
        <v>145</v>
      </c>
      <c r="B42">
        <v>0.217</v>
      </c>
    </row>
    <row r="43" spans="1:2" x14ac:dyDescent="0.35">
      <c r="A43" s="10" t="s">
        <v>63</v>
      </c>
      <c r="B43">
        <v>0.45499999999999996</v>
      </c>
    </row>
    <row r="44" spans="1:2" x14ac:dyDescent="0.35">
      <c r="A44" s="10" t="s">
        <v>84</v>
      </c>
      <c r="B44">
        <v>0.88500000000000001</v>
      </c>
    </row>
    <row r="45" spans="1:2" x14ac:dyDescent="0.35">
      <c r="A45" s="10" t="s">
        <v>41</v>
      </c>
      <c r="B45">
        <v>8.6999999999999994E-2</v>
      </c>
    </row>
    <row r="46" spans="1:2" x14ac:dyDescent="0.35">
      <c r="A46" s="10" t="s">
        <v>92</v>
      </c>
      <c r="B46">
        <v>0.93</v>
      </c>
    </row>
    <row r="47" spans="1:2" x14ac:dyDescent="0.35">
      <c r="A47" s="10" t="s">
        <v>34</v>
      </c>
      <c r="B47">
        <v>0.38200000000000001</v>
      </c>
    </row>
    <row r="48" spans="1:2" x14ac:dyDescent="0.35">
      <c r="A48" s="10" t="s">
        <v>29</v>
      </c>
      <c r="B48">
        <v>0.40300000000000002</v>
      </c>
    </row>
    <row r="49" spans="1:2" x14ac:dyDescent="0.35">
      <c r="A49" s="10" t="s">
        <v>95</v>
      </c>
      <c r="B49">
        <v>0.42600000000000005</v>
      </c>
    </row>
    <row r="50" spans="1:2" x14ac:dyDescent="0.35">
      <c r="A50" s="10" t="s">
        <v>49</v>
      </c>
      <c r="B50">
        <v>1.3029999999999999</v>
      </c>
    </row>
    <row r="51" spans="1:2" x14ac:dyDescent="0.35">
      <c r="A51" s="10" t="s">
        <v>110</v>
      </c>
      <c r="B51">
        <v>0.39900000000000002</v>
      </c>
    </row>
    <row r="52" spans="1:2" x14ac:dyDescent="0.35">
      <c r="A52" s="10" t="s">
        <v>126</v>
      </c>
      <c r="B52">
        <v>0.13600000000000001</v>
      </c>
    </row>
    <row r="53" spans="1:2" x14ac:dyDescent="0.35">
      <c r="A53" s="10" t="s">
        <v>68</v>
      </c>
      <c r="B53">
        <v>1.0479999999999998</v>
      </c>
    </row>
    <row r="54" spans="1:2" x14ac:dyDescent="0.35">
      <c r="A54" s="9" t="s">
        <v>78</v>
      </c>
      <c r="B54">
        <v>6.7090000000000005</v>
      </c>
    </row>
    <row r="55" spans="1:2" x14ac:dyDescent="0.35">
      <c r="A55" s="10" t="s">
        <v>75</v>
      </c>
      <c r="B55">
        <v>0.371</v>
      </c>
    </row>
    <row r="56" spans="1:2" x14ac:dyDescent="0.35">
      <c r="A56" s="10" t="s">
        <v>56</v>
      </c>
      <c r="B56">
        <v>0.60699999999999998</v>
      </c>
    </row>
    <row r="57" spans="1:2" x14ac:dyDescent="0.35">
      <c r="A57" s="10" t="s">
        <v>21</v>
      </c>
      <c r="B57">
        <v>0.222</v>
      </c>
    </row>
    <row r="58" spans="1:2" x14ac:dyDescent="0.35">
      <c r="A58" s="10" t="s">
        <v>145</v>
      </c>
      <c r="B58">
        <v>9.1999999999999998E-2</v>
      </c>
    </row>
    <row r="59" spans="1:2" x14ac:dyDescent="0.35">
      <c r="A59" s="10" t="s">
        <v>63</v>
      </c>
      <c r="B59">
        <v>1.1260000000000001</v>
      </c>
    </row>
    <row r="60" spans="1:2" x14ac:dyDescent="0.35">
      <c r="A60" s="10" t="s">
        <v>41</v>
      </c>
      <c r="B60">
        <v>0.26700000000000002</v>
      </c>
    </row>
    <row r="61" spans="1:2" x14ac:dyDescent="0.35">
      <c r="A61" s="10" t="s">
        <v>92</v>
      </c>
      <c r="B61">
        <v>0.61599999999999999</v>
      </c>
    </row>
    <row r="62" spans="1:2" x14ac:dyDescent="0.35">
      <c r="A62" s="10" t="s">
        <v>34</v>
      </c>
      <c r="B62">
        <v>0.53900000000000003</v>
      </c>
    </row>
    <row r="63" spans="1:2" x14ac:dyDescent="0.35">
      <c r="A63" s="10" t="s">
        <v>29</v>
      </c>
      <c r="B63">
        <v>0.27800000000000002</v>
      </c>
    </row>
    <row r="64" spans="1:2" x14ac:dyDescent="0.35">
      <c r="A64" s="10" t="s">
        <v>95</v>
      </c>
      <c r="B64">
        <v>0.73599999999999999</v>
      </c>
    </row>
    <row r="65" spans="1:2" x14ac:dyDescent="0.35">
      <c r="A65" s="10" t="s">
        <v>49</v>
      </c>
      <c r="B65">
        <v>0.36899999999999999</v>
      </c>
    </row>
    <row r="66" spans="1:2" x14ac:dyDescent="0.35">
      <c r="A66" s="10" t="s">
        <v>110</v>
      </c>
      <c r="B66">
        <v>0.47899999999999998</v>
      </c>
    </row>
    <row r="67" spans="1:2" x14ac:dyDescent="0.35">
      <c r="A67" s="10" t="s">
        <v>126</v>
      </c>
      <c r="B67">
        <v>0.94799999999999995</v>
      </c>
    </row>
    <row r="68" spans="1:2" x14ac:dyDescent="0.35">
      <c r="A68" s="10" t="s">
        <v>68</v>
      </c>
      <c r="B68">
        <v>5.8999999999999997E-2</v>
      </c>
    </row>
    <row r="69" spans="1:2" x14ac:dyDescent="0.35">
      <c r="A69" s="9" t="s">
        <v>1384</v>
      </c>
      <c r="B69">
        <v>32.194999999999993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20975-A03E-43EE-8BE0-27120D4CA447}">
  <sheetPr>
    <tabColor rgb="FF00B0F0"/>
  </sheetPr>
  <dimension ref="A2:J31"/>
  <sheetViews>
    <sheetView tabSelected="1" topLeftCell="B28" zoomScale="59" zoomScaleNormal="100" workbookViewId="0">
      <selection activeCell="K55" sqref="K55"/>
    </sheetView>
  </sheetViews>
  <sheetFormatPr defaultRowHeight="14.5" x14ac:dyDescent="0.35"/>
  <cols>
    <col min="1" max="1" width="14.26953125" bestFit="1" customWidth="1"/>
    <col min="2" max="2" width="19.6328125" bestFit="1" customWidth="1"/>
    <col min="5" max="5" width="18" bestFit="1" customWidth="1"/>
    <col min="6" max="6" width="19.6328125" bestFit="1" customWidth="1"/>
    <col min="9" max="9" width="14.26953125" bestFit="1" customWidth="1"/>
    <col min="10" max="10" width="19.6328125" bestFit="1" customWidth="1"/>
    <col min="11" max="11" width="16" bestFit="1" customWidth="1"/>
  </cols>
  <sheetData>
    <row r="2" spans="1:10" x14ac:dyDescent="0.35">
      <c r="A2" s="17" t="s">
        <v>1433</v>
      </c>
      <c r="E2" s="17" t="s">
        <v>1434</v>
      </c>
      <c r="I2" s="17" t="s">
        <v>1435</v>
      </c>
    </row>
    <row r="3" spans="1:10" x14ac:dyDescent="0.35">
      <c r="A3" s="8" t="s">
        <v>1383</v>
      </c>
      <c r="B3" t="s">
        <v>1423</v>
      </c>
      <c r="E3" s="8" t="s">
        <v>1383</v>
      </c>
      <c r="F3" t="s">
        <v>1423</v>
      </c>
      <c r="I3" s="8" t="s">
        <v>1383</v>
      </c>
      <c r="J3" t="s">
        <v>1423</v>
      </c>
    </row>
    <row r="4" spans="1:10" x14ac:dyDescent="0.35">
      <c r="A4" s="9" t="s">
        <v>1390</v>
      </c>
      <c r="B4" s="5">
        <v>125221.19722999999</v>
      </c>
      <c r="E4" s="9" t="s">
        <v>78</v>
      </c>
      <c r="F4" s="5">
        <v>1040034.08982</v>
      </c>
      <c r="I4" s="9" t="s">
        <v>81</v>
      </c>
      <c r="J4" s="5">
        <v>89145.056540000005</v>
      </c>
    </row>
    <row r="5" spans="1:10" x14ac:dyDescent="0.35">
      <c r="A5" s="9" t="s">
        <v>1391</v>
      </c>
      <c r="B5" s="5">
        <v>16219.34496</v>
      </c>
      <c r="E5" s="10" t="s">
        <v>90</v>
      </c>
      <c r="F5" s="5">
        <v>280907.51348999998</v>
      </c>
      <c r="I5" s="9" t="s">
        <v>22</v>
      </c>
      <c r="J5" s="5">
        <v>215245.14081000001</v>
      </c>
    </row>
    <row r="6" spans="1:10" x14ac:dyDescent="0.35">
      <c r="A6" s="9" t="s">
        <v>1392</v>
      </c>
      <c r="B6" s="5">
        <v>31032.03772</v>
      </c>
      <c r="E6" s="10" t="s">
        <v>79</v>
      </c>
      <c r="F6" s="5">
        <v>455700.42245999997</v>
      </c>
      <c r="I6" s="9" t="s">
        <v>57</v>
      </c>
      <c r="J6" s="5">
        <v>81885.518920000002</v>
      </c>
    </row>
    <row r="7" spans="1:10" x14ac:dyDescent="0.35">
      <c r="A7" s="9" t="s">
        <v>1393</v>
      </c>
      <c r="B7" s="5">
        <v>23253.813959999999</v>
      </c>
      <c r="E7" s="10" t="s">
        <v>108</v>
      </c>
      <c r="F7" s="5">
        <v>303426.15387000004</v>
      </c>
      <c r="I7" s="9" t="s">
        <v>64</v>
      </c>
      <c r="J7" s="5">
        <v>233045.73270000002</v>
      </c>
    </row>
    <row r="8" spans="1:10" x14ac:dyDescent="0.35">
      <c r="A8" s="9" t="s">
        <v>1394</v>
      </c>
      <c r="B8" s="5">
        <v>64794.325410000005</v>
      </c>
      <c r="E8" s="9" t="s">
        <v>1384</v>
      </c>
      <c r="F8" s="5">
        <v>1040034.08982</v>
      </c>
      <c r="I8" s="9" t="s">
        <v>35</v>
      </c>
      <c r="J8" s="5">
        <v>115377.62392</v>
      </c>
    </row>
    <row r="9" spans="1:10" x14ac:dyDescent="0.35">
      <c r="A9" s="9" t="s">
        <v>1395</v>
      </c>
      <c r="B9" s="5">
        <v>853.32276999999988</v>
      </c>
      <c r="I9" s="9" t="s">
        <v>42</v>
      </c>
      <c r="J9" s="5">
        <v>62175.421800000004</v>
      </c>
    </row>
    <row r="10" spans="1:10" x14ac:dyDescent="0.35">
      <c r="A10" s="9" t="s">
        <v>1396</v>
      </c>
      <c r="B10" s="5">
        <v>44609.264280000003</v>
      </c>
      <c r="I10" s="9" t="s">
        <v>30</v>
      </c>
      <c r="J10" s="5">
        <v>243159.59512999997</v>
      </c>
    </row>
    <row r="11" spans="1:10" x14ac:dyDescent="0.35">
      <c r="A11" s="9" t="s">
        <v>1397</v>
      </c>
      <c r="B11" s="5">
        <v>26696.637839999996</v>
      </c>
      <c r="I11" s="9" t="s">
        <v>1384</v>
      </c>
      <c r="J11" s="5">
        <v>1040034.0898200001</v>
      </c>
    </row>
    <row r="12" spans="1:10" x14ac:dyDescent="0.35">
      <c r="A12" s="9" t="s">
        <v>1398</v>
      </c>
      <c r="B12" s="5">
        <v>125184.51486</v>
      </c>
    </row>
    <row r="13" spans="1:10" x14ac:dyDescent="0.35">
      <c r="A13" s="9" t="s">
        <v>1399</v>
      </c>
      <c r="B13" s="5">
        <v>7525.7376100000001</v>
      </c>
    </row>
    <row r="14" spans="1:10" x14ac:dyDescent="0.35">
      <c r="A14" s="9" t="s">
        <v>1400</v>
      </c>
      <c r="B14" s="5">
        <v>35936.441640000005</v>
      </c>
      <c r="I14" s="18" t="s">
        <v>1436</v>
      </c>
    </row>
    <row r="15" spans="1:10" x14ac:dyDescent="0.35">
      <c r="A15" s="9" t="s">
        <v>1401</v>
      </c>
      <c r="B15" s="5">
        <v>8336.8896000000004</v>
      </c>
      <c r="I15" s="8" t="s">
        <v>1383</v>
      </c>
      <c r="J15" t="s">
        <v>1423</v>
      </c>
    </row>
    <row r="16" spans="1:10" x14ac:dyDescent="0.35">
      <c r="A16" s="9" t="s">
        <v>1402</v>
      </c>
      <c r="B16" s="5">
        <v>25515.430039999999</v>
      </c>
      <c r="I16" s="9" t="s">
        <v>75</v>
      </c>
      <c r="J16" s="5">
        <v>41245.628180000007</v>
      </c>
    </row>
    <row r="17" spans="1:10" x14ac:dyDescent="0.35">
      <c r="A17" s="9" t="s">
        <v>1403</v>
      </c>
      <c r="B17" s="5">
        <v>16164.089459999999</v>
      </c>
      <c r="I17" s="9" t="s">
        <v>56</v>
      </c>
      <c r="J17" s="5">
        <v>54150.062290000002</v>
      </c>
    </row>
    <row r="18" spans="1:10" x14ac:dyDescent="0.35">
      <c r="A18" s="9" t="s">
        <v>1404</v>
      </c>
      <c r="B18" s="5">
        <v>52945.155879999998</v>
      </c>
      <c r="I18" s="9" t="s">
        <v>21</v>
      </c>
      <c r="J18" s="5">
        <v>5159.7893599999998</v>
      </c>
    </row>
    <row r="19" spans="1:10" x14ac:dyDescent="0.35">
      <c r="A19" s="9" t="s">
        <v>1407</v>
      </c>
      <c r="B19" s="5">
        <v>23173.104240000001</v>
      </c>
      <c r="I19" s="9" t="s">
        <v>145</v>
      </c>
      <c r="J19" s="5">
        <v>66660.583769999997</v>
      </c>
    </row>
    <row r="20" spans="1:10" x14ac:dyDescent="0.35">
      <c r="A20" s="9" t="s">
        <v>1408</v>
      </c>
      <c r="B20" s="5">
        <v>95263.061460000012</v>
      </c>
      <c r="I20" s="9" t="s">
        <v>63</v>
      </c>
      <c r="J20" s="5">
        <v>156738.17905000001</v>
      </c>
    </row>
    <row r="21" spans="1:10" x14ac:dyDescent="0.35">
      <c r="A21" s="9" t="s">
        <v>1409</v>
      </c>
      <c r="B21" s="5">
        <v>33776.6849</v>
      </c>
      <c r="I21" s="9" t="s">
        <v>41</v>
      </c>
      <c r="J21" s="5">
        <v>43287.417860000001</v>
      </c>
    </row>
    <row r="22" spans="1:10" x14ac:dyDescent="0.35">
      <c r="A22" s="9" t="s">
        <v>1410</v>
      </c>
      <c r="B22" s="5">
        <v>16013.681599999998</v>
      </c>
      <c r="I22" s="9" t="s">
        <v>92</v>
      </c>
      <c r="J22" s="5">
        <v>61037.140419999996</v>
      </c>
    </row>
    <row r="23" spans="1:10" x14ac:dyDescent="0.35">
      <c r="A23" s="9" t="s">
        <v>1411</v>
      </c>
      <c r="B23" s="5">
        <v>74710.03499</v>
      </c>
      <c r="I23" s="9" t="s">
        <v>34</v>
      </c>
      <c r="J23" s="5">
        <v>92721.549899999998</v>
      </c>
    </row>
    <row r="24" spans="1:10" x14ac:dyDescent="0.35">
      <c r="A24" s="9" t="s">
        <v>1412</v>
      </c>
      <c r="B24" s="5">
        <v>37314.832459999998</v>
      </c>
      <c r="I24" s="9" t="s">
        <v>29</v>
      </c>
      <c r="J24" s="5">
        <v>79568.008189999993</v>
      </c>
    </row>
    <row r="25" spans="1:10" x14ac:dyDescent="0.35">
      <c r="A25" s="9" t="s">
        <v>1414</v>
      </c>
      <c r="B25" s="5">
        <v>34794.188580000002</v>
      </c>
      <c r="I25" s="9" t="s">
        <v>95</v>
      </c>
      <c r="J25" s="5">
        <v>100085.72267999999</v>
      </c>
    </row>
    <row r="26" spans="1:10" x14ac:dyDescent="0.35">
      <c r="A26" s="9" t="s">
        <v>1415</v>
      </c>
      <c r="B26" s="5">
        <v>49929.932339999999</v>
      </c>
      <c r="I26" s="9" t="s">
        <v>49</v>
      </c>
      <c r="J26" s="5">
        <v>112034.08076</v>
      </c>
    </row>
    <row r="27" spans="1:10" x14ac:dyDescent="0.35">
      <c r="A27" s="9" t="s">
        <v>1416</v>
      </c>
      <c r="B27" s="5">
        <v>28593.438029999998</v>
      </c>
      <c r="I27" s="9" t="s">
        <v>110</v>
      </c>
      <c r="J27" s="5">
        <v>174576.83266000001</v>
      </c>
    </row>
    <row r="28" spans="1:10" x14ac:dyDescent="0.35">
      <c r="A28" s="9" t="s">
        <v>1417</v>
      </c>
      <c r="B28" s="5">
        <v>4877.1379800000004</v>
      </c>
      <c r="I28" s="9" t="s">
        <v>126</v>
      </c>
      <c r="J28" s="5">
        <v>45386.949699999997</v>
      </c>
    </row>
    <row r="29" spans="1:10" x14ac:dyDescent="0.35">
      <c r="A29" s="9" t="s">
        <v>1418</v>
      </c>
      <c r="B29" s="5">
        <v>28535.383420000002</v>
      </c>
      <c r="I29" s="9" t="s">
        <v>68</v>
      </c>
      <c r="J29" s="5">
        <v>7382.1450000000004</v>
      </c>
    </row>
    <row r="30" spans="1:10" x14ac:dyDescent="0.35">
      <c r="A30" s="9" t="s">
        <v>1422</v>
      </c>
      <c r="B30" s="5">
        <v>8764.4065599999994</v>
      </c>
      <c r="I30" s="9" t="s">
        <v>1384</v>
      </c>
      <c r="J30" s="5">
        <v>1040034.0898200001</v>
      </c>
    </row>
    <row r="31" spans="1:10" x14ac:dyDescent="0.35">
      <c r="A31" s="9" t="s">
        <v>1384</v>
      </c>
      <c r="B31" s="5">
        <v>1040034.0898199998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F4C8-3233-4BB7-ACC8-5E80E93BD5CB}">
  <sheetPr>
    <tabColor rgb="FF00B0F0"/>
  </sheetPr>
  <dimension ref="A1:AI229"/>
  <sheetViews>
    <sheetView topLeftCell="W2" zoomScale="49" workbookViewId="0">
      <selection activeCell="AH2" sqref="AH2"/>
    </sheetView>
  </sheetViews>
  <sheetFormatPr defaultRowHeight="14.5" x14ac:dyDescent="0.35"/>
  <cols>
    <col min="1" max="1" width="15.90625" style="4" bestFit="1" customWidth="1"/>
    <col min="2" max="2" width="12" style="2" bestFit="1" customWidth="1"/>
    <col min="3" max="3" width="13.7265625" style="2" bestFit="1" customWidth="1"/>
    <col min="4" max="4" width="14.6328125" style="4" bestFit="1" customWidth="1"/>
    <col min="5" max="5" width="14.6328125" style="2" bestFit="1" customWidth="1"/>
    <col min="7" max="7" width="14.1796875" bestFit="1" customWidth="1"/>
    <col min="8" max="8" width="12.453125" style="4" bestFit="1" customWidth="1"/>
    <col min="9" max="9" width="18.6328125" bestFit="1" customWidth="1"/>
    <col min="10" max="10" width="11.1796875" style="4" bestFit="1" customWidth="1"/>
    <col min="11" max="11" width="13.08984375" style="4" bestFit="1" customWidth="1"/>
    <col min="12" max="12" width="17.26953125" bestFit="1" customWidth="1"/>
    <col min="13" max="13" width="9.81640625" style="4" bestFit="1" customWidth="1"/>
    <col min="14" max="14" width="10.36328125" style="3" bestFit="1" customWidth="1"/>
    <col min="15" max="15" width="10.7265625" style="3" bestFit="1" customWidth="1"/>
    <col min="16" max="16" width="13.08984375" style="3" bestFit="1" customWidth="1"/>
    <col min="17" max="17" width="10.453125" style="3" bestFit="1" customWidth="1"/>
    <col min="18" max="18" width="20" style="3" bestFit="1" customWidth="1"/>
    <col min="19" max="19" width="19.6328125" style="3" bestFit="1" customWidth="1"/>
    <col min="20" max="20" width="23.36328125" style="3" bestFit="1" customWidth="1"/>
    <col min="21" max="21" width="25.7265625" style="3" bestFit="1" customWidth="1"/>
    <col min="22" max="25" width="25.7265625" style="3" customWidth="1"/>
    <col min="26" max="26" width="23.54296875" style="3" bestFit="1" customWidth="1"/>
    <col min="27" max="27" width="15" style="3" bestFit="1" customWidth="1"/>
    <col min="28" max="28" width="23.08984375" style="3" bestFit="1" customWidth="1"/>
    <col min="29" max="29" width="15.1796875" style="3" bestFit="1" customWidth="1"/>
    <col min="30" max="30" width="15" style="5" bestFit="1" customWidth="1"/>
    <col min="31" max="31" width="14.1796875" style="6" bestFit="1" customWidth="1"/>
    <col min="32" max="32" width="19.1796875" style="6" bestFit="1" customWidth="1"/>
    <col min="33" max="33" width="19.1796875" style="6" customWidth="1"/>
    <col min="34" max="34" width="17.90625" style="7" bestFit="1" customWidth="1"/>
    <col min="35" max="35" width="20.7265625" bestFit="1" customWidth="1"/>
  </cols>
  <sheetData>
    <row r="1" spans="1:35" x14ac:dyDescent="0.35">
      <c r="A1" s="4" t="s">
        <v>0</v>
      </c>
      <c r="B1" s="2" t="s">
        <v>1</v>
      </c>
      <c r="C1" s="2" t="s">
        <v>1381</v>
      </c>
      <c r="D1" s="4" t="s">
        <v>1382</v>
      </c>
      <c r="E1" s="2" t="s">
        <v>2</v>
      </c>
      <c r="F1" t="s">
        <v>3</v>
      </c>
      <c r="G1" t="s">
        <v>4</v>
      </c>
      <c r="H1" s="4" t="s">
        <v>5</v>
      </c>
      <c r="I1" t="s">
        <v>6</v>
      </c>
      <c r="J1" s="4" t="s">
        <v>7</v>
      </c>
      <c r="K1" s="4" t="s">
        <v>8</v>
      </c>
      <c r="L1" t="s">
        <v>9</v>
      </c>
      <c r="M1" s="4" t="s">
        <v>10</v>
      </c>
      <c r="N1" s="3" t="s">
        <v>11</v>
      </c>
      <c r="O1" s="3" t="s">
        <v>12</v>
      </c>
      <c r="P1" s="3" t="s">
        <v>13</v>
      </c>
      <c r="Q1" s="3" t="s">
        <v>14</v>
      </c>
      <c r="R1" t="s">
        <v>1364</v>
      </c>
      <c r="S1" t="s">
        <v>1365</v>
      </c>
      <c r="T1" t="s">
        <v>1366</v>
      </c>
      <c r="U1" t="s">
        <v>1367</v>
      </c>
      <c r="V1" t="s">
        <v>1389</v>
      </c>
      <c r="W1" t="s">
        <v>1386</v>
      </c>
      <c r="X1" t="s">
        <v>1387</v>
      </c>
      <c r="Y1" t="s">
        <v>1388</v>
      </c>
      <c r="Z1" t="s">
        <v>1368</v>
      </c>
      <c r="AA1" t="s">
        <v>1369</v>
      </c>
      <c r="AB1" t="s">
        <v>1370</v>
      </c>
      <c r="AC1" t="s">
        <v>1371</v>
      </c>
      <c r="AD1" s="5" t="s">
        <v>1377</v>
      </c>
      <c r="AE1" s="6" t="s">
        <v>1378</v>
      </c>
      <c r="AF1" s="6" t="s">
        <v>1379</v>
      </c>
      <c r="AG1" s="6" t="s">
        <v>1432</v>
      </c>
      <c r="AH1" s="7" t="s">
        <v>1380</v>
      </c>
      <c r="AI1" t="s">
        <v>1424</v>
      </c>
    </row>
    <row r="2" spans="1:35" x14ac:dyDescent="0.35">
      <c r="A2" s="4" t="s">
        <v>15</v>
      </c>
      <c r="B2" s="2">
        <v>45362</v>
      </c>
      <c r="C2" s="2" t="str">
        <f>TEXT(Data3[[#This Row],[OrderDate]],"MMM-YYYY")</f>
        <v>Mar-2024</v>
      </c>
      <c r="D2" s="4" t="str">
        <f>"Q"&amp;INT((MONTH(Data3[[#This Row],[OrderDate]])-1)/3)+1&amp;"-"&amp;YEAR(Data3[[#This Row],[OrderDate]])</f>
        <v>Q1-2024</v>
      </c>
      <c r="E2" s="2">
        <v>45388</v>
      </c>
      <c r="F2" t="s">
        <v>16</v>
      </c>
      <c r="G2" t="s">
        <v>17</v>
      </c>
      <c r="H2" s="4" t="s">
        <v>18</v>
      </c>
      <c r="I2" t="s">
        <v>19</v>
      </c>
      <c r="J2" s="4" t="s">
        <v>20</v>
      </c>
      <c r="K2" s="4" t="s">
        <v>21</v>
      </c>
      <c r="L2" t="s">
        <v>22</v>
      </c>
      <c r="M2" s="4" t="s">
        <v>23</v>
      </c>
      <c r="N2" s="3">
        <v>279.24</v>
      </c>
      <c r="O2" s="3">
        <v>608.9</v>
      </c>
      <c r="P2" s="3">
        <v>0.112</v>
      </c>
      <c r="Q2" s="3">
        <v>9</v>
      </c>
      <c r="R2" t="s">
        <v>21</v>
      </c>
      <c r="S2" t="s">
        <v>18</v>
      </c>
      <c r="T2" t="s">
        <v>20</v>
      </c>
      <c r="U2">
        <v>608.9</v>
      </c>
      <c r="V2" t="str" cm="1">
        <f t="array" ref="V2">_xlfn.IFS(Data3[[#This Row],[CorrectedUnitPriceCustom]]&lt;=$W$2, "Low",Data3[[#This Row],[CorrectedUnitPriceCustom]]&lt;=$Y$2, "Medium", TRUE, "High")</f>
        <v>Low</v>
      </c>
      <c r="W2">
        <f t="shared" ref="W2:W65" si="0">_xlfn.PERCENTILE.INC(U2:U229,0.25)</f>
        <v>624.03499999999997</v>
      </c>
      <c r="X2">
        <f t="shared" ref="X2:X65" si="1">_xlfn.PERCENTILE.INC(U2:U229,0.5)</f>
        <v>1262.1750000000002</v>
      </c>
      <c r="Y2">
        <f t="shared" ref="Y2:Y33" si="2">_xlfn.PERCENTILE.INC(U2:U229,0.75)</f>
        <v>1958.7574999999999</v>
      </c>
      <c r="Z2">
        <v>0.112</v>
      </c>
      <c r="AA2" t="s">
        <v>1372</v>
      </c>
      <c r="AB2" s="1">
        <v>45388</v>
      </c>
      <c r="AC2">
        <v>26</v>
      </c>
      <c r="AD2" s="5">
        <f>Data3[[#This Row],[UnitPrice]]*Data3[[#This Row],[Quantity]]*(1-Data3[[#This Row],[DiscountPct]])</f>
        <v>4866.3287999999993</v>
      </c>
      <c r="AE2" s="6">
        <f>Data3[[#This Row],[UnitPrice]]*Data3[[#This Row],[Quantity]]</f>
        <v>5480.0999999999995</v>
      </c>
      <c r="AF2" s="6">
        <f>Data3[[#This Row],[GrossRevenue]]-(Data3[[#This Row],[Quantity]]*Data3[[#This Row],[UnitCost]])</f>
        <v>2353.1687999999995</v>
      </c>
      <c r="AG2" s="6" t="str">
        <f>TEXT(Data3[[#This Row],[OrderDate]], "mmm-yyyy")</f>
        <v>Mar-2024</v>
      </c>
      <c r="AH2" s="7">
        <f>IF(Data3[[#This Row],[GrossRevenue]]=0, 0,Data3[[#This Row],[GrossProfit]]/Data3[[#This Row],[GrossRevenue]])</f>
        <v>0.48356140670149533</v>
      </c>
      <c r="AI2" s="5">
        <f t="shared" ref="AI2:AI65" si="3">AD2</f>
        <v>4866.3287999999993</v>
      </c>
    </row>
    <row r="3" spans="1:35" x14ac:dyDescent="0.35">
      <c r="A3" s="4" t="s">
        <v>24</v>
      </c>
      <c r="B3" s="2">
        <v>45588</v>
      </c>
      <c r="C3" s="2" t="str">
        <f>TEXT(Data3[[#This Row],[OrderDate]],"MMM-YYYY")</f>
        <v>Oct-2024</v>
      </c>
      <c r="D3" s="4" t="str">
        <f>"Q"&amp;INT((MONTH(Data3[[#This Row],[OrderDate]])-1)/3)+1&amp;"-"&amp;YEAR(Data3[[#This Row],[OrderDate]])</f>
        <v>Q4-2024</v>
      </c>
      <c r="E3" s="2">
        <v>45587</v>
      </c>
      <c r="F3" t="s">
        <v>16</v>
      </c>
      <c r="G3" t="s">
        <v>25</v>
      </c>
      <c r="H3" s="4" t="s">
        <v>26</v>
      </c>
      <c r="I3" t="s">
        <v>27</v>
      </c>
      <c r="J3" s="4" t="s">
        <v>28</v>
      </c>
      <c r="K3" s="4" t="s">
        <v>29</v>
      </c>
      <c r="L3" t="s">
        <v>30</v>
      </c>
      <c r="M3" s="4" t="s">
        <v>31</v>
      </c>
      <c r="N3" s="3">
        <v>1084.3900000000001</v>
      </c>
      <c r="O3" s="3">
        <v>759.33</v>
      </c>
      <c r="P3" s="3">
        <v>0.23699999999999999</v>
      </c>
      <c r="Q3" s="3">
        <v>31</v>
      </c>
      <c r="R3" t="s">
        <v>29</v>
      </c>
      <c r="S3" t="s">
        <v>26</v>
      </c>
      <c r="T3" t="s">
        <v>28</v>
      </c>
      <c r="U3">
        <v>759.33</v>
      </c>
      <c r="V3" t="str" cm="1">
        <f t="array" ref="V3">_xlfn.IFS(Data3[[#This Row],[CorrectedUnitPriceCustom]]&lt;=$W$2, "Low",Data3[[#This Row],[CorrectedUnitPriceCustom]]&lt;=$Y$2, "Medium", TRUE, "High")</f>
        <v>Medium</v>
      </c>
      <c r="W3">
        <f t="shared" si="0"/>
        <v>626.79</v>
      </c>
      <c r="X3">
        <f t="shared" si="1"/>
        <v>1269.4000000000001</v>
      </c>
      <c r="Y3">
        <f t="shared" si="2"/>
        <v>1965.4749999999999</v>
      </c>
      <c r="Z3">
        <v>0.23699999999999999</v>
      </c>
      <c r="AA3" t="s">
        <v>1372</v>
      </c>
      <c r="AB3" s="1">
        <v>45595</v>
      </c>
      <c r="AC3">
        <v>7</v>
      </c>
      <c r="AD3" s="5">
        <f>Data3[[#This Row],[UnitPrice]]*Data3[[#This Row],[Quantity]]*(1-Data3[[#This Row],[DiscountPct]])</f>
        <v>17960.432489999999</v>
      </c>
      <c r="AE3" s="6">
        <f>Data3[[#This Row],[UnitPrice]]*Data3[[#This Row],[Quantity]]</f>
        <v>23539.23</v>
      </c>
      <c r="AF3" s="6">
        <f>Data3[[#This Row],[GrossRevenue]]-(Data3[[#This Row],[Quantity]]*Data3[[#This Row],[UnitCost]])</f>
        <v>-15655.657510000005</v>
      </c>
      <c r="AG3" s="6" t="str">
        <f>TEXT(Data3[[#This Row],[OrderDate]], "mmm-yyyy")</f>
        <v>Oct-2024</v>
      </c>
      <c r="AH3" s="7">
        <f>IF(Data3[[#This Row],[GrossRevenue]]=0, 0,Data3[[#This Row],[GrossProfit]]/Data3[[#This Row],[GrossRevenue]])</f>
        <v>-0.87167486187856302</v>
      </c>
      <c r="AI3" s="5">
        <f t="shared" si="3"/>
        <v>17960.432489999999</v>
      </c>
    </row>
    <row r="4" spans="1:35" x14ac:dyDescent="0.35">
      <c r="A4" s="4" t="s">
        <v>32</v>
      </c>
      <c r="B4" s="2">
        <v>44985</v>
      </c>
      <c r="C4" s="2" t="str">
        <f>TEXT(Data3[[#This Row],[OrderDate]],"MMM-YYYY")</f>
        <v>Feb-2023</v>
      </c>
      <c r="D4" s="4" t="str">
        <f>"Q"&amp;INT((MONTH(Data3[[#This Row],[OrderDate]])-1)/3)+1&amp;"-"&amp;YEAR(Data3[[#This Row],[OrderDate]])</f>
        <v>Q1-2023</v>
      </c>
      <c r="E4" s="2">
        <v>45010</v>
      </c>
      <c r="F4" t="s">
        <v>16</v>
      </c>
      <c r="G4" t="s">
        <v>17</v>
      </c>
      <c r="H4" s="4" t="s">
        <v>33</v>
      </c>
      <c r="I4" t="s">
        <v>19</v>
      </c>
      <c r="J4" s="4" t="s">
        <v>20</v>
      </c>
      <c r="K4" s="4" t="s">
        <v>34</v>
      </c>
      <c r="L4" t="s">
        <v>35</v>
      </c>
      <c r="M4" s="4" t="s">
        <v>36</v>
      </c>
      <c r="N4" s="3">
        <v>1460.76</v>
      </c>
      <c r="O4" s="3">
        <v>-30.66</v>
      </c>
      <c r="P4" s="3">
        <v>0.13100000000000001</v>
      </c>
      <c r="Q4" s="3">
        <v>12</v>
      </c>
      <c r="R4" t="s">
        <v>34</v>
      </c>
      <c r="S4" t="s">
        <v>33</v>
      </c>
      <c r="T4" t="s">
        <v>20</v>
      </c>
      <c r="U4">
        <v>1752.912</v>
      </c>
      <c r="V4" t="str" cm="1">
        <f t="array" ref="V4">_xlfn.IFS(Data3[[#This Row],[CorrectedUnitPriceCustom]]&lt;=$W$2, "Low",Data3[[#This Row],[CorrectedUnitPriceCustom]]&lt;=$Y$2, "Medium", TRUE, "High")</f>
        <v>Medium</v>
      </c>
      <c r="W4">
        <f t="shared" si="0"/>
        <v>625.91499999999996</v>
      </c>
      <c r="X4">
        <f t="shared" si="1"/>
        <v>1277.2449999999999</v>
      </c>
      <c r="Y4">
        <f t="shared" si="2"/>
        <v>1972.1925000000001</v>
      </c>
      <c r="Z4">
        <v>0.13100000000000001</v>
      </c>
      <c r="AA4" t="s">
        <v>1373</v>
      </c>
      <c r="AB4" s="1">
        <v>45010</v>
      </c>
      <c r="AC4">
        <v>25</v>
      </c>
      <c r="AD4" s="5">
        <f>Data3[[#This Row],[UnitPrice]]*Data3[[#This Row],[Quantity]]*(1-Data3[[#This Row],[DiscountPct]])</f>
        <v>-319.72248000000002</v>
      </c>
      <c r="AE4" s="6">
        <f>Data3[[#This Row],[UnitPrice]]*Data3[[#This Row],[Quantity]]</f>
        <v>-367.92</v>
      </c>
      <c r="AF4" s="6">
        <f>Data3[[#This Row],[GrossRevenue]]-(Data3[[#This Row],[Quantity]]*Data3[[#This Row],[UnitCost]])</f>
        <v>-17848.842479999999</v>
      </c>
      <c r="AG4" s="6" t="str">
        <f>TEXT(Data3[[#This Row],[OrderDate]], "mmm-yyyy")</f>
        <v>Feb-2023</v>
      </c>
      <c r="AH4" s="7">
        <f>IF(Data3[[#This Row],[GrossRevenue]]=0, 0,Data3[[#This Row],[GrossProfit]]/Data3[[#This Row],[GrossRevenue]])</f>
        <v>55.826047890032626</v>
      </c>
      <c r="AI4" s="5">
        <f t="shared" si="3"/>
        <v>-319.72248000000002</v>
      </c>
    </row>
    <row r="5" spans="1:35" x14ac:dyDescent="0.35">
      <c r="A5" s="4" t="s">
        <v>37</v>
      </c>
      <c r="B5" s="2">
        <v>45745</v>
      </c>
      <c r="C5" s="2" t="str">
        <f>TEXT(Data3[[#This Row],[OrderDate]],"MMM-YYYY")</f>
        <v>Mar-2025</v>
      </c>
      <c r="D5" s="4" t="str">
        <f>"Q"&amp;INT((MONTH(Data3[[#This Row],[OrderDate]])-1)/3)+1&amp;"-"&amp;YEAR(Data3[[#This Row],[OrderDate]])</f>
        <v>Q1-2025</v>
      </c>
      <c r="E5" s="2">
        <v>45749</v>
      </c>
      <c r="F5" t="s">
        <v>16</v>
      </c>
      <c r="G5" t="s">
        <v>25</v>
      </c>
      <c r="H5" s="4" t="s">
        <v>38</v>
      </c>
      <c r="I5" t="s">
        <v>39</v>
      </c>
      <c r="J5" s="4" t="s">
        <v>40</v>
      </c>
      <c r="K5" s="4" t="s">
        <v>41</v>
      </c>
      <c r="L5" t="s">
        <v>42</v>
      </c>
      <c r="M5" s="4" t="s">
        <v>43</v>
      </c>
      <c r="N5" s="3">
        <v>259.93</v>
      </c>
      <c r="O5" s="3">
        <v>255.94</v>
      </c>
      <c r="P5" s="3">
        <v>7.1999999999999995E-2</v>
      </c>
      <c r="Q5" s="3">
        <v>22</v>
      </c>
      <c r="R5" t="s">
        <v>41</v>
      </c>
      <c r="S5" t="s">
        <v>38</v>
      </c>
      <c r="T5" t="s">
        <v>40</v>
      </c>
      <c r="U5">
        <v>255.94</v>
      </c>
      <c r="V5" t="str" cm="1">
        <f t="array" ref="V5">_xlfn.IFS(Data3[[#This Row],[CorrectedUnitPriceCustom]]&lt;=$W$2, "Low",Data3[[#This Row],[CorrectedUnitPriceCustom]]&lt;=$Y$2, "Medium", TRUE, "High")</f>
        <v>Low</v>
      </c>
      <c r="W5">
        <f t="shared" si="0"/>
        <v>625.04</v>
      </c>
      <c r="X5">
        <f t="shared" si="1"/>
        <v>1269.4000000000001</v>
      </c>
      <c r="Y5">
        <f t="shared" si="2"/>
        <v>1978.91</v>
      </c>
      <c r="Z5">
        <v>7.1999999999999995E-2</v>
      </c>
      <c r="AA5" t="s">
        <v>1372</v>
      </c>
      <c r="AB5" s="1">
        <v>45749</v>
      </c>
      <c r="AC5">
        <v>4</v>
      </c>
      <c r="AD5" s="5">
        <f>Data3[[#This Row],[UnitPrice]]*Data3[[#This Row],[Quantity]]*(1-Data3[[#This Row],[DiscountPct]])</f>
        <v>5225.2710400000005</v>
      </c>
      <c r="AE5" s="6">
        <f>Data3[[#This Row],[UnitPrice]]*Data3[[#This Row],[Quantity]]</f>
        <v>5630.68</v>
      </c>
      <c r="AF5" s="6">
        <f>Data3[[#This Row],[GrossRevenue]]-(Data3[[#This Row],[Quantity]]*Data3[[#This Row],[UnitCost]])</f>
        <v>-493.1889599999995</v>
      </c>
      <c r="AG5" s="6" t="str">
        <f>TEXT(Data3[[#This Row],[OrderDate]], "mmm-yyyy")</f>
        <v>Mar-2025</v>
      </c>
      <c r="AH5" s="7">
        <f>IF(Data3[[#This Row],[GrossRevenue]]=0, 0,Data3[[#This Row],[GrossProfit]]/Data3[[#This Row],[GrossRevenue]])</f>
        <v>-9.4385335463861311E-2</v>
      </c>
      <c r="AI5" s="5">
        <f t="shared" si="3"/>
        <v>5225.2710400000005</v>
      </c>
    </row>
    <row r="6" spans="1:35" x14ac:dyDescent="0.35">
      <c r="A6" s="4" t="s">
        <v>44</v>
      </c>
      <c r="B6" s="2">
        <v>45266</v>
      </c>
      <c r="C6" s="2" t="str">
        <f>TEXT(Data3[[#This Row],[OrderDate]],"MMM-YYYY")</f>
        <v>Dec-2023</v>
      </c>
      <c r="D6" s="4" t="str">
        <f>"Q"&amp;INT((MONTH(Data3[[#This Row],[OrderDate]])-1)/3)+1&amp;"-"&amp;YEAR(Data3[[#This Row],[OrderDate]])</f>
        <v>Q4-2023</v>
      </c>
      <c r="E6" s="2">
        <v>45291</v>
      </c>
      <c r="F6" t="s">
        <v>45</v>
      </c>
      <c r="G6" t="s">
        <v>46</v>
      </c>
      <c r="H6" s="4" t="s">
        <v>47</v>
      </c>
      <c r="I6" t="s">
        <v>48</v>
      </c>
      <c r="J6" s="4" t="s">
        <v>20</v>
      </c>
      <c r="K6" s="4" t="s">
        <v>49</v>
      </c>
      <c r="L6" t="s">
        <v>30</v>
      </c>
      <c r="M6" s="4" t="s">
        <v>50</v>
      </c>
      <c r="N6" s="3">
        <v>663.03</v>
      </c>
      <c r="O6" s="3">
        <v>813.51</v>
      </c>
      <c r="P6" s="3">
        <v>0.10199999999999999</v>
      </c>
      <c r="Q6" s="3">
        <v>15</v>
      </c>
      <c r="R6" t="s">
        <v>49</v>
      </c>
      <c r="S6" t="s">
        <v>47</v>
      </c>
      <c r="T6" t="s">
        <v>20</v>
      </c>
      <c r="U6">
        <v>813.51</v>
      </c>
      <c r="V6" t="str" cm="1">
        <f t="array" ref="V6">_xlfn.IFS(Data3[[#This Row],[CorrectedUnitPriceCustom]]&lt;=$W$2, "Low",Data3[[#This Row],[CorrectedUnitPriceCustom]]&lt;=$Y$2, "Medium", TRUE, "High")</f>
        <v>Medium</v>
      </c>
      <c r="W6">
        <f t="shared" si="0"/>
        <v>627.66499999999996</v>
      </c>
      <c r="X6">
        <f t="shared" si="1"/>
        <v>1277.2449999999999</v>
      </c>
      <c r="Y6">
        <f t="shared" si="2"/>
        <v>1979.7275</v>
      </c>
      <c r="Z6">
        <v>0.10199999999999999</v>
      </c>
      <c r="AA6" t="s">
        <v>1372</v>
      </c>
      <c r="AB6" s="1">
        <v>45291</v>
      </c>
      <c r="AC6">
        <v>25</v>
      </c>
      <c r="AD6" s="5">
        <f>Data3[[#This Row],[UnitPrice]]*Data3[[#This Row],[Quantity]]*(1-Data3[[#This Row],[DiscountPct]])</f>
        <v>10957.9797</v>
      </c>
      <c r="AE6" s="6">
        <f>Data3[[#This Row],[UnitPrice]]*Data3[[#This Row],[Quantity]]</f>
        <v>12202.65</v>
      </c>
      <c r="AF6" s="6">
        <f>Data3[[#This Row],[GrossRevenue]]-(Data3[[#This Row],[Quantity]]*Data3[[#This Row],[UnitCost]])</f>
        <v>1012.529700000001</v>
      </c>
      <c r="AG6" s="6" t="str">
        <f>TEXT(Data3[[#This Row],[OrderDate]], "mmm-yyyy")</f>
        <v>Dec-2023</v>
      </c>
      <c r="AH6" s="7">
        <f>IF(Data3[[#This Row],[GrossRevenue]]=0, 0,Data3[[#This Row],[GrossProfit]]/Data3[[#This Row],[GrossRevenue]])</f>
        <v>9.2401129379715952E-2</v>
      </c>
      <c r="AI6" s="5">
        <f t="shared" si="3"/>
        <v>10957.9797</v>
      </c>
    </row>
    <row r="7" spans="1:35" x14ac:dyDescent="0.35">
      <c r="A7" s="4" t="s">
        <v>51</v>
      </c>
      <c r="B7" s="2">
        <v>44928</v>
      </c>
      <c r="C7" s="2" t="str">
        <f>TEXT(Data3[[#This Row],[OrderDate]],"MMM-YYYY")</f>
        <v>Jan-2023</v>
      </c>
      <c r="D7" s="4" t="str">
        <f>"Q"&amp;INT((MONTH(Data3[[#This Row],[OrderDate]])-1)/3)+1&amp;"-"&amp;YEAR(Data3[[#This Row],[OrderDate]])</f>
        <v>Q1-2023</v>
      </c>
      <c r="E7" s="2">
        <v>44931</v>
      </c>
      <c r="F7" t="s">
        <v>52</v>
      </c>
      <c r="G7" t="s">
        <v>53</v>
      </c>
      <c r="H7" s="4" t="s">
        <v>54</v>
      </c>
      <c r="I7" t="s">
        <v>19</v>
      </c>
      <c r="J7" s="4" t="s">
        <v>55</v>
      </c>
      <c r="K7" s="4" t="s">
        <v>56</v>
      </c>
      <c r="L7" t="s">
        <v>57</v>
      </c>
      <c r="M7" s="4" t="s">
        <v>58</v>
      </c>
      <c r="N7" s="3">
        <v>315.87</v>
      </c>
      <c r="O7" s="3">
        <v>591.67999999999995</v>
      </c>
      <c r="P7" s="3">
        <v>0</v>
      </c>
      <c r="Q7" s="3">
        <v>7</v>
      </c>
      <c r="R7" t="s">
        <v>56</v>
      </c>
      <c r="S7" t="s">
        <v>54</v>
      </c>
      <c r="T7" t="s">
        <v>55</v>
      </c>
      <c r="U7">
        <v>591.67999999999995</v>
      </c>
      <c r="V7" t="str" cm="1">
        <f t="array" ref="V7">_xlfn.IFS(Data3[[#This Row],[CorrectedUnitPriceCustom]]&lt;=$W$2, "Low",Data3[[#This Row],[CorrectedUnitPriceCustom]]&lt;=$Y$2, "Medium", TRUE, "High")</f>
        <v>Low</v>
      </c>
      <c r="W7">
        <f t="shared" si="0"/>
        <v>626.79</v>
      </c>
      <c r="X7">
        <f t="shared" si="1"/>
        <v>1285.0899999999999</v>
      </c>
      <c r="Y7">
        <f t="shared" si="2"/>
        <v>1980.5450000000001</v>
      </c>
      <c r="Z7">
        <v>0</v>
      </c>
      <c r="AA7" t="s">
        <v>1372</v>
      </c>
      <c r="AB7" s="1">
        <v>44931</v>
      </c>
      <c r="AC7">
        <v>3</v>
      </c>
      <c r="AD7" s="5">
        <f>Data3[[#This Row],[UnitPrice]]*Data3[[#This Row],[Quantity]]*(1-Data3[[#This Row],[DiscountPct]])</f>
        <v>4141.7599999999993</v>
      </c>
      <c r="AE7" s="6">
        <f>Data3[[#This Row],[UnitPrice]]*Data3[[#This Row],[Quantity]]</f>
        <v>4141.7599999999993</v>
      </c>
      <c r="AF7" s="6">
        <f>Data3[[#This Row],[GrossRevenue]]-(Data3[[#This Row],[Quantity]]*Data3[[#This Row],[UnitCost]])</f>
        <v>1930.6699999999992</v>
      </c>
      <c r="AG7" s="6" t="str">
        <f>TEXT(Data3[[#This Row],[OrderDate]], "mmm-yyyy")</f>
        <v>Jan-2023</v>
      </c>
      <c r="AH7" s="7">
        <f>IF(Data3[[#This Row],[GrossRevenue]]=0, 0,Data3[[#This Row],[GrossProfit]]/Data3[[#This Row],[GrossRevenue]])</f>
        <v>0.46614724175229844</v>
      </c>
      <c r="AI7" s="5">
        <f t="shared" si="3"/>
        <v>4141.7599999999993</v>
      </c>
    </row>
    <row r="8" spans="1:35" x14ac:dyDescent="0.35">
      <c r="A8" s="4" t="s">
        <v>59</v>
      </c>
      <c r="B8" s="2">
        <v>45653</v>
      </c>
      <c r="C8" s="2" t="str">
        <f>TEXT(Data3[[#This Row],[OrderDate]],"MMM-YYYY")</f>
        <v>Dec-2024</v>
      </c>
      <c r="D8" s="4" t="str">
        <f>"Q"&amp;INT((MONTH(Data3[[#This Row],[OrderDate]])-1)/3)+1&amp;"-"&amp;YEAR(Data3[[#This Row],[OrderDate]])</f>
        <v>Q4-2024</v>
      </c>
      <c r="E8" s="2">
        <v>45671</v>
      </c>
      <c r="F8" t="s">
        <v>45</v>
      </c>
      <c r="G8" t="s">
        <v>60</v>
      </c>
      <c r="H8" s="4" t="s">
        <v>61</v>
      </c>
      <c r="I8" t="s">
        <v>62</v>
      </c>
      <c r="J8" s="4" t="s">
        <v>40</v>
      </c>
      <c r="K8" s="4" t="s">
        <v>63</v>
      </c>
      <c r="L8" t="s">
        <v>64</v>
      </c>
      <c r="M8" s="4" t="s">
        <v>65</v>
      </c>
      <c r="N8" s="3">
        <v>586.07000000000005</v>
      </c>
      <c r="O8" s="3">
        <v>845.97</v>
      </c>
      <c r="P8" s="3">
        <v>0.14699999999999999</v>
      </c>
      <c r="Q8" s="3">
        <v>4</v>
      </c>
      <c r="R8" t="s">
        <v>63</v>
      </c>
      <c r="S8" t="s">
        <v>61</v>
      </c>
      <c r="T8" t="s">
        <v>40</v>
      </c>
      <c r="U8">
        <v>845.97</v>
      </c>
      <c r="V8" t="str" cm="1">
        <f t="array" ref="V8">_xlfn.IFS(Data3[[#This Row],[CorrectedUnitPriceCustom]]&lt;=$W$2, "Low",Data3[[#This Row],[CorrectedUnitPriceCustom]]&lt;=$Y$2, "Medium", TRUE, "High")</f>
        <v>Medium</v>
      </c>
      <c r="W8">
        <f t="shared" si="0"/>
        <v>629.08500000000004</v>
      </c>
      <c r="X8">
        <f t="shared" si="1"/>
        <v>1301.73</v>
      </c>
      <c r="Y8">
        <f t="shared" si="2"/>
        <v>1981.3625000000002</v>
      </c>
      <c r="Z8">
        <v>0.14699999999999999</v>
      </c>
      <c r="AA8" t="s">
        <v>1372</v>
      </c>
      <c r="AB8" s="1">
        <v>45671</v>
      </c>
      <c r="AC8">
        <v>18</v>
      </c>
      <c r="AD8" s="5">
        <f>Data3[[#This Row],[UnitPrice]]*Data3[[#This Row],[Quantity]]*(1-Data3[[#This Row],[DiscountPct]])</f>
        <v>2886.4496399999998</v>
      </c>
      <c r="AE8" s="6">
        <f>Data3[[#This Row],[UnitPrice]]*Data3[[#This Row],[Quantity]]</f>
        <v>3383.88</v>
      </c>
      <c r="AF8" s="6">
        <f>Data3[[#This Row],[GrossRevenue]]-(Data3[[#This Row],[Quantity]]*Data3[[#This Row],[UnitCost]])</f>
        <v>542.16963999999962</v>
      </c>
      <c r="AG8" s="6" t="str">
        <f>TEXT(Data3[[#This Row],[OrderDate]], "mmm-yyyy")</f>
        <v>Dec-2024</v>
      </c>
      <c r="AH8" s="7">
        <f>IF(Data3[[#This Row],[GrossRevenue]]=0, 0,Data3[[#This Row],[GrossProfit]]/Data3[[#This Row],[GrossRevenue]])</f>
        <v>0.18783270370862928</v>
      </c>
      <c r="AI8" s="5">
        <f t="shared" si="3"/>
        <v>2886.4496399999998</v>
      </c>
    </row>
    <row r="9" spans="1:35" x14ac:dyDescent="0.35">
      <c r="A9" s="4" t="s">
        <v>66</v>
      </c>
      <c r="B9" s="2">
        <v>44941</v>
      </c>
      <c r="C9" s="2" t="str">
        <f>TEXT(Data3[[#This Row],[OrderDate]],"MMM-YYYY")</f>
        <v>Jan-2023</v>
      </c>
      <c r="D9" s="4" t="str">
        <f>"Q"&amp;INT((MONTH(Data3[[#This Row],[OrderDate]])-1)/3)+1&amp;"-"&amp;YEAR(Data3[[#This Row],[OrderDate]])</f>
        <v>Q1-2023</v>
      </c>
      <c r="E9" s="2">
        <v>44939</v>
      </c>
      <c r="F9" t="s">
        <v>16</v>
      </c>
      <c r="G9" t="s">
        <v>25</v>
      </c>
      <c r="H9" s="4" t="s">
        <v>67</v>
      </c>
      <c r="I9" t="s">
        <v>27</v>
      </c>
      <c r="J9" s="4" t="s">
        <v>28</v>
      </c>
      <c r="K9" s="4" t="s">
        <v>68</v>
      </c>
      <c r="L9" t="s">
        <v>30</v>
      </c>
      <c r="M9" s="4" t="s">
        <v>69</v>
      </c>
      <c r="N9" s="3">
        <v>28.38</v>
      </c>
      <c r="O9" s="3">
        <v>47.22</v>
      </c>
      <c r="P9" s="3">
        <v>0.19400000000000001</v>
      </c>
      <c r="Q9" s="3">
        <v>18</v>
      </c>
      <c r="R9" t="s">
        <v>68</v>
      </c>
      <c r="S9" t="s">
        <v>67</v>
      </c>
      <c r="T9" t="s">
        <v>28</v>
      </c>
      <c r="U9">
        <v>47.22</v>
      </c>
      <c r="V9" t="str" cm="1">
        <f t="array" ref="V9">_xlfn.IFS(Data3[[#This Row],[CorrectedUnitPriceCustom]]&lt;=$W$2, "Low",Data3[[#This Row],[CorrectedUnitPriceCustom]]&lt;=$Y$2, "Medium", TRUE, "High")</f>
        <v>Low</v>
      </c>
      <c r="W9">
        <f t="shared" si="0"/>
        <v>628.54</v>
      </c>
      <c r="X9">
        <f t="shared" si="1"/>
        <v>1318.37</v>
      </c>
      <c r="Y9">
        <f t="shared" si="2"/>
        <v>1982.18</v>
      </c>
      <c r="Z9">
        <v>0.19400000000000001</v>
      </c>
      <c r="AA9" t="s">
        <v>1372</v>
      </c>
      <c r="AB9" s="1">
        <v>44948</v>
      </c>
      <c r="AC9">
        <v>7</v>
      </c>
      <c r="AD9" s="5">
        <f>Data3[[#This Row],[UnitPrice]]*Data3[[#This Row],[Quantity]]*(1-Data3[[#This Row],[DiscountPct]])</f>
        <v>685.06776000000002</v>
      </c>
      <c r="AE9" s="6">
        <f>Data3[[#This Row],[UnitPrice]]*Data3[[#This Row],[Quantity]]</f>
        <v>849.96</v>
      </c>
      <c r="AF9" s="6">
        <f>Data3[[#This Row],[GrossRevenue]]-(Data3[[#This Row],[Quantity]]*Data3[[#This Row],[UnitCost]])</f>
        <v>174.22776000000005</v>
      </c>
      <c r="AG9" s="6" t="str">
        <f>TEXT(Data3[[#This Row],[OrderDate]], "mmm-yyyy")</f>
        <v>Jan-2023</v>
      </c>
      <c r="AH9" s="7">
        <f>IF(Data3[[#This Row],[GrossRevenue]]=0, 0,Data3[[#This Row],[GrossProfit]]/Data3[[#This Row],[GrossRevenue]])</f>
        <v>0.25432193743871417</v>
      </c>
      <c r="AI9" s="5">
        <f t="shared" si="3"/>
        <v>685.06776000000002</v>
      </c>
    </row>
    <row r="10" spans="1:35" x14ac:dyDescent="0.35">
      <c r="A10" s="4" t="s">
        <v>70</v>
      </c>
      <c r="B10" s="2">
        <v>45416</v>
      </c>
      <c r="C10" s="2" t="str">
        <f>TEXT(Data3[[#This Row],[OrderDate]],"MMM-YYYY")</f>
        <v>May-2024</v>
      </c>
      <c r="D10" s="4" t="str">
        <f>"Q"&amp;INT((MONTH(Data3[[#This Row],[OrderDate]])-1)/3)+1&amp;"-"&amp;YEAR(Data3[[#This Row],[OrderDate]])</f>
        <v>Q2-2024</v>
      </c>
      <c r="E10" s="2">
        <v>45441</v>
      </c>
      <c r="F10" t="s">
        <v>16</v>
      </c>
      <c r="G10" t="s">
        <v>25</v>
      </c>
      <c r="H10" s="4" t="s">
        <v>67</v>
      </c>
      <c r="I10" t="s">
        <v>39</v>
      </c>
      <c r="J10" s="4" t="s">
        <v>40</v>
      </c>
      <c r="K10" s="4" t="s">
        <v>68</v>
      </c>
      <c r="L10" t="s">
        <v>64</v>
      </c>
      <c r="M10" s="4" t="s">
        <v>71</v>
      </c>
      <c r="N10" s="3">
        <v>1295.3399999999999</v>
      </c>
      <c r="O10" s="3">
        <v>2530.81</v>
      </c>
      <c r="P10" s="3">
        <v>3.1E-2</v>
      </c>
      <c r="Q10" s="3">
        <v>6</v>
      </c>
      <c r="R10" t="s">
        <v>68</v>
      </c>
      <c r="S10" t="s">
        <v>67</v>
      </c>
      <c r="T10" t="s">
        <v>40</v>
      </c>
      <c r="U10">
        <v>2530.81</v>
      </c>
      <c r="V10" t="str" cm="1">
        <f t="array" ref="V10">_xlfn.IFS(Data3[[#This Row],[CorrectedUnitPriceCustom]]&lt;=$W$2, "Low",Data3[[#This Row],[CorrectedUnitPriceCustom]]&lt;=$Y$2, "Medium", TRUE, "High")</f>
        <v>High</v>
      </c>
      <c r="W10">
        <f t="shared" si="0"/>
        <v>630.17499999999995</v>
      </c>
      <c r="X10">
        <f t="shared" si="1"/>
        <v>1324.2199999999998</v>
      </c>
      <c r="Y10">
        <f t="shared" si="2"/>
        <v>1985.3025</v>
      </c>
      <c r="Z10">
        <v>3.1E-2</v>
      </c>
      <c r="AA10" t="s">
        <v>1372</v>
      </c>
      <c r="AB10" s="1">
        <v>45441</v>
      </c>
      <c r="AC10">
        <v>25</v>
      </c>
      <c r="AD10" s="5">
        <f>Data3[[#This Row],[UnitPrice]]*Data3[[#This Row],[Quantity]]*(1-Data3[[#This Row],[DiscountPct]])</f>
        <v>14714.12934</v>
      </c>
      <c r="AE10" s="6">
        <f>Data3[[#This Row],[UnitPrice]]*Data3[[#This Row],[Quantity]]</f>
        <v>15184.86</v>
      </c>
      <c r="AF10" s="6">
        <f>Data3[[#This Row],[GrossRevenue]]-(Data3[[#This Row],[Quantity]]*Data3[[#This Row],[UnitCost]])</f>
        <v>6942.0893400000004</v>
      </c>
      <c r="AG10" s="6" t="str">
        <f>TEXT(Data3[[#This Row],[OrderDate]], "mmm-yyyy")</f>
        <v>May-2024</v>
      </c>
      <c r="AH10" s="7">
        <f>IF(Data3[[#This Row],[GrossRevenue]]=0, 0,Data3[[#This Row],[GrossProfit]]/Data3[[#This Row],[GrossRevenue]])</f>
        <v>0.4717974933880798</v>
      </c>
      <c r="AI10" s="5">
        <f t="shared" si="3"/>
        <v>14714.12934</v>
      </c>
    </row>
    <row r="11" spans="1:35" x14ac:dyDescent="0.35">
      <c r="A11" s="4" t="s">
        <v>72</v>
      </c>
      <c r="B11" s="2">
        <v>45798</v>
      </c>
      <c r="C11" s="2" t="str">
        <f>TEXT(Data3[[#This Row],[OrderDate]],"MMM-YYYY")</f>
        <v>May-2025</v>
      </c>
      <c r="D11" s="4" t="str">
        <f>"Q"&amp;INT((MONTH(Data3[[#This Row],[OrderDate]])-1)/3)+1&amp;"-"&amp;YEAR(Data3[[#This Row],[OrderDate]])</f>
        <v>Q2-2025</v>
      </c>
      <c r="E11" s="2">
        <v>45817</v>
      </c>
      <c r="F11" t="s">
        <v>52</v>
      </c>
      <c r="G11" t="s">
        <v>73</v>
      </c>
      <c r="H11" s="4" t="s">
        <v>74</v>
      </c>
      <c r="I11" t="s">
        <v>39</v>
      </c>
      <c r="J11" s="4" t="s">
        <v>28</v>
      </c>
      <c r="K11" s="4" t="s">
        <v>75</v>
      </c>
      <c r="L11" t="s">
        <v>22</v>
      </c>
      <c r="M11" s="4" t="s">
        <v>76</v>
      </c>
      <c r="N11" s="3">
        <v>1331.38</v>
      </c>
      <c r="O11" s="3">
        <v>2309.56</v>
      </c>
      <c r="P11" s="3">
        <v>0.14899999999999999</v>
      </c>
      <c r="Q11" s="3">
        <v>31</v>
      </c>
      <c r="R11" t="s">
        <v>75</v>
      </c>
      <c r="S11" t="s">
        <v>74</v>
      </c>
      <c r="T11" t="s">
        <v>28</v>
      </c>
      <c r="U11">
        <v>2309.56</v>
      </c>
      <c r="V11" t="str" cm="1">
        <f t="array" ref="V11">_xlfn.IFS(Data3[[#This Row],[CorrectedUnitPriceCustom]]&lt;=$W$2, "Low",Data3[[#This Row],[CorrectedUnitPriceCustom]]&lt;=$Y$2, "Medium", TRUE, "High")</f>
        <v>High</v>
      </c>
      <c r="W11">
        <f t="shared" si="0"/>
        <v>629.63</v>
      </c>
      <c r="X11">
        <f t="shared" si="1"/>
        <v>1318.37</v>
      </c>
      <c r="Y11">
        <f t="shared" si="2"/>
        <v>1980.5450000000001</v>
      </c>
      <c r="Z11">
        <v>0.14899999999999999</v>
      </c>
      <c r="AA11" t="s">
        <v>1372</v>
      </c>
      <c r="AB11" s="1">
        <v>45817</v>
      </c>
      <c r="AC11">
        <v>19</v>
      </c>
      <c r="AD11" s="5">
        <f>Data3[[#This Row],[UnitPrice]]*Data3[[#This Row],[Quantity]]*(1-Data3[[#This Row],[DiscountPct]])</f>
        <v>60928.502359999999</v>
      </c>
      <c r="AE11" s="6">
        <f>Data3[[#This Row],[UnitPrice]]*Data3[[#This Row],[Quantity]]</f>
        <v>71596.36</v>
      </c>
      <c r="AF11" s="6">
        <f>Data3[[#This Row],[GrossRevenue]]-(Data3[[#This Row],[Quantity]]*Data3[[#This Row],[UnitCost]])</f>
        <v>19655.722359999992</v>
      </c>
      <c r="AG11" s="6" t="str">
        <f>TEXT(Data3[[#This Row],[OrderDate]], "mmm-yyyy")</f>
        <v>May-2025</v>
      </c>
      <c r="AH11" s="7">
        <f>IF(Data3[[#This Row],[GrossRevenue]]=0, 0,Data3[[#This Row],[GrossProfit]]/Data3[[#This Row],[GrossRevenue]])</f>
        <v>0.32260307735553528</v>
      </c>
      <c r="AI11" s="5">
        <f t="shared" si="3"/>
        <v>60928.502359999999</v>
      </c>
    </row>
    <row r="12" spans="1:35" x14ac:dyDescent="0.35">
      <c r="A12" s="4" t="s">
        <v>77</v>
      </c>
      <c r="B12" s="2">
        <v>45319</v>
      </c>
      <c r="C12" s="2" t="str">
        <f>TEXT(Data3[[#This Row],[OrderDate]],"MMM-YYYY")</f>
        <v>Jan-2024</v>
      </c>
      <c r="D12" s="4" t="str">
        <f>"Q"&amp;INT((MONTH(Data3[[#This Row],[OrderDate]])-1)/3)+1&amp;"-"&amp;YEAR(Data3[[#This Row],[OrderDate]])</f>
        <v>Q1-2024</v>
      </c>
      <c r="E12" s="2">
        <v>45331</v>
      </c>
      <c r="F12" t="s">
        <v>78</v>
      </c>
      <c r="G12" t="s">
        <v>79</v>
      </c>
      <c r="H12" s="4" t="s">
        <v>80</v>
      </c>
      <c r="I12" t="s">
        <v>19</v>
      </c>
      <c r="J12" s="4" t="s">
        <v>28</v>
      </c>
      <c r="K12" s="4" t="s">
        <v>41</v>
      </c>
      <c r="L12" t="s">
        <v>81</v>
      </c>
      <c r="M12" s="4" t="s">
        <v>82</v>
      </c>
      <c r="N12" s="3">
        <v>644.16999999999996</v>
      </c>
      <c r="O12" s="3">
        <v>700.12</v>
      </c>
      <c r="P12" s="3">
        <v>6.0000000000000001E-3</v>
      </c>
      <c r="Q12" s="3">
        <v>23</v>
      </c>
      <c r="R12" t="s">
        <v>41</v>
      </c>
      <c r="S12" t="s">
        <v>80</v>
      </c>
      <c r="T12" t="s">
        <v>28</v>
      </c>
      <c r="U12">
        <v>700.12</v>
      </c>
      <c r="V12" t="str" cm="1">
        <f t="array" ref="V12">_xlfn.IFS(Data3[[#This Row],[CorrectedUnitPriceCustom]]&lt;=$W$2, "Low",Data3[[#This Row],[CorrectedUnitPriceCustom]]&lt;=$Y$2, "Medium", TRUE, "High")</f>
        <v>Medium</v>
      </c>
      <c r="W12">
        <f t="shared" si="0"/>
        <v>629.08500000000004</v>
      </c>
      <c r="X12">
        <f t="shared" si="1"/>
        <v>1301.73</v>
      </c>
      <c r="Y12">
        <f t="shared" si="2"/>
        <v>1972.1925000000001</v>
      </c>
      <c r="Z12">
        <v>6.0000000000000001E-3</v>
      </c>
      <c r="AA12" t="s">
        <v>1372</v>
      </c>
      <c r="AB12" s="1">
        <v>45331</v>
      </c>
      <c r="AC12">
        <v>12</v>
      </c>
      <c r="AD12" s="5">
        <f>Data3[[#This Row],[UnitPrice]]*Data3[[#This Row],[Quantity]]*(1-Data3[[#This Row],[DiscountPct]])</f>
        <v>16006.14344</v>
      </c>
      <c r="AE12" s="6">
        <f>Data3[[#This Row],[UnitPrice]]*Data3[[#This Row],[Quantity]]</f>
        <v>16102.76</v>
      </c>
      <c r="AF12" s="6">
        <f>Data3[[#This Row],[GrossRevenue]]-(Data3[[#This Row],[Quantity]]*Data3[[#This Row],[UnitCost]])</f>
        <v>1190.23344</v>
      </c>
      <c r="AG12" s="6" t="str">
        <f>TEXT(Data3[[#This Row],[OrderDate]], "mmm-yyyy")</f>
        <v>Jan-2024</v>
      </c>
      <c r="AH12" s="7">
        <f>IF(Data3[[#This Row],[GrossRevenue]]=0, 0,Data3[[#This Row],[GrossProfit]]/Data3[[#This Row],[GrossRevenue]])</f>
        <v>7.436103796405813E-2</v>
      </c>
      <c r="AI12" s="5">
        <f t="shared" si="3"/>
        <v>16006.14344</v>
      </c>
    </row>
    <row r="13" spans="1:35" x14ac:dyDescent="0.35">
      <c r="A13" s="4" t="s">
        <v>83</v>
      </c>
      <c r="B13" s="2">
        <v>45660</v>
      </c>
      <c r="C13" s="2" t="str">
        <f>TEXT(Data3[[#This Row],[OrderDate]],"MMM-YYYY")</f>
        <v>Jan-2025</v>
      </c>
      <c r="D13" s="4" t="str">
        <f>"Q"&amp;INT((MONTH(Data3[[#This Row],[OrderDate]])-1)/3)+1&amp;"-"&amp;YEAR(Data3[[#This Row],[OrderDate]])</f>
        <v>Q1-2025</v>
      </c>
      <c r="E13" s="2">
        <v>45680</v>
      </c>
      <c r="F13" t="s">
        <v>45</v>
      </c>
      <c r="G13" t="s">
        <v>46</v>
      </c>
      <c r="H13" s="4" t="s">
        <v>47</v>
      </c>
      <c r="I13" t="s">
        <v>19</v>
      </c>
      <c r="J13" s="4" t="s">
        <v>55</v>
      </c>
      <c r="K13" s="4" t="s">
        <v>84</v>
      </c>
      <c r="L13" t="s">
        <v>42</v>
      </c>
      <c r="M13" s="4" t="s">
        <v>85</v>
      </c>
      <c r="N13" s="3">
        <v>908.6</v>
      </c>
      <c r="O13" s="3">
        <v>691.37</v>
      </c>
      <c r="P13" s="3">
        <v>0.25</v>
      </c>
      <c r="Q13" s="3">
        <v>20</v>
      </c>
      <c r="R13" t="s">
        <v>84</v>
      </c>
      <c r="S13" t="s">
        <v>47</v>
      </c>
      <c r="T13" t="s">
        <v>55</v>
      </c>
      <c r="U13">
        <v>691.37</v>
      </c>
      <c r="V13" t="str" cm="1">
        <f t="array" ref="V13">_xlfn.IFS(Data3[[#This Row],[CorrectedUnitPriceCustom]]&lt;=$W$2, "Low",Data3[[#This Row],[CorrectedUnitPriceCustom]]&lt;=$Y$2, "Medium", TRUE, "High")</f>
        <v>Medium</v>
      </c>
      <c r="W13">
        <f t="shared" si="0"/>
        <v>628.54</v>
      </c>
      <c r="X13">
        <f t="shared" si="1"/>
        <v>1318.37</v>
      </c>
      <c r="Y13">
        <f t="shared" si="2"/>
        <v>1978.91</v>
      </c>
      <c r="Z13">
        <v>0.25</v>
      </c>
      <c r="AA13" t="s">
        <v>1372</v>
      </c>
      <c r="AB13" s="1">
        <v>45680</v>
      </c>
      <c r="AC13">
        <v>20</v>
      </c>
      <c r="AD13" s="5">
        <f>Data3[[#This Row],[UnitPrice]]*Data3[[#This Row],[Quantity]]*(1-Data3[[#This Row],[DiscountPct]])</f>
        <v>10370.549999999999</v>
      </c>
      <c r="AE13" s="6">
        <f>Data3[[#This Row],[UnitPrice]]*Data3[[#This Row],[Quantity]]</f>
        <v>13827.4</v>
      </c>
      <c r="AF13" s="6">
        <f>Data3[[#This Row],[GrossRevenue]]-(Data3[[#This Row],[Quantity]]*Data3[[#This Row],[UnitCost]])</f>
        <v>-7801.4500000000007</v>
      </c>
      <c r="AG13" s="6" t="str">
        <f>TEXT(Data3[[#This Row],[OrderDate]], "mmm-yyyy")</f>
        <v>Jan-2025</v>
      </c>
      <c r="AH13" s="7">
        <f>IF(Data3[[#This Row],[GrossRevenue]]=0, 0,Data3[[#This Row],[GrossProfit]]/Data3[[#This Row],[GrossRevenue]])</f>
        <v>-0.75226964818645115</v>
      </c>
      <c r="AI13" s="5">
        <f t="shared" si="3"/>
        <v>10370.549999999999</v>
      </c>
    </row>
    <row r="14" spans="1:35" x14ac:dyDescent="0.35">
      <c r="A14" s="4" t="s">
        <v>86</v>
      </c>
      <c r="B14" s="2">
        <v>45722</v>
      </c>
      <c r="C14" s="2" t="str">
        <f>TEXT(Data3[[#This Row],[OrderDate]],"MMM-YYYY")</f>
        <v>Mar-2025</v>
      </c>
      <c r="D14" s="4" t="str">
        <f>"Q"&amp;INT((MONTH(Data3[[#This Row],[OrderDate]])-1)/3)+1&amp;"-"&amp;YEAR(Data3[[#This Row],[OrderDate]])</f>
        <v>Q1-2025</v>
      </c>
      <c r="E14" s="2">
        <v>45747</v>
      </c>
      <c r="F14" t="s">
        <v>52</v>
      </c>
      <c r="G14" t="s">
        <v>73</v>
      </c>
      <c r="H14" s="4" t="s">
        <v>87</v>
      </c>
      <c r="I14" t="s">
        <v>39</v>
      </c>
      <c r="J14" s="4" t="s">
        <v>28</v>
      </c>
      <c r="K14" s="4" t="s">
        <v>29</v>
      </c>
      <c r="L14" t="s">
        <v>22</v>
      </c>
      <c r="M14" s="4" t="s">
        <v>88</v>
      </c>
      <c r="N14" s="3">
        <v>331.57</v>
      </c>
      <c r="O14" s="3">
        <v>548.4</v>
      </c>
      <c r="P14" s="3">
        <v>9.4E-2</v>
      </c>
      <c r="Q14" s="3">
        <v>10</v>
      </c>
      <c r="R14" t="s">
        <v>29</v>
      </c>
      <c r="S14" t="s">
        <v>87</v>
      </c>
      <c r="T14" t="s">
        <v>28</v>
      </c>
      <c r="U14">
        <v>548.4</v>
      </c>
      <c r="V14" t="str" cm="1">
        <f t="array" ref="V14">_xlfn.IFS(Data3[[#This Row],[CorrectedUnitPriceCustom]]&lt;=$W$2, "Low",Data3[[#This Row],[CorrectedUnitPriceCustom]]&lt;=$Y$2, "Medium", TRUE, "High")</f>
        <v>Low</v>
      </c>
      <c r="W14">
        <f t="shared" si="0"/>
        <v>627.66499999999996</v>
      </c>
      <c r="X14">
        <f t="shared" si="1"/>
        <v>1324.2199999999998</v>
      </c>
      <c r="Y14">
        <f t="shared" si="2"/>
        <v>1979.7275</v>
      </c>
      <c r="Z14">
        <v>9.4E-2</v>
      </c>
      <c r="AA14" t="s">
        <v>1372</v>
      </c>
      <c r="AB14" s="1">
        <v>45747</v>
      </c>
      <c r="AC14">
        <v>25</v>
      </c>
      <c r="AD14" s="5">
        <f>Data3[[#This Row],[UnitPrice]]*Data3[[#This Row],[Quantity]]*(1-Data3[[#This Row],[DiscountPct]])</f>
        <v>4968.5039999999999</v>
      </c>
      <c r="AE14" s="6">
        <f>Data3[[#This Row],[UnitPrice]]*Data3[[#This Row],[Quantity]]</f>
        <v>5484</v>
      </c>
      <c r="AF14" s="6">
        <f>Data3[[#This Row],[GrossRevenue]]-(Data3[[#This Row],[Quantity]]*Data3[[#This Row],[UnitCost]])</f>
        <v>1652.8040000000001</v>
      </c>
      <c r="AG14" s="6" t="str">
        <f>TEXT(Data3[[#This Row],[OrderDate]], "mmm-yyyy")</f>
        <v>Mar-2025</v>
      </c>
      <c r="AH14" s="7">
        <f>IF(Data3[[#This Row],[GrossRevenue]]=0, 0,Data3[[#This Row],[GrossProfit]]/Data3[[#This Row],[GrossRevenue]])</f>
        <v>0.33265626836568918</v>
      </c>
      <c r="AI14" s="5">
        <f t="shared" si="3"/>
        <v>4968.5039999999999</v>
      </c>
    </row>
    <row r="15" spans="1:35" x14ac:dyDescent="0.35">
      <c r="A15" s="4" t="s">
        <v>97</v>
      </c>
      <c r="B15" s="2">
        <v>45039</v>
      </c>
      <c r="C15" s="2" t="str">
        <f>TEXT(Data3[[#This Row],[OrderDate]],"MMM-YYYY")</f>
        <v>Apr-2023</v>
      </c>
      <c r="D15" s="4" t="str">
        <f>"Q"&amp;INT((MONTH(Data3[[#This Row],[OrderDate]])-1)/3)+1&amp;"-"&amp;YEAR(Data3[[#This Row],[OrderDate]])</f>
        <v>Q2-2023</v>
      </c>
      <c r="E15" s="2">
        <v>45038</v>
      </c>
      <c r="F15" t="s">
        <v>16</v>
      </c>
      <c r="G15" t="s">
        <v>17</v>
      </c>
      <c r="H15" s="4" t="s">
        <v>33</v>
      </c>
      <c r="I15" t="s">
        <v>62</v>
      </c>
      <c r="J15" s="4" t="s">
        <v>98</v>
      </c>
      <c r="K15" s="4" t="s">
        <v>63</v>
      </c>
      <c r="L15" t="s">
        <v>57</v>
      </c>
      <c r="M15" s="4" t="s">
        <v>99</v>
      </c>
      <c r="N15" s="3">
        <v>756.51</v>
      </c>
      <c r="O15" s="3">
        <v>850.8</v>
      </c>
      <c r="P15" s="3">
        <v>7.3999999999999996E-2</v>
      </c>
      <c r="Q15" s="3">
        <v>9</v>
      </c>
      <c r="R15" t="s">
        <v>63</v>
      </c>
      <c r="S15" t="s">
        <v>33</v>
      </c>
      <c r="T15" t="s">
        <v>98</v>
      </c>
      <c r="U15">
        <v>850.8</v>
      </c>
      <c r="V15" t="str" cm="1">
        <f t="array" ref="V15">_xlfn.IFS(Data3[[#This Row],[CorrectedUnitPriceCustom]]&lt;=$W$2, "Low",Data3[[#This Row],[CorrectedUnitPriceCustom]]&lt;=$Y$2, "Medium", TRUE, "High")</f>
        <v>Medium</v>
      </c>
      <c r="W15">
        <f t="shared" si="0"/>
        <v>629.63</v>
      </c>
      <c r="X15">
        <f t="shared" si="1"/>
        <v>1330.07</v>
      </c>
      <c r="Y15">
        <f t="shared" si="2"/>
        <v>1980.5450000000001</v>
      </c>
      <c r="Z15">
        <v>7.3999999999999996E-2</v>
      </c>
      <c r="AA15" t="s">
        <v>1372</v>
      </c>
      <c r="AB15" s="1">
        <v>45046</v>
      </c>
      <c r="AC15">
        <v>7</v>
      </c>
      <c r="AD15" s="5">
        <f>Data3[[#This Row],[UnitPrice]]*Data3[[#This Row],[Quantity]]*(1-Data3[[#This Row],[DiscountPct]])</f>
        <v>7090.5672000000004</v>
      </c>
      <c r="AE15" s="6">
        <f>Data3[[#This Row],[UnitPrice]]*Data3[[#This Row],[Quantity]]</f>
        <v>7657.2</v>
      </c>
      <c r="AF15" s="6">
        <f>Data3[[#This Row],[GrossRevenue]]-(Data3[[#This Row],[Quantity]]*Data3[[#This Row],[UnitCost]])</f>
        <v>281.97720000000027</v>
      </c>
      <c r="AG15" s="6" t="str">
        <f>TEXT(Data3[[#This Row],[OrderDate]], "mmm-yyyy")</f>
        <v>Apr-2023</v>
      </c>
      <c r="AH15" s="7">
        <f>IF(Data3[[#This Row],[GrossRevenue]]=0, 0,Data3[[#This Row],[GrossProfit]]/Data3[[#This Row],[GrossRevenue]])</f>
        <v>3.9767932810791252E-2</v>
      </c>
      <c r="AI15" s="5">
        <f t="shared" si="3"/>
        <v>7090.5672000000004</v>
      </c>
    </row>
    <row r="16" spans="1:35" x14ac:dyDescent="0.35">
      <c r="A16" s="4" t="s">
        <v>100</v>
      </c>
      <c r="B16" s="2">
        <v>45636</v>
      </c>
      <c r="C16" s="2" t="str">
        <f>TEXT(Data3[[#This Row],[OrderDate]],"MMM-YYYY")</f>
        <v>Dec-2024</v>
      </c>
      <c r="D16" s="4" t="str">
        <f>"Q"&amp;INT((MONTH(Data3[[#This Row],[OrderDate]])-1)/3)+1&amp;"-"&amp;YEAR(Data3[[#This Row],[OrderDate]])</f>
        <v>Q4-2024</v>
      </c>
      <c r="E16" s="2">
        <v>45665</v>
      </c>
      <c r="F16" t="s">
        <v>78</v>
      </c>
      <c r="G16" t="s">
        <v>90</v>
      </c>
      <c r="H16" s="4" t="s">
        <v>91</v>
      </c>
      <c r="I16" t="s">
        <v>62</v>
      </c>
      <c r="J16" s="4" t="s">
        <v>20</v>
      </c>
      <c r="K16" s="4" t="s">
        <v>95</v>
      </c>
      <c r="L16" t="s">
        <v>30</v>
      </c>
      <c r="M16" s="4" t="s">
        <v>101</v>
      </c>
      <c r="N16" s="3">
        <v>891.08</v>
      </c>
      <c r="O16" s="3">
        <v>1040.0999999999999</v>
      </c>
      <c r="P16" s="3">
        <v>0.109</v>
      </c>
      <c r="Q16" s="3">
        <v>28</v>
      </c>
      <c r="R16" t="s">
        <v>95</v>
      </c>
      <c r="S16" t="s">
        <v>91</v>
      </c>
      <c r="T16" t="s">
        <v>20</v>
      </c>
      <c r="U16">
        <v>1040.0999999999999</v>
      </c>
      <c r="V16" t="str" cm="1">
        <f t="array" ref="V16">_xlfn.IFS(Data3[[#This Row],[CorrectedUnitPriceCustom]]&lt;=$W$2, "Low",Data3[[#This Row],[CorrectedUnitPriceCustom]]&lt;=$Y$2, "Medium", TRUE, "High")</f>
        <v>Medium</v>
      </c>
      <c r="W16">
        <f t="shared" si="0"/>
        <v>629.08500000000004</v>
      </c>
      <c r="X16">
        <f t="shared" si="1"/>
        <v>1332.5450000000001</v>
      </c>
      <c r="Y16">
        <f t="shared" si="2"/>
        <v>1981.3625000000002</v>
      </c>
      <c r="Z16">
        <v>0.109</v>
      </c>
      <c r="AA16" t="s">
        <v>1372</v>
      </c>
      <c r="AB16" s="1">
        <v>45665</v>
      </c>
      <c r="AC16">
        <v>29</v>
      </c>
      <c r="AD16" s="5">
        <f>Data3[[#This Row],[UnitPrice]]*Data3[[#This Row],[Quantity]]*(1-Data3[[#This Row],[DiscountPct]])</f>
        <v>25948.414799999995</v>
      </c>
      <c r="AE16" s="6">
        <f>Data3[[#This Row],[UnitPrice]]*Data3[[#This Row],[Quantity]]</f>
        <v>29122.799999999996</v>
      </c>
      <c r="AF16" s="6">
        <f>Data3[[#This Row],[GrossRevenue]]-(Data3[[#This Row],[Quantity]]*Data3[[#This Row],[UnitCost]])</f>
        <v>998.17479999999341</v>
      </c>
      <c r="AG16" s="6" t="str">
        <f>TEXT(Data3[[#This Row],[OrderDate]], "mmm-yyyy")</f>
        <v>Dec-2024</v>
      </c>
      <c r="AH16" s="7">
        <f>IF(Data3[[#This Row],[GrossRevenue]]=0, 0,Data3[[#This Row],[GrossProfit]]/Data3[[#This Row],[GrossRevenue]])</f>
        <v>3.8467660074556598E-2</v>
      </c>
      <c r="AI16" s="5">
        <f t="shared" si="3"/>
        <v>25948.414799999995</v>
      </c>
    </row>
    <row r="17" spans="1:35" x14ac:dyDescent="0.35">
      <c r="A17" s="4" t="s">
        <v>102</v>
      </c>
      <c r="B17" s="2">
        <v>45908</v>
      </c>
      <c r="C17" s="2" t="str">
        <f>TEXT(Data3[[#This Row],[OrderDate]],"MMM-YYYY")</f>
        <v>Sep-2025</v>
      </c>
      <c r="D17" s="4" t="str">
        <f>"Q"&amp;INT((MONTH(Data3[[#This Row],[OrderDate]])-1)/3)+1&amp;"-"&amp;YEAR(Data3[[#This Row],[OrderDate]])</f>
        <v>Q3-2025</v>
      </c>
      <c r="E17" s="2">
        <v>45916</v>
      </c>
      <c r="F17" t="s">
        <v>45</v>
      </c>
      <c r="G17" t="s">
        <v>46</v>
      </c>
      <c r="H17" s="4" t="s">
        <v>47</v>
      </c>
      <c r="I17" t="s">
        <v>19</v>
      </c>
      <c r="J17" s="4" t="s">
        <v>55</v>
      </c>
      <c r="K17" s="4" t="s">
        <v>21</v>
      </c>
      <c r="L17" t="s">
        <v>42</v>
      </c>
      <c r="M17" s="4" t="s">
        <v>103</v>
      </c>
      <c r="N17" s="3">
        <v>1225.57</v>
      </c>
      <c r="O17" s="3">
        <v>2705.57</v>
      </c>
      <c r="P17" s="3">
        <v>0.183</v>
      </c>
      <c r="Q17" s="3">
        <v>16</v>
      </c>
      <c r="R17" t="s">
        <v>21</v>
      </c>
      <c r="S17" t="s">
        <v>47</v>
      </c>
      <c r="T17" t="s">
        <v>55</v>
      </c>
      <c r="U17">
        <v>2705.57</v>
      </c>
      <c r="V17" t="str" cm="1">
        <f t="array" ref="V17">_xlfn.IFS(Data3[[#This Row],[CorrectedUnitPriceCustom]]&lt;=$W$2, "Low",Data3[[#This Row],[CorrectedUnitPriceCustom]]&lt;=$Y$2, "Medium", TRUE, "High")</f>
        <v>High</v>
      </c>
      <c r="W17">
        <f t="shared" si="0"/>
        <v>628.54</v>
      </c>
      <c r="X17">
        <f t="shared" si="1"/>
        <v>1335.02</v>
      </c>
      <c r="Y17">
        <f t="shared" si="2"/>
        <v>1982.18</v>
      </c>
      <c r="Z17">
        <v>0.183</v>
      </c>
      <c r="AA17" t="s">
        <v>1372</v>
      </c>
      <c r="AB17" s="1">
        <v>45916</v>
      </c>
      <c r="AC17">
        <v>8</v>
      </c>
      <c r="AD17" s="5">
        <f>Data3[[#This Row],[UnitPrice]]*Data3[[#This Row],[Quantity]]*(1-Data3[[#This Row],[DiscountPct]])</f>
        <v>35367.211040000002</v>
      </c>
      <c r="AE17" s="6">
        <f>Data3[[#This Row],[UnitPrice]]*Data3[[#This Row],[Quantity]]</f>
        <v>43289.120000000003</v>
      </c>
      <c r="AF17" s="6">
        <f>Data3[[#This Row],[GrossRevenue]]-(Data3[[#This Row],[Quantity]]*Data3[[#This Row],[UnitCost]])</f>
        <v>15758.091040000003</v>
      </c>
      <c r="AG17" s="6" t="str">
        <f>TEXT(Data3[[#This Row],[OrderDate]], "mmm-yyyy")</f>
        <v>Sep-2025</v>
      </c>
      <c r="AH17" s="7">
        <f>IF(Data3[[#This Row],[GrossRevenue]]=0, 0,Data3[[#This Row],[GrossProfit]]/Data3[[#This Row],[GrossRevenue]])</f>
        <v>0.44555650775453404</v>
      </c>
      <c r="AI17" s="5">
        <f t="shared" si="3"/>
        <v>35367.211040000002</v>
      </c>
    </row>
    <row r="18" spans="1:35" x14ac:dyDescent="0.35">
      <c r="A18" s="4" t="s">
        <v>107</v>
      </c>
      <c r="B18" s="2">
        <v>45798</v>
      </c>
      <c r="C18" s="2" t="str">
        <f>TEXT(Data3[[#This Row],[OrderDate]],"MMM-YYYY")</f>
        <v>May-2025</v>
      </c>
      <c r="D18" s="4" t="str">
        <f>"Q"&amp;INT((MONTH(Data3[[#This Row],[OrderDate]])-1)/3)+1&amp;"-"&amp;YEAR(Data3[[#This Row],[OrderDate]])</f>
        <v>Q2-2025</v>
      </c>
      <c r="E18" s="2">
        <v>45796</v>
      </c>
      <c r="F18" t="s">
        <v>78</v>
      </c>
      <c r="G18" t="s">
        <v>108</v>
      </c>
      <c r="H18" s="4" t="s">
        <v>109</v>
      </c>
      <c r="I18" t="s">
        <v>105</v>
      </c>
      <c r="J18" s="4" t="s">
        <v>28</v>
      </c>
      <c r="K18" s="4" t="s">
        <v>110</v>
      </c>
      <c r="L18" t="s">
        <v>57</v>
      </c>
      <c r="M18" s="4" t="s">
        <v>111</v>
      </c>
      <c r="N18" s="3">
        <v>1015.16</v>
      </c>
      <c r="O18" s="3">
        <v>2148.14</v>
      </c>
      <c r="P18" s="3">
        <v>3.7999999999999999E-2</v>
      </c>
      <c r="Q18" s="3">
        <v>19</v>
      </c>
      <c r="R18" t="s">
        <v>110</v>
      </c>
      <c r="S18" t="s">
        <v>109</v>
      </c>
      <c r="T18" t="s">
        <v>28</v>
      </c>
      <c r="U18">
        <v>2148.14</v>
      </c>
      <c r="V18" t="str" cm="1">
        <f t="array" ref="V18">_xlfn.IFS(Data3[[#This Row],[CorrectedUnitPriceCustom]]&lt;=$W$2, "Low",Data3[[#This Row],[CorrectedUnitPriceCustom]]&lt;=$Y$2, "Medium", TRUE, "High")</f>
        <v>High</v>
      </c>
      <c r="W18">
        <f t="shared" si="0"/>
        <v>627.66499999999996</v>
      </c>
      <c r="X18">
        <f t="shared" si="1"/>
        <v>1332.5450000000001</v>
      </c>
      <c r="Y18">
        <f t="shared" si="2"/>
        <v>1979.7275</v>
      </c>
      <c r="Z18">
        <v>3.7999999999999999E-2</v>
      </c>
      <c r="AA18" t="s">
        <v>1372</v>
      </c>
      <c r="AB18" s="1">
        <v>45805</v>
      </c>
      <c r="AC18">
        <v>7</v>
      </c>
      <c r="AD18" s="5">
        <f>Data3[[#This Row],[UnitPrice]]*Data3[[#This Row],[Quantity]]*(1-Data3[[#This Row],[DiscountPct]])</f>
        <v>39263.702919999996</v>
      </c>
      <c r="AE18" s="6">
        <f>Data3[[#This Row],[UnitPrice]]*Data3[[#This Row],[Quantity]]</f>
        <v>40814.659999999996</v>
      </c>
      <c r="AF18" s="6">
        <f>Data3[[#This Row],[GrossRevenue]]-(Data3[[#This Row],[Quantity]]*Data3[[#This Row],[UnitCost]])</f>
        <v>19975.662919999995</v>
      </c>
      <c r="AG18" s="6" t="str">
        <f>TEXT(Data3[[#This Row],[OrderDate]], "mmm-yyyy")</f>
        <v>May-2025</v>
      </c>
      <c r="AH18" s="7">
        <f>IF(Data3[[#This Row],[GrossRevenue]]=0, 0,Data3[[#This Row],[GrossProfit]]/Data3[[#This Row],[GrossRevenue]])</f>
        <v>0.50875647059322227</v>
      </c>
      <c r="AI18" s="5">
        <f t="shared" si="3"/>
        <v>39263.702919999996</v>
      </c>
    </row>
    <row r="19" spans="1:35" x14ac:dyDescent="0.35">
      <c r="A19" s="4" t="s">
        <v>115</v>
      </c>
      <c r="B19" s="2">
        <v>45057</v>
      </c>
      <c r="C19" s="2" t="str">
        <f>TEXT(Data3[[#This Row],[OrderDate]],"MMM-YYYY")</f>
        <v>May-2023</v>
      </c>
      <c r="D19" s="4" t="str">
        <f>"Q"&amp;INT((MONTH(Data3[[#This Row],[OrderDate]])-1)/3)+1&amp;"-"&amp;YEAR(Data3[[#This Row],[OrderDate]])</f>
        <v>Q2-2023</v>
      </c>
      <c r="E19" s="2">
        <v>45074</v>
      </c>
      <c r="F19" t="s">
        <v>45</v>
      </c>
      <c r="G19" t="s">
        <v>116</v>
      </c>
      <c r="H19" s="4" t="s">
        <v>117</v>
      </c>
      <c r="I19" t="s">
        <v>105</v>
      </c>
      <c r="J19" s="4" t="s">
        <v>40</v>
      </c>
      <c r="K19" s="4" t="s">
        <v>63</v>
      </c>
      <c r="L19" t="s">
        <v>35</v>
      </c>
      <c r="M19" s="4" t="s">
        <v>118</v>
      </c>
      <c r="N19" s="3">
        <v>1331.19</v>
      </c>
      <c r="O19" s="3">
        <v>2903.09</v>
      </c>
      <c r="P19" s="3">
        <v>0.14299999999999999</v>
      </c>
      <c r="Q19" s="3">
        <v>8</v>
      </c>
      <c r="R19" t="s">
        <v>63</v>
      </c>
      <c r="S19" t="s">
        <v>117</v>
      </c>
      <c r="T19" t="s">
        <v>40</v>
      </c>
      <c r="U19">
        <v>2903.09</v>
      </c>
      <c r="V19" t="str" cm="1">
        <f t="array" ref="V19">_xlfn.IFS(Data3[[#This Row],[CorrectedUnitPriceCustom]]&lt;=$W$2, "Low",Data3[[#This Row],[CorrectedUnitPriceCustom]]&lt;=$Y$2, "Medium", TRUE, "High")</f>
        <v>High</v>
      </c>
      <c r="W19">
        <f t="shared" si="0"/>
        <v>626.79</v>
      </c>
      <c r="X19">
        <f t="shared" si="1"/>
        <v>1330.07</v>
      </c>
      <c r="Y19">
        <f t="shared" si="2"/>
        <v>1965.4749999999999</v>
      </c>
      <c r="Z19">
        <v>0.14299999999999999</v>
      </c>
      <c r="AA19" t="s">
        <v>1372</v>
      </c>
      <c r="AB19" s="1">
        <v>45074</v>
      </c>
      <c r="AC19">
        <v>17</v>
      </c>
      <c r="AD19" s="5">
        <f>Data3[[#This Row],[UnitPrice]]*Data3[[#This Row],[Quantity]]*(1-Data3[[#This Row],[DiscountPct]])</f>
        <v>19903.585040000002</v>
      </c>
      <c r="AE19" s="6">
        <f>Data3[[#This Row],[UnitPrice]]*Data3[[#This Row],[Quantity]]</f>
        <v>23224.720000000001</v>
      </c>
      <c r="AF19" s="6">
        <f>Data3[[#This Row],[GrossRevenue]]-(Data3[[#This Row],[Quantity]]*Data3[[#This Row],[UnitCost]])</f>
        <v>9254.0650400000013</v>
      </c>
      <c r="AG19" s="6" t="str">
        <f>TEXT(Data3[[#This Row],[OrderDate]], "mmm-yyyy")</f>
        <v>May-2023</v>
      </c>
      <c r="AH19" s="7">
        <f>IF(Data3[[#This Row],[GrossRevenue]]=0, 0,Data3[[#This Row],[GrossProfit]]/Data3[[#This Row],[GrossRevenue]])</f>
        <v>0.46494463290920784</v>
      </c>
      <c r="AI19" s="5">
        <f t="shared" si="3"/>
        <v>19903.585040000002</v>
      </c>
    </row>
    <row r="20" spans="1:35" x14ac:dyDescent="0.35">
      <c r="A20" s="4" t="s">
        <v>119</v>
      </c>
      <c r="B20" s="2">
        <v>45822</v>
      </c>
      <c r="C20" s="2" t="str">
        <f>TEXT(Data3[[#This Row],[OrderDate]],"MMM-YYYY")</f>
        <v>Jun-2025</v>
      </c>
      <c r="D20" s="4" t="str">
        <f>"Q"&amp;INT((MONTH(Data3[[#This Row],[OrderDate]])-1)/3)+1&amp;"-"&amp;YEAR(Data3[[#This Row],[OrderDate]])</f>
        <v>Q2-2025</v>
      </c>
      <c r="E20" s="2">
        <v>45837</v>
      </c>
      <c r="F20" t="s">
        <v>16</v>
      </c>
      <c r="G20" t="s">
        <v>25</v>
      </c>
      <c r="H20" s="4" t="s">
        <v>26</v>
      </c>
      <c r="I20" t="s">
        <v>48</v>
      </c>
      <c r="J20" s="4" t="s">
        <v>40</v>
      </c>
      <c r="K20" s="4" t="s">
        <v>110</v>
      </c>
      <c r="L20" t="s">
        <v>81</v>
      </c>
      <c r="M20" s="4" t="s">
        <v>120</v>
      </c>
      <c r="N20" s="3">
        <v>730.99</v>
      </c>
      <c r="O20" s="3">
        <v>1242.8399999999999</v>
      </c>
      <c r="P20" s="3">
        <v>0.12</v>
      </c>
      <c r="Q20" s="3">
        <v>10</v>
      </c>
      <c r="R20" t="s">
        <v>110</v>
      </c>
      <c r="S20" t="s">
        <v>26</v>
      </c>
      <c r="T20" t="s">
        <v>40</v>
      </c>
      <c r="U20">
        <v>1242.8399999999999</v>
      </c>
      <c r="V20" t="str" cm="1">
        <f t="array" ref="V20">_xlfn.IFS(Data3[[#This Row],[CorrectedUnitPriceCustom]]&lt;=$W$2, "Low",Data3[[#This Row],[CorrectedUnitPriceCustom]]&lt;=$Y$2, "Medium", TRUE, "High")</f>
        <v>Medium</v>
      </c>
      <c r="W20">
        <f t="shared" si="0"/>
        <v>625.91499999999996</v>
      </c>
      <c r="X20">
        <f t="shared" si="1"/>
        <v>1324.2199999999998</v>
      </c>
      <c r="Y20">
        <f t="shared" si="2"/>
        <v>1942.47</v>
      </c>
      <c r="Z20">
        <v>0.12</v>
      </c>
      <c r="AA20" t="s">
        <v>1372</v>
      </c>
      <c r="AB20" s="1">
        <v>45837</v>
      </c>
      <c r="AC20">
        <v>15</v>
      </c>
      <c r="AD20" s="5">
        <f>Data3[[#This Row],[UnitPrice]]*Data3[[#This Row],[Quantity]]*(1-Data3[[#This Row],[DiscountPct]])</f>
        <v>10936.992</v>
      </c>
      <c r="AE20" s="6">
        <f>Data3[[#This Row],[UnitPrice]]*Data3[[#This Row],[Quantity]]</f>
        <v>12428.4</v>
      </c>
      <c r="AF20" s="6">
        <f>Data3[[#This Row],[GrossRevenue]]-(Data3[[#This Row],[Quantity]]*Data3[[#This Row],[UnitCost]])</f>
        <v>3627.0920000000006</v>
      </c>
      <c r="AG20" s="6" t="str">
        <f>TEXT(Data3[[#This Row],[OrderDate]], "mmm-yyyy")</f>
        <v>Jun-2025</v>
      </c>
      <c r="AH20" s="7">
        <f>IF(Data3[[#This Row],[GrossRevenue]]=0, 0,Data3[[#This Row],[GrossProfit]]/Data3[[#This Row],[GrossRevenue]])</f>
        <v>0.33163524303574515</v>
      </c>
      <c r="AI20" s="5">
        <f t="shared" si="3"/>
        <v>10936.992</v>
      </c>
    </row>
    <row r="21" spans="1:35" x14ac:dyDescent="0.35">
      <c r="A21" s="4" t="s">
        <v>121</v>
      </c>
      <c r="B21" s="2">
        <v>45430</v>
      </c>
      <c r="C21" s="2" t="str">
        <f>TEXT(Data3[[#This Row],[OrderDate]],"MMM-YYYY")</f>
        <v>May-2024</v>
      </c>
      <c r="D21" s="4" t="str">
        <f>"Q"&amp;INT((MONTH(Data3[[#This Row],[OrderDate]])-1)/3)+1&amp;"-"&amp;YEAR(Data3[[#This Row],[OrderDate]])</f>
        <v>Q2-2024</v>
      </c>
      <c r="E21" s="2">
        <v>45435</v>
      </c>
      <c r="F21" t="s">
        <v>52</v>
      </c>
      <c r="G21" t="s">
        <v>122</v>
      </c>
      <c r="H21" s="4" t="s">
        <v>123</v>
      </c>
      <c r="I21" t="s">
        <v>105</v>
      </c>
      <c r="J21" s="4" t="s">
        <v>20</v>
      </c>
      <c r="K21" s="4" t="s">
        <v>92</v>
      </c>
      <c r="L21" t="s">
        <v>57</v>
      </c>
      <c r="M21" s="4" t="s">
        <v>124</v>
      </c>
      <c r="N21" s="3">
        <v>1274.5899999999999</v>
      </c>
      <c r="O21" s="3">
        <v>2553.69</v>
      </c>
      <c r="P21" s="3">
        <v>0.01</v>
      </c>
      <c r="Q21" s="3">
        <v>8</v>
      </c>
      <c r="R21" t="s">
        <v>92</v>
      </c>
      <c r="S21" t="s">
        <v>123</v>
      </c>
      <c r="T21" t="s">
        <v>20</v>
      </c>
      <c r="U21">
        <v>2553.69</v>
      </c>
      <c r="V21" t="str" cm="1">
        <f t="array" ref="V21">_xlfn.IFS(Data3[[#This Row],[CorrectedUnitPriceCustom]]&lt;=$W$2, "Low",Data3[[#This Row],[CorrectedUnitPriceCustom]]&lt;=$Y$2, "Medium", TRUE, "High")</f>
        <v>High</v>
      </c>
      <c r="W21">
        <f t="shared" si="0"/>
        <v>625.04</v>
      </c>
      <c r="X21">
        <f t="shared" si="1"/>
        <v>1330.07</v>
      </c>
      <c r="Y21">
        <f t="shared" si="2"/>
        <v>1952.04</v>
      </c>
      <c r="Z21">
        <v>0.01</v>
      </c>
      <c r="AA21" t="s">
        <v>1372</v>
      </c>
      <c r="AB21" s="1">
        <v>45435</v>
      </c>
      <c r="AC21">
        <v>5</v>
      </c>
      <c r="AD21" s="5">
        <f>Data3[[#This Row],[UnitPrice]]*Data3[[#This Row],[Quantity]]*(1-Data3[[#This Row],[DiscountPct]])</f>
        <v>20225.2248</v>
      </c>
      <c r="AE21" s="6">
        <f>Data3[[#This Row],[UnitPrice]]*Data3[[#This Row],[Quantity]]</f>
        <v>20429.52</v>
      </c>
      <c r="AF21" s="6">
        <f>Data3[[#This Row],[GrossRevenue]]-(Data3[[#This Row],[Quantity]]*Data3[[#This Row],[UnitCost]])</f>
        <v>10028.504800000001</v>
      </c>
      <c r="AG21" s="6" t="str">
        <f>TEXT(Data3[[#This Row],[OrderDate]], "mmm-yyyy")</f>
        <v>May-2024</v>
      </c>
      <c r="AH21" s="7">
        <f>IF(Data3[[#This Row],[GrossRevenue]]=0, 0,Data3[[#This Row],[GrossProfit]]/Data3[[#This Row],[GrossRevenue]])</f>
        <v>0.49584145042481803</v>
      </c>
      <c r="AI21" s="5">
        <f t="shared" si="3"/>
        <v>20225.2248</v>
      </c>
    </row>
    <row r="22" spans="1:35" x14ac:dyDescent="0.35">
      <c r="A22" s="4" t="s">
        <v>125</v>
      </c>
      <c r="B22" s="2">
        <v>44964</v>
      </c>
      <c r="C22" s="2" t="str">
        <f>TEXT(Data3[[#This Row],[OrderDate]],"MMM-YYYY")</f>
        <v>Feb-2023</v>
      </c>
      <c r="D22" s="4" t="str">
        <f>"Q"&amp;INT((MONTH(Data3[[#This Row],[OrderDate]])-1)/3)+1&amp;"-"&amp;YEAR(Data3[[#This Row],[OrderDate]])</f>
        <v>Q1-2023</v>
      </c>
      <c r="E22" s="2">
        <v>44969</v>
      </c>
      <c r="F22" t="s">
        <v>52</v>
      </c>
      <c r="G22" t="s">
        <v>73</v>
      </c>
      <c r="H22" s="4" t="s">
        <v>74</v>
      </c>
      <c r="I22" t="s">
        <v>27</v>
      </c>
      <c r="J22" s="4" t="s">
        <v>28</v>
      </c>
      <c r="K22" s="4" t="s">
        <v>126</v>
      </c>
      <c r="L22" t="s">
        <v>22</v>
      </c>
      <c r="M22" s="4" t="s">
        <v>127</v>
      </c>
      <c r="N22" s="3">
        <v>948.55</v>
      </c>
      <c r="O22" s="3">
        <v>2089.16</v>
      </c>
      <c r="P22" s="3">
        <v>7.0000000000000001E-3</v>
      </c>
      <c r="Q22" s="3">
        <v>12</v>
      </c>
      <c r="R22" t="s">
        <v>126</v>
      </c>
      <c r="S22" t="s">
        <v>74</v>
      </c>
      <c r="T22" t="s">
        <v>28</v>
      </c>
      <c r="U22">
        <v>2089.16</v>
      </c>
      <c r="V22" t="str" cm="1">
        <f t="array" ref="V22">_xlfn.IFS(Data3[[#This Row],[CorrectedUnitPriceCustom]]&lt;=$W$2, "Low",Data3[[#This Row],[CorrectedUnitPriceCustom]]&lt;=$Y$2, "Medium", TRUE, "High")</f>
        <v>High</v>
      </c>
      <c r="W22">
        <f t="shared" si="0"/>
        <v>624.03499999999997</v>
      </c>
      <c r="X22">
        <f t="shared" si="1"/>
        <v>1324.2199999999998</v>
      </c>
      <c r="Y22">
        <f t="shared" si="2"/>
        <v>1923.33</v>
      </c>
      <c r="Z22">
        <v>7.0000000000000001E-3</v>
      </c>
      <c r="AA22" t="s">
        <v>1372</v>
      </c>
      <c r="AB22" s="1">
        <v>44969</v>
      </c>
      <c r="AC22">
        <v>5</v>
      </c>
      <c r="AD22" s="5">
        <f>Data3[[#This Row],[UnitPrice]]*Data3[[#This Row],[Quantity]]*(1-Data3[[#This Row],[DiscountPct]])</f>
        <v>24894.430559999997</v>
      </c>
      <c r="AE22" s="6">
        <f>Data3[[#This Row],[UnitPrice]]*Data3[[#This Row],[Quantity]]</f>
        <v>25069.919999999998</v>
      </c>
      <c r="AF22" s="6">
        <f>Data3[[#This Row],[GrossRevenue]]-(Data3[[#This Row],[Quantity]]*Data3[[#This Row],[UnitCost]])</f>
        <v>13511.830559999999</v>
      </c>
      <c r="AG22" s="6" t="str">
        <f>TEXT(Data3[[#This Row],[OrderDate]], "mmm-yyyy")</f>
        <v>Feb-2023</v>
      </c>
      <c r="AH22" s="7">
        <f>IF(Data3[[#This Row],[GrossRevenue]]=0, 0,Data3[[#This Row],[GrossProfit]]/Data3[[#This Row],[GrossRevenue]])</f>
        <v>0.54276519912492427</v>
      </c>
      <c r="AI22" s="5">
        <f t="shared" si="3"/>
        <v>24894.430559999997</v>
      </c>
    </row>
    <row r="23" spans="1:35" x14ac:dyDescent="0.35">
      <c r="A23" s="4" t="s">
        <v>128</v>
      </c>
      <c r="B23" s="2">
        <v>45473</v>
      </c>
      <c r="C23" s="2" t="str">
        <f>TEXT(Data3[[#This Row],[OrderDate]],"MMM-YYYY")</f>
        <v>Jun-2024</v>
      </c>
      <c r="D23" s="4" t="str">
        <f>"Q"&amp;INT((MONTH(Data3[[#This Row],[OrderDate]])-1)/3)+1&amp;"-"&amp;YEAR(Data3[[#This Row],[OrderDate]])</f>
        <v>Q2-2024</v>
      </c>
      <c r="E23" s="2">
        <v>45487</v>
      </c>
      <c r="F23" t="s">
        <v>52</v>
      </c>
      <c r="G23" t="s">
        <v>73</v>
      </c>
      <c r="H23" s="4" t="s">
        <v>87</v>
      </c>
      <c r="I23" t="s">
        <v>27</v>
      </c>
      <c r="J23" s="4" t="s">
        <v>20</v>
      </c>
      <c r="K23" s="4" t="s">
        <v>21</v>
      </c>
      <c r="L23" t="s">
        <v>81</v>
      </c>
      <c r="M23" s="4" t="s">
        <v>129</v>
      </c>
      <c r="N23" s="3">
        <v>1491.85</v>
      </c>
      <c r="O23" s="3">
        <v>2583.02</v>
      </c>
      <c r="P23" s="3">
        <v>0.16800000000000001</v>
      </c>
      <c r="Q23" s="3">
        <v>4</v>
      </c>
      <c r="R23" t="s">
        <v>21</v>
      </c>
      <c r="S23" t="s">
        <v>87</v>
      </c>
      <c r="T23" t="s">
        <v>20</v>
      </c>
      <c r="U23">
        <v>2583.02</v>
      </c>
      <c r="V23" t="str" cm="1">
        <f t="array" ref="V23">_xlfn.IFS(Data3[[#This Row],[CorrectedUnitPriceCustom]]&lt;=$W$2, "Low",Data3[[#This Row],[CorrectedUnitPriceCustom]]&lt;=$Y$2, "Medium", TRUE, "High")</f>
        <v>High</v>
      </c>
      <c r="W23">
        <f t="shared" si="0"/>
        <v>623.03</v>
      </c>
      <c r="X23">
        <f t="shared" si="1"/>
        <v>1318.37</v>
      </c>
      <c r="Y23">
        <f t="shared" si="2"/>
        <v>1913.28</v>
      </c>
      <c r="Z23">
        <v>0.16800000000000001</v>
      </c>
      <c r="AA23" t="s">
        <v>1372</v>
      </c>
      <c r="AB23" s="1">
        <v>45487</v>
      </c>
      <c r="AC23">
        <v>14</v>
      </c>
      <c r="AD23" s="5">
        <f>Data3[[#This Row],[UnitPrice]]*Data3[[#This Row],[Quantity]]*(1-Data3[[#This Row],[DiscountPct]])</f>
        <v>8596.2905599999995</v>
      </c>
      <c r="AE23" s="6">
        <f>Data3[[#This Row],[UnitPrice]]*Data3[[#This Row],[Quantity]]</f>
        <v>10332.08</v>
      </c>
      <c r="AF23" s="6">
        <f>Data3[[#This Row],[GrossRevenue]]-(Data3[[#This Row],[Quantity]]*Data3[[#This Row],[UnitCost]])</f>
        <v>2628.8905599999998</v>
      </c>
      <c r="AG23" s="6" t="str">
        <f>TEXT(Data3[[#This Row],[OrderDate]], "mmm-yyyy")</f>
        <v>Jun-2024</v>
      </c>
      <c r="AH23" s="7">
        <f>IF(Data3[[#This Row],[GrossRevenue]]=0, 0,Data3[[#This Row],[GrossProfit]]/Data3[[#This Row],[GrossRevenue]])</f>
        <v>0.30581685689321325</v>
      </c>
      <c r="AI23" s="5">
        <f t="shared" si="3"/>
        <v>8596.2905599999995</v>
      </c>
    </row>
    <row r="24" spans="1:35" x14ac:dyDescent="0.35">
      <c r="A24" s="4" t="s">
        <v>132</v>
      </c>
      <c r="B24" s="2">
        <v>45492</v>
      </c>
      <c r="C24" s="2" t="str">
        <f>TEXT(Data3[[#This Row],[OrderDate]],"MMM-YYYY")</f>
        <v>Jul-2024</v>
      </c>
      <c r="D24" s="4" t="str">
        <f>"Q"&amp;INT((MONTH(Data3[[#This Row],[OrderDate]])-1)/3)+1&amp;"-"&amp;YEAR(Data3[[#This Row],[OrderDate]])</f>
        <v>Q3-2024</v>
      </c>
      <c r="E24" s="2">
        <v>45492</v>
      </c>
      <c r="F24" t="s">
        <v>16</v>
      </c>
      <c r="G24" t="s">
        <v>17</v>
      </c>
      <c r="H24" s="4" t="s">
        <v>18</v>
      </c>
      <c r="I24" t="s">
        <v>62</v>
      </c>
      <c r="J24" s="4" t="s">
        <v>20</v>
      </c>
      <c r="K24" s="4" t="s">
        <v>75</v>
      </c>
      <c r="L24" t="s">
        <v>42</v>
      </c>
      <c r="M24" s="4" t="s">
        <v>133</v>
      </c>
      <c r="N24" s="3">
        <v>857.24</v>
      </c>
      <c r="O24" s="3">
        <v>758.23</v>
      </c>
      <c r="P24" s="3">
        <v>0.125</v>
      </c>
      <c r="Q24" s="3">
        <v>6</v>
      </c>
      <c r="R24" t="s">
        <v>75</v>
      </c>
      <c r="S24" t="s">
        <v>18</v>
      </c>
      <c r="T24" t="s">
        <v>20</v>
      </c>
      <c r="U24">
        <v>758.23</v>
      </c>
      <c r="V24" t="str" cm="1">
        <f t="array" ref="V24">_xlfn.IFS(Data3[[#This Row],[CorrectedUnitPriceCustom]]&lt;=$W$2, "Low",Data3[[#This Row],[CorrectedUnitPriceCustom]]&lt;=$Y$2, "Medium", TRUE, "High")</f>
        <v>Medium</v>
      </c>
      <c r="W24">
        <f t="shared" si="0"/>
        <v>622.02499999999998</v>
      </c>
      <c r="X24">
        <f t="shared" si="1"/>
        <v>1301.73</v>
      </c>
      <c r="Y24">
        <f t="shared" si="2"/>
        <v>1912.7275</v>
      </c>
      <c r="Z24">
        <v>0.125</v>
      </c>
      <c r="AA24" t="s">
        <v>1372</v>
      </c>
      <c r="AB24" s="1">
        <v>45492</v>
      </c>
      <c r="AC24">
        <v>0</v>
      </c>
      <c r="AD24" s="5">
        <f>Data3[[#This Row],[UnitPrice]]*Data3[[#This Row],[Quantity]]*(1-Data3[[#This Row],[DiscountPct]])</f>
        <v>3980.7075</v>
      </c>
      <c r="AE24" s="6">
        <f>Data3[[#This Row],[UnitPrice]]*Data3[[#This Row],[Quantity]]</f>
        <v>4549.38</v>
      </c>
      <c r="AF24" s="6">
        <f>Data3[[#This Row],[GrossRevenue]]-(Data3[[#This Row],[Quantity]]*Data3[[#This Row],[UnitCost]])</f>
        <v>-1162.7325000000005</v>
      </c>
      <c r="AG24" s="6" t="str">
        <f>TEXT(Data3[[#This Row],[OrderDate]], "mmm-yyyy")</f>
        <v>Jul-2024</v>
      </c>
      <c r="AH24" s="7">
        <f>IF(Data3[[#This Row],[GrossRevenue]]=0, 0,Data3[[#This Row],[GrossProfit]]/Data3[[#This Row],[GrossRevenue]])</f>
        <v>-0.29209192084572921</v>
      </c>
      <c r="AI24" s="5">
        <f t="shared" si="3"/>
        <v>3980.7075</v>
      </c>
    </row>
    <row r="25" spans="1:35" x14ac:dyDescent="0.35">
      <c r="A25" s="4" t="s">
        <v>137</v>
      </c>
      <c r="B25" s="2">
        <v>45754</v>
      </c>
      <c r="C25" s="2" t="str">
        <f>TEXT(Data3[[#This Row],[OrderDate]],"MMM-YYYY")</f>
        <v>Apr-2025</v>
      </c>
      <c r="D25" s="4" t="str">
        <f>"Q"&amp;INT((MONTH(Data3[[#This Row],[OrderDate]])-1)/3)+1&amp;"-"&amp;YEAR(Data3[[#This Row],[OrderDate]])</f>
        <v>Q2-2025</v>
      </c>
      <c r="E25" s="2">
        <v>45758</v>
      </c>
      <c r="F25" t="s">
        <v>78</v>
      </c>
      <c r="G25" t="s">
        <v>90</v>
      </c>
      <c r="H25" s="4" t="s">
        <v>138</v>
      </c>
      <c r="I25" t="s">
        <v>27</v>
      </c>
      <c r="J25" s="4" t="s">
        <v>20</v>
      </c>
      <c r="K25" s="4" t="s">
        <v>63</v>
      </c>
      <c r="L25" t="s">
        <v>35</v>
      </c>
      <c r="M25" s="4" t="s">
        <v>139</v>
      </c>
      <c r="N25" s="3">
        <v>754.77</v>
      </c>
      <c r="O25" s="3">
        <v>1666.18</v>
      </c>
      <c r="P25" s="3">
        <v>0.13900000000000001</v>
      </c>
      <c r="Q25" s="3">
        <v>14</v>
      </c>
      <c r="R25" t="s">
        <v>63</v>
      </c>
      <c r="S25" t="s">
        <v>138</v>
      </c>
      <c r="T25" t="s">
        <v>20</v>
      </c>
      <c r="U25">
        <v>1666.18</v>
      </c>
      <c r="V25" t="str" cm="1">
        <f t="array" ref="V25">_xlfn.IFS(Data3[[#This Row],[CorrectedUnitPriceCustom]]&lt;=$W$2, "Low",Data3[[#This Row],[CorrectedUnitPriceCustom]]&lt;=$Y$2, "Medium", TRUE, "High")</f>
        <v>Medium</v>
      </c>
      <c r="W25">
        <f t="shared" si="0"/>
        <v>621.02</v>
      </c>
      <c r="X25">
        <f t="shared" si="1"/>
        <v>1318.37</v>
      </c>
      <c r="Y25">
        <f t="shared" si="2"/>
        <v>1912.8</v>
      </c>
      <c r="Z25">
        <v>0.13900000000000001</v>
      </c>
      <c r="AA25" t="s">
        <v>1372</v>
      </c>
      <c r="AB25" s="1">
        <v>45758</v>
      </c>
      <c r="AC25">
        <v>4</v>
      </c>
      <c r="AD25" s="5">
        <f>Data3[[#This Row],[UnitPrice]]*Data3[[#This Row],[Quantity]]*(1-Data3[[#This Row],[DiscountPct]])</f>
        <v>20084.133720000002</v>
      </c>
      <c r="AE25" s="6">
        <f>Data3[[#This Row],[UnitPrice]]*Data3[[#This Row],[Quantity]]</f>
        <v>23326.52</v>
      </c>
      <c r="AF25" s="6">
        <f>Data3[[#This Row],[GrossRevenue]]-(Data3[[#This Row],[Quantity]]*Data3[[#This Row],[UnitCost]])</f>
        <v>9517.3537200000028</v>
      </c>
      <c r="AG25" s="6" t="str">
        <f>TEXT(Data3[[#This Row],[OrderDate]], "mmm-yyyy")</f>
        <v>Apr-2025</v>
      </c>
      <c r="AH25" s="7">
        <f>IF(Data3[[#This Row],[GrossRevenue]]=0, 0,Data3[[#This Row],[GrossProfit]]/Data3[[#This Row],[GrossRevenue]])</f>
        <v>0.47387424584424653</v>
      </c>
      <c r="AI25" s="5">
        <f t="shared" si="3"/>
        <v>20084.133720000002</v>
      </c>
    </row>
    <row r="26" spans="1:35" x14ac:dyDescent="0.35">
      <c r="A26" s="4" t="s">
        <v>140</v>
      </c>
      <c r="B26" s="2">
        <v>45653</v>
      </c>
      <c r="C26" s="2" t="str">
        <f>TEXT(Data3[[#This Row],[OrderDate]],"MMM-YYYY")</f>
        <v>Dec-2024</v>
      </c>
      <c r="D26" s="4" t="str">
        <f>"Q"&amp;INT((MONTH(Data3[[#This Row],[OrderDate]])-1)/3)+1&amp;"-"&amp;YEAR(Data3[[#This Row],[OrderDate]])</f>
        <v>Q4-2024</v>
      </c>
      <c r="E26" s="2">
        <v>45672</v>
      </c>
      <c r="F26" t="s">
        <v>45</v>
      </c>
      <c r="G26" t="s">
        <v>60</v>
      </c>
      <c r="H26" s="4" t="s">
        <v>141</v>
      </c>
      <c r="I26" t="s">
        <v>39</v>
      </c>
      <c r="J26" s="4" t="s">
        <v>55</v>
      </c>
      <c r="K26" s="4" t="s">
        <v>41</v>
      </c>
      <c r="L26" t="s">
        <v>22</v>
      </c>
      <c r="M26" s="4" t="s">
        <v>142</v>
      </c>
      <c r="N26" s="3">
        <v>495.59</v>
      </c>
      <c r="O26" s="3">
        <v>631.78</v>
      </c>
      <c r="P26" s="3">
        <v>8.6999999999999994E-2</v>
      </c>
      <c r="Q26" s="3">
        <v>17</v>
      </c>
      <c r="R26" t="s">
        <v>41</v>
      </c>
      <c r="S26" t="s">
        <v>141</v>
      </c>
      <c r="T26" t="s">
        <v>55</v>
      </c>
      <c r="U26">
        <v>631.78</v>
      </c>
      <c r="V26" t="str" cm="1">
        <f t="array" ref="V26">_xlfn.IFS(Data3[[#This Row],[CorrectedUnitPriceCustom]]&lt;=$W$2, "Low",Data3[[#This Row],[CorrectedUnitPriceCustom]]&lt;=$Y$2, "Medium", TRUE, "High")</f>
        <v>Medium</v>
      </c>
      <c r="W26">
        <f t="shared" si="0"/>
        <v>620.99749999999995</v>
      </c>
      <c r="X26">
        <f t="shared" si="1"/>
        <v>1301.73</v>
      </c>
      <c r="Y26">
        <f t="shared" si="2"/>
        <v>1913.04</v>
      </c>
      <c r="Z26">
        <v>8.6999999999999994E-2</v>
      </c>
      <c r="AA26" t="s">
        <v>1372</v>
      </c>
      <c r="AB26" s="1">
        <v>45672</v>
      </c>
      <c r="AC26">
        <v>19</v>
      </c>
      <c r="AD26" s="5">
        <f>Data3[[#This Row],[UnitPrice]]*Data3[[#This Row],[Quantity]]*(1-Data3[[#This Row],[DiscountPct]])</f>
        <v>9805.8573800000013</v>
      </c>
      <c r="AE26" s="6">
        <f>Data3[[#This Row],[UnitPrice]]*Data3[[#This Row],[Quantity]]</f>
        <v>10740.26</v>
      </c>
      <c r="AF26" s="6">
        <f>Data3[[#This Row],[GrossRevenue]]-(Data3[[#This Row],[Quantity]]*Data3[[#This Row],[UnitCost]])</f>
        <v>1380.8273800000024</v>
      </c>
      <c r="AG26" s="6" t="str">
        <f>TEXT(Data3[[#This Row],[OrderDate]], "mmm-yyyy")</f>
        <v>Dec-2024</v>
      </c>
      <c r="AH26" s="7">
        <f>IF(Data3[[#This Row],[GrossRevenue]]=0, 0,Data3[[#This Row],[GrossProfit]]/Data3[[#This Row],[GrossRevenue]])</f>
        <v>0.14081658813601899</v>
      </c>
      <c r="AI26" s="5">
        <f t="shared" si="3"/>
        <v>9805.8573800000013</v>
      </c>
    </row>
    <row r="27" spans="1:35" x14ac:dyDescent="0.35">
      <c r="A27" s="4" t="s">
        <v>143</v>
      </c>
      <c r="B27" s="2">
        <v>44980</v>
      </c>
      <c r="C27" s="2" t="str">
        <f>TEXT(Data3[[#This Row],[OrderDate]],"MMM-YYYY")</f>
        <v>Feb-2023</v>
      </c>
      <c r="D27" s="4" t="str">
        <f>"Q"&amp;INT((MONTH(Data3[[#This Row],[OrderDate]])-1)/3)+1&amp;"-"&amp;YEAR(Data3[[#This Row],[OrderDate]])</f>
        <v>Q1-2023</v>
      </c>
      <c r="E27" s="2">
        <v>45010</v>
      </c>
      <c r="F27" t="s">
        <v>52</v>
      </c>
      <c r="G27" t="s">
        <v>53</v>
      </c>
      <c r="H27" s="4" t="s">
        <v>144</v>
      </c>
      <c r="I27" t="s">
        <v>105</v>
      </c>
      <c r="J27" s="4" t="s">
        <v>28</v>
      </c>
      <c r="K27" s="4" t="s">
        <v>145</v>
      </c>
      <c r="L27" t="s">
        <v>42</v>
      </c>
      <c r="M27" s="4" t="s">
        <v>146</v>
      </c>
      <c r="N27" s="3">
        <v>1242.6600000000001</v>
      </c>
      <c r="O27" s="3">
        <v>1794.07</v>
      </c>
      <c r="P27" s="3">
        <v>8.8999999999999996E-2</v>
      </c>
      <c r="Q27" s="3">
        <v>16</v>
      </c>
      <c r="R27" t="s">
        <v>145</v>
      </c>
      <c r="S27" t="s">
        <v>144</v>
      </c>
      <c r="T27" t="s">
        <v>28</v>
      </c>
      <c r="U27">
        <v>1794.07</v>
      </c>
      <c r="V27" t="str" cm="1">
        <f t="array" ref="V27">_xlfn.IFS(Data3[[#This Row],[CorrectedUnitPriceCustom]]&lt;=$W$2, "Low",Data3[[#This Row],[CorrectedUnitPriceCustom]]&lt;=$Y$2, "Medium", TRUE, "High")</f>
        <v>Medium</v>
      </c>
      <c r="W27">
        <f t="shared" si="0"/>
        <v>620.97499999999991</v>
      </c>
      <c r="X27">
        <f t="shared" si="1"/>
        <v>1318.37</v>
      </c>
      <c r="Y27">
        <f t="shared" si="2"/>
        <v>1913.28</v>
      </c>
      <c r="Z27">
        <v>8.8999999999999996E-2</v>
      </c>
      <c r="AA27" t="s">
        <v>1372</v>
      </c>
      <c r="AB27" s="1">
        <v>45010</v>
      </c>
      <c r="AC27">
        <v>30</v>
      </c>
      <c r="AD27" s="5">
        <f>Data3[[#This Row],[UnitPrice]]*Data3[[#This Row],[Quantity]]*(1-Data3[[#This Row],[DiscountPct]])</f>
        <v>26150.364320000001</v>
      </c>
      <c r="AE27" s="6">
        <f>Data3[[#This Row],[UnitPrice]]*Data3[[#This Row],[Quantity]]</f>
        <v>28705.119999999999</v>
      </c>
      <c r="AF27" s="6">
        <f>Data3[[#This Row],[GrossRevenue]]-(Data3[[#This Row],[Quantity]]*Data3[[#This Row],[UnitCost]])</f>
        <v>6267.8043199999993</v>
      </c>
      <c r="AG27" s="6" t="str">
        <f>TEXT(Data3[[#This Row],[OrderDate]], "mmm-yyyy")</f>
        <v>Feb-2023</v>
      </c>
      <c r="AH27" s="7">
        <f>IF(Data3[[#This Row],[GrossRevenue]]=0, 0,Data3[[#This Row],[GrossProfit]]/Data3[[#This Row],[GrossRevenue]])</f>
        <v>0.23968325042440553</v>
      </c>
      <c r="AI27" s="5">
        <f t="shared" si="3"/>
        <v>26150.364320000001</v>
      </c>
    </row>
    <row r="28" spans="1:35" x14ac:dyDescent="0.35">
      <c r="A28" s="4" t="s">
        <v>147</v>
      </c>
      <c r="B28" s="2">
        <v>45862</v>
      </c>
      <c r="C28" s="2" t="str">
        <f>TEXT(Data3[[#This Row],[OrderDate]],"MMM-YYYY")</f>
        <v>Jul-2025</v>
      </c>
      <c r="D28" s="4" t="str">
        <f>"Q"&amp;INT((MONTH(Data3[[#This Row],[OrderDate]])-1)/3)+1&amp;"-"&amp;YEAR(Data3[[#This Row],[OrderDate]])</f>
        <v>Q3-2025</v>
      </c>
      <c r="E28" s="2">
        <v>45875</v>
      </c>
      <c r="F28" t="s">
        <v>16</v>
      </c>
      <c r="G28" t="s">
        <v>148</v>
      </c>
      <c r="H28" s="4" t="s">
        <v>149</v>
      </c>
      <c r="I28" t="s">
        <v>27</v>
      </c>
      <c r="J28" s="4" t="s">
        <v>40</v>
      </c>
      <c r="K28" s="4" t="s">
        <v>145</v>
      </c>
      <c r="L28" t="s">
        <v>35</v>
      </c>
      <c r="M28" s="4" t="s">
        <v>150</v>
      </c>
      <c r="N28" s="3">
        <v>1463.9</v>
      </c>
      <c r="O28" s="3">
        <v>2633.02</v>
      </c>
      <c r="P28" s="3">
        <v>8.4000000000000005E-2</v>
      </c>
      <c r="Q28" s="3">
        <v>4</v>
      </c>
      <c r="R28" t="s">
        <v>145</v>
      </c>
      <c r="S28" t="s">
        <v>149</v>
      </c>
      <c r="T28" t="s">
        <v>40</v>
      </c>
      <c r="U28">
        <v>2633.02</v>
      </c>
      <c r="V28" t="str" cm="1">
        <f t="array" ref="V28">_xlfn.IFS(Data3[[#This Row],[CorrectedUnitPriceCustom]]&lt;=$W$2, "Low",Data3[[#This Row],[CorrectedUnitPriceCustom]]&lt;=$Y$2, "Medium", TRUE, "High")</f>
        <v>High</v>
      </c>
      <c r="W28">
        <f t="shared" si="0"/>
        <v>620.95249999999999</v>
      </c>
      <c r="X28">
        <f t="shared" si="1"/>
        <v>1301.73</v>
      </c>
      <c r="Y28">
        <f t="shared" si="2"/>
        <v>1913.52</v>
      </c>
      <c r="Z28">
        <v>8.4000000000000005E-2</v>
      </c>
      <c r="AA28" t="s">
        <v>1372</v>
      </c>
      <c r="AB28" s="1">
        <v>45875</v>
      </c>
      <c r="AC28">
        <v>13</v>
      </c>
      <c r="AD28" s="5">
        <f>Data3[[#This Row],[UnitPrice]]*Data3[[#This Row],[Quantity]]*(1-Data3[[#This Row],[DiscountPct]])</f>
        <v>9647.3852800000004</v>
      </c>
      <c r="AE28" s="6">
        <f>Data3[[#This Row],[UnitPrice]]*Data3[[#This Row],[Quantity]]</f>
        <v>10532.08</v>
      </c>
      <c r="AF28" s="6">
        <f>Data3[[#This Row],[GrossRevenue]]-(Data3[[#This Row],[Quantity]]*Data3[[#This Row],[UnitCost]])</f>
        <v>3791.7852800000001</v>
      </c>
      <c r="AG28" s="6" t="str">
        <f>TEXT(Data3[[#This Row],[OrderDate]], "mmm-yyyy")</f>
        <v>Jul-2025</v>
      </c>
      <c r="AH28" s="7">
        <f>IF(Data3[[#This Row],[GrossRevenue]]=0, 0,Data3[[#This Row],[GrossProfit]]/Data3[[#This Row],[GrossRevenue]])</f>
        <v>0.39303761277791527</v>
      </c>
      <c r="AI28" s="5">
        <f t="shared" si="3"/>
        <v>9647.3852800000004</v>
      </c>
    </row>
    <row r="29" spans="1:35" x14ac:dyDescent="0.35">
      <c r="A29" s="4" t="s">
        <v>156</v>
      </c>
      <c r="B29" s="2">
        <v>45012</v>
      </c>
      <c r="C29" s="2" t="str">
        <f>TEXT(Data3[[#This Row],[OrderDate]],"MMM-YYYY")</f>
        <v>Mar-2023</v>
      </c>
      <c r="D29" s="4" t="str">
        <f>"Q"&amp;INT((MONTH(Data3[[#This Row],[OrderDate]])-1)/3)+1&amp;"-"&amp;YEAR(Data3[[#This Row],[OrderDate]])</f>
        <v>Q1-2023</v>
      </c>
      <c r="E29" s="2">
        <v>45038</v>
      </c>
      <c r="F29" t="s">
        <v>45</v>
      </c>
      <c r="G29" t="s">
        <v>60</v>
      </c>
      <c r="H29" s="4" t="s">
        <v>141</v>
      </c>
      <c r="I29" t="s">
        <v>39</v>
      </c>
      <c r="J29" s="4" t="s">
        <v>40</v>
      </c>
      <c r="K29" s="4" t="s">
        <v>29</v>
      </c>
      <c r="L29" t="s">
        <v>30</v>
      </c>
      <c r="M29" s="4" t="s">
        <v>157</v>
      </c>
      <c r="N29" s="3">
        <v>178.53</v>
      </c>
      <c r="O29" s="3">
        <v>199.37</v>
      </c>
      <c r="P29" s="3">
        <v>0.10100000000000001</v>
      </c>
      <c r="Q29" s="3">
        <v>37</v>
      </c>
      <c r="R29" t="s">
        <v>29</v>
      </c>
      <c r="S29" t="s">
        <v>141</v>
      </c>
      <c r="T29" t="s">
        <v>40</v>
      </c>
      <c r="U29">
        <v>199.37</v>
      </c>
      <c r="V29" t="str" cm="1">
        <f t="array" ref="V29">_xlfn.IFS(Data3[[#This Row],[CorrectedUnitPriceCustom]]&lt;=$W$2, "Low",Data3[[#This Row],[CorrectedUnitPriceCustom]]&lt;=$Y$2, "Medium", TRUE, "High")</f>
        <v>Low</v>
      </c>
      <c r="W29">
        <f t="shared" si="0"/>
        <v>620.92999999999995</v>
      </c>
      <c r="X29">
        <f t="shared" si="1"/>
        <v>1285.0899999999999</v>
      </c>
      <c r="Y29">
        <f t="shared" si="2"/>
        <v>1912.8</v>
      </c>
      <c r="Z29">
        <v>0.10100000000000001</v>
      </c>
      <c r="AA29" t="s">
        <v>1372</v>
      </c>
      <c r="AB29" s="1">
        <v>45038</v>
      </c>
      <c r="AC29">
        <v>26</v>
      </c>
      <c r="AD29" s="5">
        <f>Data3[[#This Row],[UnitPrice]]*Data3[[#This Row],[Quantity]]*(1-Data3[[#This Row],[DiscountPct]])</f>
        <v>6631.6443100000006</v>
      </c>
      <c r="AE29" s="6">
        <f>Data3[[#This Row],[UnitPrice]]*Data3[[#This Row],[Quantity]]</f>
        <v>7376.6900000000005</v>
      </c>
      <c r="AF29" s="6">
        <f>Data3[[#This Row],[GrossRevenue]]-(Data3[[#This Row],[Quantity]]*Data3[[#This Row],[UnitCost]])</f>
        <v>26.034310000000914</v>
      </c>
      <c r="AG29" s="6" t="str">
        <f>TEXT(Data3[[#This Row],[OrderDate]], "mmm-yyyy")</f>
        <v>Mar-2023</v>
      </c>
      <c r="AH29" s="7">
        <f>IF(Data3[[#This Row],[GrossRevenue]]=0, 0,Data3[[#This Row],[GrossProfit]]/Data3[[#This Row],[GrossRevenue]])</f>
        <v>3.9257699573457538E-3</v>
      </c>
      <c r="AI29" s="5">
        <f t="shared" si="3"/>
        <v>6631.6443100000006</v>
      </c>
    </row>
    <row r="30" spans="1:35" x14ac:dyDescent="0.35">
      <c r="A30" s="4" t="s">
        <v>158</v>
      </c>
      <c r="B30" s="2">
        <v>45358</v>
      </c>
      <c r="C30" s="2" t="str">
        <f>TEXT(Data3[[#This Row],[OrderDate]],"MMM-YYYY")</f>
        <v>Mar-2024</v>
      </c>
      <c r="D30" s="4" t="str">
        <f>"Q"&amp;INT((MONTH(Data3[[#This Row],[OrderDate]])-1)/3)+1&amp;"-"&amp;YEAR(Data3[[#This Row],[OrderDate]])</f>
        <v>Q1-2024</v>
      </c>
      <c r="E30" s="2">
        <v>45376</v>
      </c>
      <c r="F30" t="s">
        <v>78</v>
      </c>
      <c r="G30" t="s">
        <v>79</v>
      </c>
      <c r="H30" s="4" t="s">
        <v>159</v>
      </c>
      <c r="I30" t="s">
        <v>19</v>
      </c>
      <c r="J30" s="4" t="s">
        <v>28</v>
      </c>
      <c r="K30" s="4" t="s">
        <v>56</v>
      </c>
      <c r="L30" t="s">
        <v>22</v>
      </c>
      <c r="M30" s="4" t="s">
        <v>160</v>
      </c>
      <c r="N30" s="3">
        <v>712.84</v>
      </c>
      <c r="O30" s="3">
        <v>927.51</v>
      </c>
      <c r="P30" s="3">
        <v>0.24299999999999999</v>
      </c>
      <c r="Q30" s="3">
        <v>27</v>
      </c>
      <c r="R30" t="s">
        <v>56</v>
      </c>
      <c r="S30" t="s">
        <v>159</v>
      </c>
      <c r="T30" t="s">
        <v>28</v>
      </c>
      <c r="U30">
        <v>927.51</v>
      </c>
      <c r="V30" t="str" cm="1">
        <f t="array" ref="V30">_xlfn.IFS(Data3[[#This Row],[CorrectedUnitPriceCustom]]&lt;=$W$2, "Low",Data3[[#This Row],[CorrectedUnitPriceCustom]]&lt;=$Y$2, "Medium", TRUE, "High")</f>
        <v>Medium</v>
      </c>
      <c r="W30">
        <f t="shared" si="0"/>
        <v>620.99749999999995</v>
      </c>
      <c r="X30">
        <f t="shared" si="1"/>
        <v>1301.73</v>
      </c>
      <c r="Y30">
        <f t="shared" si="2"/>
        <v>1913.04</v>
      </c>
      <c r="Z30">
        <v>0.24299999999999999</v>
      </c>
      <c r="AA30" t="s">
        <v>1372</v>
      </c>
      <c r="AB30" s="1">
        <v>45376</v>
      </c>
      <c r="AC30">
        <v>18</v>
      </c>
      <c r="AD30" s="5">
        <f>Data3[[#This Row],[UnitPrice]]*Data3[[#This Row],[Quantity]]*(1-Data3[[#This Row],[DiscountPct]])</f>
        <v>18957.37689</v>
      </c>
      <c r="AE30" s="6">
        <f>Data3[[#This Row],[UnitPrice]]*Data3[[#This Row],[Quantity]]</f>
        <v>25042.77</v>
      </c>
      <c r="AF30" s="6">
        <f>Data3[[#This Row],[GrossRevenue]]-(Data3[[#This Row],[Quantity]]*Data3[[#This Row],[UnitCost]])</f>
        <v>-289.30311000000074</v>
      </c>
      <c r="AG30" s="6" t="str">
        <f>TEXT(Data3[[#This Row],[OrderDate]], "mmm-yyyy")</f>
        <v>Mar-2024</v>
      </c>
      <c r="AH30" s="7">
        <f>IF(Data3[[#This Row],[GrossRevenue]]=0, 0,Data3[[#This Row],[GrossProfit]]/Data3[[#This Row],[GrossRevenue]])</f>
        <v>-1.5260714163076427E-2</v>
      </c>
      <c r="AI30" s="5">
        <f t="shared" si="3"/>
        <v>18957.37689</v>
      </c>
    </row>
    <row r="31" spans="1:35" x14ac:dyDescent="0.35">
      <c r="A31" s="4" t="s">
        <v>161</v>
      </c>
      <c r="B31" s="2">
        <v>45832</v>
      </c>
      <c r="C31" s="2" t="str">
        <f>TEXT(Data3[[#This Row],[OrderDate]],"MMM-YYYY")</f>
        <v>Jun-2025</v>
      </c>
      <c r="D31" s="4" t="str">
        <f>"Q"&amp;INT((MONTH(Data3[[#This Row],[OrderDate]])-1)/3)+1&amp;"-"&amp;YEAR(Data3[[#This Row],[OrderDate]])</f>
        <v>Q2-2025</v>
      </c>
      <c r="E31" s="2">
        <v>45848</v>
      </c>
      <c r="F31" t="s">
        <v>45</v>
      </c>
      <c r="G31" t="s">
        <v>116</v>
      </c>
      <c r="H31" s="4" t="s">
        <v>162</v>
      </c>
      <c r="I31" t="s">
        <v>105</v>
      </c>
      <c r="J31" s="4" t="s">
        <v>98</v>
      </c>
      <c r="K31" s="4" t="s">
        <v>126</v>
      </c>
      <c r="L31" t="s">
        <v>22</v>
      </c>
      <c r="M31" s="4" t="s">
        <v>163</v>
      </c>
      <c r="N31" s="3">
        <v>757.19</v>
      </c>
      <c r="O31" s="3">
        <v>1735.41</v>
      </c>
      <c r="P31" s="3">
        <v>0.13600000000000001</v>
      </c>
      <c r="Q31" s="3">
        <v>8</v>
      </c>
      <c r="R31" t="s">
        <v>126</v>
      </c>
      <c r="S31" t="s">
        <v>162</v>
      </c>
      <c r="T31" t="s">
        <v>98</v>
      </c>
      <c r="U31">
        <v>1735.41</v>
      </c>
      <c r="V31" t="str" cm="1">
        <f t="array" ref="V31">_xlfn.IFS(Data3[[#This Row],[CorrectedUnitPriceCustom]]&lt;=$W$2, "Low",Data3[[#This Row],[CorrectedUnitPriceCustom]]&lt;=$Y$2, "Medium", TRUE, "High")</f>
        <v>Medium</v>
      </c>
      <c r="W31">
        <f t="shared" si="0"/>
        <v>620.97499999999991</v>
      </c>
      <c r="X31">
        <f t="shared" si="1"/>
        <v>1318.37</v>
      </c>
      <c r="Y31">
        <f t="shared" si="2"/>
        <v>1913.28</v>
      </c>
      <c r="Z31">
        <v>0.13600000000000001</v>
      </c>
      <c r="AA31" t="s">
        <v>1372</v>
      </c>
      <c r="AB31" s="1">
        <v>45848</v>
      </c>
      <c r="AC31">
        <v>16</v>
      </c>
      <c r="AD31" s="5">
        <f>Data3[[#This Row],[UnitPrice]]*Data3[[#This Row],[Quantity]]*(1-Data3[[#This Row],[DiscountPct]])</f>
        <v>11995.153920000001</v>
      </c>
      <c r="AE31" s="6">
        <f>Data3[[#This Row],[UnitPrice]]*Data3[[#This Row],[Quantity]]</f>
        <v>13883.28</v>
      </c>
      <c r="AF31" s="6">
        <f>Data3[[#This Row],[GrossRevenue]]-(Data3[[#This Row],[Quantity]]*Data3[[#This Row],[UnitCost]])</f>
        <v>5937.6339200000002</v>
      </c>
      <c r="AG31" s="6" t="str">
        <f>TEXT(Data3[[#This Row],[OrderDate]], "mmm-yyyy")</f>
        <v>Jun-2025</v>
      </c>
      <c r="AH31" s="7">
        <f>IF(Data3[[#This Row],[GrossRevenue]]=0, 0,Data3[[#This Row],[GrossProfit]]/Data3[[#This Row],[GrossRevenue]])</f>
        <v>0.4950027285685718</v>
      </c>
      <c r="AI31" s="5">
        <f t="shared" si="3"/>
        <v>11995.153920000001</v>
      </c>
    </row>
    <row r="32" spans="1:35" x14ac:dyDescent="0.35">
      <c r="A32" s="4" t="s">
        <v>164</v>
      </c>
      <c r="B32" s="2">
        <v>45401</v>
      </c>
      <c r="C32" s="2" t="str">
        <f>TEXT(Data3[[#This Row],[OrderDate]],"MMM-YYYY")</f>
        <v>Apr-2024</v>
      </c>
      <c r="D32" s="4" t="str">
        <f>"Q"&amp;INT((MONTH(Data3[[#This Row],[OrderDate]])-1)/3)+1&amp;"-"&amp;YEAR(Data3[[#This Row],[OrderDate]])</f>
        <v>Q2-2024</v>
      </c>
      <c r="E32" s="2">
        <v>45418</v>
      </c>
      <c r="F32" t="s">
        <v>16</v>
      </c>
      <c r="G32" t="s">
        <v>25</v>
      </c>
      <c r="H32" s="4" t="s">
        <v>26</v>
      </c>
      <c r="I32" t="s">
        <v>39</v>
      </c>
      <c r="J32" s="4" t="s">
        <v>28</v>
      </c>
      <c r="K32" s="4" t="s">
        <v>75</v>
      </c>
      <c r="L32" t="s">
        <v>30</v>
      </c>
      <c r="M32" s="4" t="s">
        <v>165</v>
      </c>
      <c r="N32" s="3">
        <v>865.33</v>
      </c>
      <c r="O32" s="3">
        <v>1395.64</v>
      </c>
      <c r="P32" s="3">
        <v>0.17499999999999999</v>
      </c>
      <c r="Q32" s="3">
        <v>13</v>
      </c>
      <c r="R32" t="s">
        <v>75</v>
      </c>
      <c r="S32" t="s">
        <v>26</v>
      </c>
      <c r="T32" t="s">
        <v>28</v>
      </c>
      <c r="U32">
        <v>1395.64</v>
      </c>
      <c r="V32" t="str" cm="1">
        <f t="array" ref="V32">_xlfn.IFS(Data3[[#This Row],[CorrectedUnitPriceCustom]]&lt;=$W$2, "Low",Data3[[#This Row],[CorrectedUnitPriceCustom]]&lt;=$Y$2, "Medium", TRUE, "High")</f>
        <v>Medium</v>
      </c>
      <c r="W32">
        <f t="shared" si="0"/>
        <v>620.95249999999999</v>
      </c>
      <c r="X32">
        <f t="shared" si="1"/>
        <v>1301.73</v>
      </c>
      <c r="Y32">
        <f t="shared" si="2"/>
        <v>1913.52</v>
      </c>
      <c r="Z32">
        <v>0.17499999999999999</v>
      </c>
      <c r="AA32" t="s">
        <v>1372</v>
      </c>
      <c r="AB32" s="1">
        <v>45418</v>
      </c>
      <c r="AC32">
        <v>17</v>
      </c>
      <c r="AD32" s="5">
        <f>Data3[[#This Row],[UnitPrice]]*Data3[[#This Row],[Quantity]]*(1-Data3[[#This Row],[DiscountPct]])</f>
        <v>14968.239</v>
      </c>
      <c r="AE32" s="6">
        <f>Data3[[#This Row],[UnitPrice]]*Data3[[#This Row],[Quantity]]</f>
        <v>18143.32</v>
      </c>
      <c r="AF32" s="6">
        <f>Data3[[#This Row],[GrossRevenue]]-(Data3[[#This Row],[Quantity]]*Data3[[#This Row],[UnitCost]])</f>
        <v>3718.9489999999987</v>
      </c>
      <c r="AG32" s="6" t="str">
        <f>TEXT(Data3[[#This Row],[OrderDate]], "mmm-yyyy")</f>
        <v>Apr-2024</v>
      </c>
      <c r="AH32" s="7">
        <f>IF(Data3[[#This Row],[GrossRevenue]]=0, 0,Data3[[#This Row],[GrossProfit]]/Data3[[#This Row],[GrossRevenue]])</f>
        <v>0.24845601409758347</v>
      </c>
      <c r="AI32" s="5">
        <f t="shared" si="3"/>
        <v>14968.239</v>
      </c>
    </row>
    <row r="33" spans="1:35" x14ac:dyDescent="0.35">
      <c r="A33" s="4" t="s">
        <v>166</v>
      </c>
      <c r="B33" s="2">
        <v>45094</v>
      </c>
      <c r="C33" s="2" t="str">
        <f>TEXT(Data3[[#This Row],[OrderDate]],"MMM-YYYY")</f>
        <v>Jun-2023</v>
      </c>
      <c r="D33" s="4" t="str">
        <f>"Q"&amp;INT((MONTH(Data3[[#This Row],[OrderDate]])-1)/3)+1&amp;"-"&amp;YEAR(Data3[[#This Row],[OrderDate]])</f>
        <v>Q2-2023</v>
      </c>
      <c r="E33" s="2">
        <v>45101</v>
      </c>
      <c r="F33" t="s">
        <v>52</v>
      </c>
      <c r="G33" t="s">
        <v>122</v>
      </c>
      <c r="H33" s="4" t="s">
        <v>167</v>
      </c>
      <c r="I33" t="s">
        <v>19</v>
      </c>
      <c r="J33" s="4" t="s">
        <v>20</v>
      </c>
      <c r="K33" s="4" t="s">
        <v>34</v>
      </c>
      <c r="L33" t="s">
        <v>30</v>
      </c>
      <c r="M33" s="4" t="s">
        <v>168</v>
      </c>
      <c r="N33" s="3">
        <v>313.99</v>
      </c>
      <c r="O33" s="3">
        <v>454.42</v>
      </c>
      <c r="P33" s="3">
        <v>0.129</v>
      </c>
      <c r="Q33" s="3">
        <v>9</v>
      </c>
      <c r="R33" t="s">
        <v>34</v>
      </c>
      <c r="S33" t="s">
        <v>167</v>
      </c>
      <c r="T33" t="s">
        <v>20</v>
      </c>
      <c r="U33">
        <v>454.42</v>
      </c>
      <c r="V33" t="str" cm="1">
        <f t="array" ref="V33">_xlfn.IFS(Data3[[#This Row],[CorrectedUnitPriceCustom]]&lt;=$W$2, "Low",Data3[[#This Row],[CorrectedUnitPriceCustom]]&lt;=$Y$2, "Medium", TRUE, "High")</f>
        <v>Low</v>
      </c>
      <c r="W33">
        <f t="shared" si="0"/>
        <v>620.92999999999995</v>
      </c>
      <c r="X33">
        <f t="shared" si="1"/>
        <v>1285.0899999999999</v>
      </c>
      <c r="Y33">
        <f t="shared" si="2"/>
        <v>1913.76</v>
      </c>
      <c r="Z33">
        <v>0.129</v>
      </c>
      <c r="AA33" t="s">
        <v>1372</v>
      </c>
      <c r="AB33" s="1">
        <v>45101</v>
      </c>
      <c r="AC33">
        <v>7</v>
      </c>
      <c r="AD33" s="5">
        <f>Data3[[#This Row],[UnitPrice]]*Data3[[#This Row],[Quantity]]*(1-Data3[[#This Row],[DiscountPct]])</f>
        <v>3562.1983800000003</v>
      </c>
      <c r="AE33" s="6">
        <f>Data3[[#This Row],[UnitPrice]]*Data3[[#This Row],[Quantity]]</f>
        <v>4089.78</v>
      </c>
      <c r="AF33" s="6">
        <f>Data3[[#This Row],[GrossRevenue]]-(Data3[[#This Row],[Quantity]]*Data3[[#This Row],[UnitCost]])</f>
        <v>736.28838000000042</v>
      </c>
      <c r="AG33" s="6" t="str">
        <f>TEXT(Data3[[#This Row],[OrderDate]], "mmm-yyyy")</f>
        <v>Jun-2023</v>
      </c>
      <c r="AH33" s="7">
        <f>IF(Data3[[#This Row],[GrossRevenue]]=0, 0,Data3[[#This Row],[GrossProfit]]/Data3[[#This Row],[GrossRevenue]])</f>
        <v>0.20669493988147858</v>
      </c>
      <c r="AI33" s="5">
        <f t="shared" si="3"/>
        <v>3562.1983800000003</v>
      </c>
    </row>
    <row r="34" spans="1:35" x14ac:dyDescent="0.35">
      <c r="A34" s="4" t="s">
        <v>169</v>
      </c>
      <c r="B34" s="2">
        <v>45531</v>
      </c>
      <c r="C34" s="2" t="str">
        <f>TEXT(Data3[[#This Row],[OrderDate]],"MMM-YYYY")</f>
        <v>Aug-2024</v>
      </c>
      <c r="D34" s="4" t="str">
        <f>"Q"&amp;INT((MONTH(Data3[[#This Row],[OrderDate]])-1)/3)+1&amp;"-"&amp;YEAR(Data3[[#This Row],[OrderDate]])</f>
        <v>Q3-2024</v>
      </c>
      <c r="E34" s="2">
        <v>45554</v>
      </c>
      <c r="F34" t="s">
        <v>78</v>
      </c>
      <c r="G34" t="s">
        <v>79</v>
      </c>
      <c r="H34" s="4" t="s">
        <v>80</v>
      </c>
      <c r="I34" t="s">
        <v>62</v>
      </c>
      <c r="J34" s="4" t="s">
        <v>98</v>
      </c>
      <c r="K34" s="4" t="s">
        <v>145</v>
      </c>
      <c r="L34" t="s">
        <v>64</v>
      </c>
      <c r="M34" s="4" t="s">
        <v>170</v>
      </c>
      <c r="N34" s="3">
        <v>1024.01</v>
      </c>
      <c r="O34" s="3">
        <v>1580.97</v>
      </c>
      <c r="P34" s="3">
        <v>3.6999999999999998E-2</v>
      </c>
      <c r="Q34" s="3">
        <v>27</v>
      </c>
      <c r="R34" t="s">
        <v>145</v>
      </c>
      <c r="S34" t="s">
        <v>80</v>
      </c>
      <c r="T34" t="s">
        <v>98</v>
      </c>
      <c r="U34">
        <v>1580.97</v>
      </c>
      <c r="V34" t="str" cm="1">
        <f t="array" ref="V34">_xlfn.IFS(Data3[[#This Row],[CorrectedUnitPriceCustom]]&lt;=$W$2, "Low",Data3[[#This Row],[CorrectedUnitPriceCustom]]&lt;=$Y$2, "Medium", TRUE, "High")</f>
        <v>Medium</v>
      </c>
      <c r="W34">
        <f t="shared" si="0"/>
        <v>620.99749999999995</v>
      </c>
      <c r="X34">
        <f t="shared" si="1"/>
        <v>1301.73</v>
      </c>
      <c r="Y34">
        <f t="shared" ref="Y34:Y65" si="4">_xlfn.PERCENTILE.INC(U34:U261,0.75)</f>
        <v>1923.33</v>
      </c>
      <c r="Z34">
        <v>3.6999999999999998E-2</v>
      </c>
      <c r="AA34" t="s">
        <v>1372</v>
      </c>
      <c r="AB34" s="1">
        <v>45554</v>
      </c>
      <c r="AC34">
        <v>23</v>
      </c>
      <c r="AD34" s="5">
        <f>Data3[[#This Row],[UnitPrice]]*Data3[[#This Row],[Quantity]]*(1-Data3[[#This Row],[DiscountPct]])</f>
        <v>41106.800970000004</v>
      </c>
      <c r="AE34" s="6">
        <f>Data3[[#This Row],[UnitPrice]]*Data3[[#This Row],[Quantity]]</f>
        <v>42686.19</v>
      </c>
      <c r="AF34" s="6">
        <f>Data3[[#This Row],[GrossRevenue]]-(Data3[[#This Row],[Quantity]]*Data3[[#This Row],[UnitCost]])</f>
        <v>13458.530970000003</v>
      </c>
      <c r="AG34" s="6" t="str">
        <f>TEXT(Data3[[#This Row],[OrderDate]], "mmm-yyyy")</f>
        <v>Aug-2024</v>
      </c>
      <c r="AH34" s="7">
        <f>IF(Data3[[#This Row],[GrossRevenue]]=0, 0,Data3[[#This Row],[GrossProfit]]/Data3[[#This Row],[GrossRevenue]])</f>
        <v>0.3274039976942531</v>
      </c>
      <c r="AI34" s="5">
        <f t="shared" si="3"/>
        <v>41106.800970000004</v>
      </c>
    </row>
    <row r="35" spans="1:35" x14ac:dyDescent="0.35">
      <c r="A35" s="4" t="s">
        <v>174</v>
      </c>
      <c r="B35" s="2">
        <v>45590</v>
      </c>
      <c r="C35" s="2" t="str">
        <f>TEXT(Data3[[#This Row],[OrderDate]],"MMM-YYYY")</f>
        <v>Oct-2024</v>
      </c>
      <c r="D35" s="4" t="str">
        <f>"Q"&amp;INT((MONTH(Data3[[#This Row],[OrderDate]])-1)/3)+1&amp;"-"&amp;YEAR(Data3[[#This Row],[OrderDate]])</f>
        <v>Q4-2024</v>
      </c>
      <c r="E35" s="2">
        <v>45610</v>
      </c>
      <c r="F35" t="s">
        <v>16</v>
      </c>
      <c r="G35" t="s">
        <v>17</v>
      </c>
      <c r="H35" s="4" t="s">
        <v>113</v>
      </c>
      <c r="I35" t="s">
        <v>19</v>
      </c>
      <c r="J35" s="4" t="s">
        <v>98</v>
      </c>
      <c r="K35" s="4" t="s">
        <v>92</v>
      </c>
      <c r="L35" t="s">
        <v>30</v>
      </c>
      <c r="M35" s="4" t="s">
        <v>175</v>
      </c>
      <c r="N35" s="3">
        <v>1396.48</v>
      </c>
      <c r="O35" s="3">
        <v>3204.5</v>
      </c>
      <c r="P35" s="3">
        <v>0.318</v>
      </c>
      <c r="Q35" s="3">
        <v>14</v>
      </c>
      <c r="R35" t="s">
        <v>92</v>
      </c>
      <c r="S35" t="s">
        <v>113</v>
      </c>
      <c r="T35" t="s">
        <v>98</v>
      </c>
      <c r="U35">
        <v>3204.5</v>
      </c>
      <c r="V35" t="str" cm="1">
        <f t="array" ref="V35">_xlfn.IFS(Data3[[#This Row],[CorrectedUnitPriceCustom]]&lt;=$W$2, "Low",Data3[[#This Row],[CorrectedUnitPriceCustom]]&lt;=$Y$2, "Medium", TRUE, "High")</f>
        <v>High</v>
      </c>
      <c r="W35">
        <f t="shared" si="0"/>
        <v>620.97499999999991</v>
      </c>
      <c r="X35">
        <f t="shared" si="1"/>
        <v>1285.0899999999999</v>
      </c>
      <c r="Y35">
        <f t="shared" si="4"/>
        <v>1932.9</v>
      </c>
      <c r="Z35">
        <v>0.3</v>
      </c>
      <c r="AA35" t="s">
        <v>1373</v>
      </c>
      <c r="AB35" s="1">
        <v>45610</v>
      </c>
      <c r="AC35">
        <v>20</v>
      </c>
      <c r="AD35" s="5">
        <f>Data3[[#This Row],[UnitPrice]]*Data3[[#This Row],[Quantity]]*(1-Data3[[#This Row],[DiscountPct]])</f>
        <v>30596.565999999999</v>
      </c>
      <c r="AE35" s="6">
        <f>Data3[[#This Row],[UnitPrice]]*Data3[[#This Row],[Quantity]]</f>
        <v>44863</v>
      </c>
      <c r="AF35" s="6">
        <f>Data3[[#This Row],[GrossRevenue]]-(Data3[[#This Row],[Quantity]]*Data3[[#This Row],[UnitCost]])</f>
        <v>11045.845999999998</v>
      </c>
      <c r="AG35" s="6" t="str">
        <f>TEXT(Data3[[#This Row],[OrderDate]], "mmm-yyyy")</f>
        <v>Oct-2024</v>
      </c>
      <c r="AH35" s="7">
        <f>IF(Data3[[#This Row],[GrossRevenue]]=0, 0,Data3[[#This Row],[GrossProfit]]/Data3[[#This Row],[GrossRevenue]])</f>
        <v>0.36101587348070363</v>
      </c>
      <c r="AI35" s="5">
        <f t="shared" si="3"/>
        <v>30596.565999999999</v>
      </c>
    </row>
    <row r="36" spans="1:35" x14ac:dyDescent="0.35">
      <c r="A36" s="4" t="s">
        <v>176</v>
      </c>
      <c r="B36" s="2">
        <v>45806</v>
      </c>
      <c r="C36" s="2" t="str">
        <f>TEXT(Data3[[#This Row],[OrderDate]],"MMM-YYYY")</f>
        <v>May-2025</v>
      </c>
      <c r="D36" s="4" t="str">
        <f>"Q"&amp;INT((MONTH(Data3[[#This Row],[OrderDate]])-1)/3)+1&amp;"-"&amp;YEAR(Data3[[#This Row],[OrderDate]])</f>
        <v>Q2-2025</v>
      </c>
      <c r="E36" s="2">
        <v>45828</v>
      </c>
      <c r="F36" t="s">
        <v>78</v>
      </c>
      <c r="G36" t="s">
        <v>79</v>
      </c>
      <c r="H36" s="4" t="s">
        <v>80</v>
      </c>
      <c r="I36" t="s">
        <v>19</v>
      </c>
      <c r="J36" s="4" t="s">
        <v>98</v>
      </c>
      <c r="K36" s="4" t="s">
        <v>75</v>
      </c>
      <c r="L36" t="s">
        <v>30</v>
      </c>
      <c r="M36" s="4" t="s">
        <v>177</v>
      </c>
      <c r="N36" s="3">
        <v>483.47</v>
      </c>
      <c r="O36" s="3">
        <v>1135.43</v>
      </c>
      <c r="P36" s="3">
        <v>0.14599999999999999</v>
      </c>
      <c r="Q36" s="3">
        <v>11</v>
      </c>
      <c r="R36" t="s">
        <v>75</v>
      </c>
      <c r="S36" t="s">
        <v>80</v>
      </c>
      <c r="T36" t="s">
        <v>98</v>
      </c>
      <c r="U36">
        <v>1135.43</v>
      </c>
      <c r="V36" t="str" cm="1">
        <f t="array" ref="V36">_xlfn.IFS(Data3[[#This Row],[CorrectedUnitPriceCustom]]&lt;=$W$2, "Low",Data3[[#This Row],[CorrectedUnitPriceCustom]]&lt;=$Y$2, "Medium", TRUE, "High")</f>
        <v>Medium</v>
      </c>
      <c r="W36">
        <f t="shared" si="0"/>
        <v>620.95249999999999</v>
      </c>
      <c r="X36">
        <f t="shared" si="1"/>
        <v>1277.2449999999999</v>
      </c>
      <c r="Y36">
        <f t="shared" si="4"/>
        <v>1913.52</v>
      </c>
      <c r="Z36">
        <v>0.14599999999999999</v>
      </c>
      <c r="AA36" t="s">
        <v>1372</v>
      </c>
      <c r="AB36" s="1">
        <v>45828</v>
      </c>
      <c r="AC36">
        <v>22</v>
      </c>
      <c r="AD36" s="5">
        <f>Data3[[#This Row],[UnitPrice]]*Data3[[#This Row],[Quantity]]*(1-Data3[[#This Row],[DiscountPct]])</f>
        <v>10666.229420000001</v>
      </c>
      <c r="AE36" s="6">
        <f>Data3[[#This Row],[UnitPrice]]*Data3[[#This Row],[Quantity]]</f>
        <v>12489.730000000001</v>
      </c>
      <c r="AF36" s="6">
        <f>Data3[[#This Row],[GrossRevenue]]-(Data3[[#This Row],[Quantity]]*Data3[[#This Row],[UnitCost]])</f>
        <v>5348.0594200000014</v>
      </c>
      <c r="AG36" s="6" t="str">
        <f>TEXT(Data3[[#This Row],[OrderDate]], "mmm-yyyy")</f>
        <v>May-2025</v>
      </c>
      <c r="AH36" s="7">
        <f>IF(Data3[[#This Row],[GrossRevenue]]=0, 0,Data3[[#This Row],[GrossProfit]]/Data3[[#This Row],[GrossRevenue]])</f>
        <v>0.50140112399719983</v>
      </c>
      <c r="AI36" s="5">
        <f t="shared" si="3"/>
        <v>10666.229420000001</v>
      </c>
    </row>
    <row r="37" spans="1:35" x14ac:dyDescent="0.35">
      <c r="A37" s="4" t="s">
        <v>178</v>
      </c>
      <c r="B37" s="2">
        <v>45432</v>
      </c>
      <c r="C37" s="2" t="str">
        <f>TEXT(Data3[[#This Row],[OrderDate]],"MMM-YYYY")</f>
        <v>May-2024</v>
      </c>
      <c r="D37" s="4" t="str">
        <f>"Q"&amp;INT((MONTH(Data3[[#This Row],[OrderDate]])-1)/3)+1&amp;"-"&amp;YEAR(Data3[[#This Row],[OrderDate]])</f>
        <v>Q2-2024</v>
      </c>
      <c r="E37" s="2">
        <v>45445</v>
      </c>
      <c r="F37" t="s">
        <v>52</v>
      </c>
      <c r="G37" t="s">
        <v>53</v>
      </c>
      <c r="H37" s="4" t="s">
        <v>179</v>
      </c>
      <c r="I37" t="s">
        <v>105</v>
      </c>
      <c r="J37" s="4" t="s">
        <v>40</v>
      </c>
      <c r="K37" s="4" t="s">
        <v>95</v>
      </c>
      <c r="L37" t="s">
        <v>22</v>
      </c>
      <c r="M37" s="4" t="s">
        <v>180</v>
      </c>
      <c r="N37" s="3">
        <v>675.43</v>
      </c>
      <c r="O37" s="3">
        <v>996.36</v>
      </c>
      <c r="P37" s="3">
        <v>0.182</v>
      </c>
      <c r="Q37" s="3">
        <v>22</v>
      </c>
      <c r="R37" t="s">
        <v>95</v>
      </c>
      <c r="S37" t="s">
        <v>179</v>
      </c>
      <c r="T37" t="s">
        <v>40</v>
      </c>
      <c r="U37">
        <v>996.36</v>
      </c>
      <c r="V37" t="str" cm="1">
        <f t="array" ref="V37">_xlfn.IFS(Data3[[#This Row],[CorrectedUnitPriceCustom]]&lt;=$W$2, "Low",Data3[[#This Row],[CorrectedUnitPriceCustom]]&lt;=$Y$2, "Medium", TRUE, "High")</f>
        <v>Medium</v>
      </c>
      <c r="W37">
        <f t="shared" si="0"/>
        <v>620.92999999999995</v>
      </c>
      <c r="X37">
        <f t="shared" si="1"/>
        <v>1285.0899999999999</v>
      </c>
      <c r="Y37">
        <f t="shared" si="4"/>
        <v>1913.76</v>
      </c>
      <c r="Z37">
        <v>0.182</v>
      </c>
      <c r="AA37" t="s">
        <v>1372</v>
      </c>
      <c r="AB37" s="1">
        <v>45445</v>
      </c>
      <c r="AC37">
        <v>13</v>
      </c>
      <c r="AD37" s="5">
        <f>Data3[[#This Row],[UnitPrice]]*Data3[[#This Row],[Quantity]]*(1-Data3[[#This Row],[DiscountPct]])</f>
        <v>17930.494560000003</v>
      </c>
      <c r="AE37" s="6">
        <f>Data3[[#This Row],[UnitPrice]]*Data3[[#This Row],[Quantity]]</f>
        <v>21919.920000000002</v>
      </c>
      <c r="AF37" s="6">
        <f>Data3[[#This Row],[GrossRevenue]]-(Data3[[#This Row],[Quantity]]*Data3[[#This Row],[UnitCost]])</f>
        <v>3071.0345600000037</v>
      </c>
      <c r="AG37" s="6" t="str">
        <f>TEXT(Data3[[#This Row],[OrderDate]], "mmm-yyyy")</f>
        <v>May-2024</v>
      </c>
      <c r="AH37" s="7">
        <f>IF(Data3[[#This Row],[GrossRevenue]]=0, 0,Data3[[#This Row],[GrossProfit]]/Data3[[#This Row],[GrossRevenue]])</f>
        <v>0.17127439233332575</v>
      </c>
      <c r="AI37" s="5">
        <f t="shared" si="3"/>
        <v>17930.494560000003</v>
      </c>
    </row>
    <row r="38" spans="1:35" x14ac:dyDescent="0.35">
      <c r="A38" s="4" t="s">
        <v>181</v>
      </c>
      <c r="B38" s="2">
        <v>45035</v>
      </c>
      <c r="C38" s="2" t="str">
        <f>TEXT(Data3[[#This Row],[OrderDate]],"MMM-YYYY")</f>
        <v>Apr-2023</v>
      </c>
      <c r="D38" s="4" t="str">
        <f>"Q"&amp;INT((MONTH(Data3[[#This Row],[OrderDate]])-1)/3)+1&amp;"-"&amp;YEAR(Data3[[#This Row],[OrderDate]])</f>
        <v>Q2-2023</v>
      </c>
      <c r="E38" s="2">
        <v>45046</v>
      </c>
      <c r="F38" t="s">
        <v>45</v>
      </c>
      <c r="G38" t="s">
        <v>60</v>
      </c>
      <c r="H38" s="4" t="s">
        <v>141</v>
      </c>
      <c r="I38" t="s">
        <v>62</v>
      </c>
      <c r="J38" s="4" t="s">
        <v>20</v>
      </c>
      <c r="K38" s="4" t="s">
        <v>75</v>
      </c>
      <c r="L38" t="s">
        <v>35</v>
      </c>
      <c r="M38" s="4" t="s">
        <v>182</v>
      </c>
      <c r="N38" s="3">
        <v>826.55</v>
      </c>
      <c r="O38" s="3">
        <v>1397.05</v>
      </c>
      <c r="P38" s="3">
        <v>0.16900000000000001</v>
      </c>
      <c r="Q38" s="3">
        <v>28</v>
      </c>
      <c r="R38" t="s">
        <v>75</v>
      </c>
      <c r="S38" t="s">
        <v>141</v>
      </c>
      <c r="T38" t="s">
        <v>20</v>
      </c>
      <c r="U38">
        <v>1397.05</v>
      </c>
      <c r="V38" t="str" cm="1">
        <f t="array" ref="V38">_xlfn.IFS(Data3[[#This Row],[CorrectedUnitPriceCustom]]&lt;=$W$2, "Low",Data3[[#This Row],[CorrectedUnitPriceCustom]]&lt;=$Y$2, "Medium", TRUE, "High")</f>
        <v>Medium</v>
      </c>
      <c r="W38">
        <f t="shared" si="0"/>
        <v>620.57499999999993</v>
      </c>
      <c r="X38">
        <f t="shared" si="1"/>
        <v>1301.73</v>
      </c>
      <c r="Y38">
        <f t="shared" si="4"/>
        <v>1923.33</v>
      </c>
      <c r="Z38">
        <v>0.16900000000000001</v>
      </c>
      <c r="AA38" t="s">
        <v>1372</v>
      </c>
      <c r="AB38" s="1">
        <v>45046</v>
      </c>
      <c r="AC38">
        <v>11</v>
      </c>
      <c r="AD38" s="5">
        <f>Data3[[#This Row],[UnitPrice]]*Data3[[#This Row],[Quantity]]*(1-Data3[[#This Row],[DiscountPct]])</f>
        <v>32506.559399999998</v>
      </c>
      <c r="AE38" s="6">
        <f>Data3[[#This Row],[UnitPrice]]*Data3[[#This Row],[Quantity]]</f>
        <v>39117.4</v>
      </c>
      <c r="AF38" s="6">
        <f>Data3[[#This Row],[GrossRevenue]]-(Data3[[#This Row],[Quantity]]*Data3[[#This Row],[UnitCost]])</f>
        <v>9363.1594000000005</v>
      </c>
      <c r="AG38" s="6" t="str">
        <f>TEXT(Data3[[#This Row],[OrderDate]], "mmm-yyyy")</f>
        <v>Apr-2023</v>
      </c>
      <c r="AH38" s="7">
        <f>IF(Data3[[#This Row],[GrossRevenue]]=0, 0,Data3[[#This Row],[GrossProfit]]/Data3[[#This Row],[GrossRevenue]])</f>
        <v>0.28803907804527601</v>
      </c>
      <c r="AI38" s="5">
        <f t="shared" si="3"/>
        <v>32506.559399999998</v>
      </c>
    </row>
    <row r="39" spans="1:35" x14ac:dyDescent="0.35">
      <c r="A39" s="4" t="s">
        <v>187</v>
      </c>
      <c r="B39" s="2">
        <v>45579</v>
      </c>
      <c r="C39" s="2" t="str">
        <f>TEXT(Data3[[#This Row],[OrderDate]],"MMM-YYYY")</f>
        <v>Oct-2024</v>
      </c>
      <c r="D39" s="4" t="str">
        <f>"Q"&amp;INT((MONTH(Data3[[#This Row],[OrderDate]])-1)/3)+1&amp;"-"&amp;YEAR(Data3[[#This Row],[OrderDate]])</f>
        <v>Q4-2024</v>
      </c>
      <c r="E39" s="2">
        <v>45604</v>
      </c>
      <c r="F39" t="s">
        <v>16</v>
      </c>
      <c r="G39" t="s">
        <v>25</v>
      </c>
      <c r="H39" s="4" t="s">
        <v>38</v>
      </c>
      <c r="I39" t="s">
        <v>105</v>
      </c>
      <c r="J39" s="4" t="s">
        <v>28</v>
      </c>
      <c r="K39" s="4" t="s">
        <v>68</v>
      </c>
      <c r="L39" t="s">
        <v>35</v>
      </c>
      <c r="M39" s="4" t="s">
        <v>188</v>
      </c>
      <c r="N39" s="3">
        <v>859.35</v>
      </c>
      <c r="O39" s="3">
        <v>1825.61</v>
      </c>
      <c r="P39" s="3">
        <v>0.187</v>
      </c>
      <c r="Q39" s="3">
        <v>24</v>
      </c>
      <c r="R39" t="s">
        <v>68</v>
      </c>
      <c r="S39" t="s">
        <v>38</v>
      </c>
      <c r="T39" t="s">
        <v>28</v>
      </c>
      <c r="U39">
        <v>1825.61</v>
      </c>
      <c r="V39" t="str" cm="1">
        <f t="array" ref="V39">_xlfn.IFS(Data3[[#This Row],[CorrectedUnitPriceCustom]]&lt;=$W$2, "Low",Data3[[#This Row],[CorrectedUnitPriceCustom]]&lt;=$Y$2, "Medium", TRUE, "High")</f>
        <v>Medium</v>
      </c>
      <c r="W39">
        <f t="shared" si="0"/>
        <v>620.22</v>
      </c>
      <c r="X39">
        <f t="shared" si="1"/>
        <v>1285.0899999999999</v>
      </c>
      <c r="Y39">
        <f t="shared" si="4"/>
        <v>1932.9</v>
      </c>
      <c r="Z39">
        <v>0.187</v>
      </c>
      <c r="AA39" t="s">
        <v>1372</v>
      </c>
      <c r="AB39" s="1">
        <v>45604</v>
      </c>
      <c r="AC39">
        <v>25</v>
      </c>
      <c r="AD39" s="5">
        <f>Data3[[#This Row],[UnitPrice]]*Data3[[#This Row],[Quantity]]*(1-Data3[[#This Row],[DiscountPct]])</f>
        <v>35621.302319999995</v>
      </c>
      <c r="AE39" s="6">
        <f>Data3[[#This Row],[UnitPrice]]*Data3[[#This Row],[Quantity]]</f>
        <v>43814.64</v>
      </c>
      <c r="AF39" s="6">
        <f>Data3[[#This Row],[GrossRevenue]]-(Data3[[#This Row],[Quantity]]*Data3[[#This Row],[UnitCost]])</f>
        <v>14996.902319999994</v>
      </c>
      <c r="AG39" s="6" t="str">
        <f>TEXT(Data3[[#This Row],[OrderDate]], "mmm-yyyy")</f>
        <v>Oct-2024</v>
      </c>
      <c r="AH39" s="7">
        <f>IF(Data3[[#This Row],[GrossRevenue]]=0, 0,Data3[[#This Row],[GrossProfit]]/Data3[[#This Row],[GrossRevenue]])</f>
        <v>0.42100937762681989</v>
      </c>
      <c r="AI39" s="5">
        <f t="shared" si="3"/>
        <v>35621.302319999995</v>
      </c>
    </row>
    <row r="40" spans="1:35" x14ac:dyDescent="0.35">
      <c r="A40" s="4" t="s">
        <v>189</v>
      </c>
      <c r="B40" s="2">
        <v>45117</v>
      </c>
      <c r="C40" s="2" t="str">
        <f>TEXT(Data3[[#This Row],[OrderDate]],"MMM-YYYY")</f>
        <v>Jul-2023</v>
      </c>
      <c r="D40" s="4" t="str">
        <f>"Q"&amp;INT((MONTH(Data3[[#This Row],[OrderDate]])-1)/3)+1&amp;"-"&amp;YEAR(Data3[[#This Row],[OrderDate]])</f>
        <v>Q3-2023</v>
      </c>
      <c r="E40" s="2">
        <v>45139</v>
      </c>
      <c r="F40" t="s">
        <v>78</v>
      </c>
      <c r="G40" t="s">
        <v>90</v>
      </c>
      <c r="H40" s="4" t="s">
        <v>91</v>
      </c>
      <c r="I40" t="s">
        <v>48</v>
      </c>
      <c r="J40" s="4" t="s">
        <v>40</v>
      </c>
      <c r="K40" s="4" t="s">
        <v>56</v>
      </c>
      <c r="L40" t="s">
        <v>30</v>
      </c>
      <c r="M40" s="4" t="s">
        <v>190</v>
      </c>
      <c r="N40" s="3">
        <v>1303.56</v>
      </c>
      <c r="O40" s="3">
        <v>1791.37</v>
      </c>
      <c r="P40" s="3">
        <v>0.126</v>
      </c>
      <c r="Q40" s="3">
        <v>22</v>
      </c>
      <c r="R40" t="s">
        <v>56</v>
      </c>
      <c r="S40" t="s">
        <v>91</v>
      </c>
      <c r="T40" t="s">
        <v>40</v>
      </c>
      <c r="U40">
        <v>1791.37</v>
      </c>
      <c r="V40" t="str" cm="1">
        <f t="array" ref="V40">_xlfn.IFS(Data3[[#This Row],[CorrectedUnitPriceCustom]]&lt;=$W$2, "Low",Data3[[#This Row],[CorrectedUnitPriceCustom]]&lt;=$Y$2, "Medium", TRUE, "High")</f>
        <v>Medium</v>
      </c>
      <c r="W40">
        <f t="shared" si="0"/>
        <v>619.86500000000001</v>
      </c>
      <c r="X40">
        <f t="shared" si="1"/>
        <v>1277.2449999999999</v>
      </c>
      <c r="Y40">
        <f t="shared" si="4"/>
        <v>1942.47</v>
      </c>
      <c r="Z40">
        <v>0.126</v>
      </c>
      <c r="AA40" t="s">
        <v>1372</v>
      </c>
      <c r="AB40" s="1">
        <v>45139</v>
      </c>
      <c r="AC40">
        <v>22</v>
      </c>
      <c r="AD40" s="5">
        <f>Data3[[#This Row],[UnitPrice]]*Data3[[#This Row],[Quantity]]*(1-Data3[[#This Row],[DiscountPct]])</f>
        <v>34444.462359999998</v>
      </c>
      <c r="AE40" s="6">
        <f>Data3[[#This Row],[UnitPrice]]*Data3[[#This Row],[Quantity]]</f>
        <v>39410.14</v>
      </c>
      <c r="AF40" s="6">
        <f>Data3[[#This Row],[GrossRevenue]]-(Data3[[#This Row],[Quantity]]*Data3[[#This Row],[UnitCost]])</f>
        <v>5766.142359999998</v>
      </c>
      <c r="AG40" s="6" t="str">
        <f>TEXT(Data3[[#This Row],[OrderDate]], "mmm-yyyy")</f>
        <v>Jul-2023</v>
      </c>
      <c r="AH40" s="7">
        <f>IF(Data3[[#This Row],[GrossRevenue]]=0, 0,Data3[[#This Row],[GrossProfit]]/Data3[[#This Row],[GrossRevenue]])</f>
        <v>0.16740404596055358</v>
      </c>
      <c r="AI40" s="5">
        <f t="shared" si="3"/>
        <v>34444.462359999998</v>
      </c>
    </row>
    <row r="41" spans="1:35" x14ac:dyDescent="0.35">
      <c r="A41" s="4" t="s">
        <v>191</v>
      </c>
      <c r="B41" s="2">
        <v>45602</v>
      </c>
      <c r="C41" s="2" t="str">
        <f>TEXT(Data3[[#This Row],[OrderDate]],"MMM-YYYY")</f>
        <v>Nov-2024</v>
      </c>
      <c r="D41" s="4" t="str">
        <f>"Q"&amp;INT((MONTH(Data3[[#This Row],[OrderDate]])-1)/3)+1&amp;"-"&amp;YEAR(Data3[[#This Row],[OrderDate]])</f>
        <v>Q4-2024</v>
      </c>
      <c r="E41" s="2">
        <v>45618</v>
      </c>
      <c r="F41" t="s">
        <v>52</v>
      </c>
      <c r="G41" t="s">
        <v>53</v>
      </c>
      <c r="H41" s="4" t="s">
        <v>54</v>
      </c>
      <c r="I41" t="s">
        <v>39</v>
      </c>
      <c r="J41" s="4" t="s">
        <v>55</v>
      </c>
      <c r="K41" s="4" t="s">
        <v>145</v>
      </c>
      <c r="L41" t="s">
        <v>81</v>
      </c>
      <c r="M41" s="4" t="s">
        <v>192</v>
      </c>
      <c r="N41" s="3">
        <v>1454.11</v>
      </c>
      <c r="O41" s="3">
        <v>2629.75</v>
      </c>
      <c r="P41" s="3">
        <v>0.29199999999999998</v>
      </c>
      <c r="Q41" s="3">
        <v>8</v>
      </c>
      <c r="R41" t="s">
        <v>145</v>
      </c>
      <c r="S41" t="s">
        <v>54</v>
      </c>
      <c r="T41" t="s">
        <v>55</v>
      </c>
      <c r="U41">
        <v>2629.75</v>
      </c>
      <c r="V41" t="str" cm="1">
        <f t="array" ref="V41">_xlfn.IFS(Data3[[#This Row],[CorrectedUnitPriceCustom]]&lt;=$W$2, "Low",Data3[[#This Row],[CorrectedUnitPriceCustom]]&lt;=$Y$2, "Medium", TRUE, "High")</f>
        <v>High</v>
      </c>
      <c r="W41">
        <f t="shared" si="0"/>
        <v>619.51</v>
      </c>
      <c r="X41">
        <f t="shared" si="1"/>
        <v>1269.4000000000001</v>
      </c>
      <c r="Y41">
        <f t="shared" si="4"/>
        <v>1952.04</v>
      </c>
      <c r="Z41">
        <v>0.29199999999999998</v>
      </c>
      <c r="AA41" t="s">
        <v>1372</v>
      </c>
      <c r="AB41" s="1">
        <v>45618</v>
      </c>
      <c r="AC41">
        <v>16</v>
      </c>
      <c r="AD41" s="5">
        <f>Data3[[#This Row],[UnitPrice]]*Data3[[#This Row],[Quantity]]*(1-Data3[[#This Row],[DiscountPct]])</f>
        <v>14894.903999999999</v>
      </c>
      <c r="AE41" s="6">
        <f>Data3[[#This Row],[UnitPrice]]*Data3[[#This Row],[Quantity]]</f>
        <v>21038</v>
      </c>
      <c r="AF41" s="6">
        <f>Data3[[#This Row],[GrossRevenue]]-(Data3[[#This Row],[Quantity]]*Data3[[#This Row],[UnitCost]])</f>
        <v>3262.0239999999994</v>
      </c>
      <c r="AG41" s="6" t="str">
        <f>TEXT(Data3[[#This Row],[OrderDate]], "mmm-yyyy")</f>
        <v>Nov-2024</v>
      </c>
      <c r="AH41" s="7">
        <f>IF(Data3[[#This Row],[GrossRevenue]]=0, 0,Data3[[#This Row],[GrossProfit]]/Data3[[#This Row],[GrossRevenue]])</f>
        <v>0.21900268709351867</v>
      </c>
      <c r="AI41" s="5">
        <f t="shared" si="3"/>
        <v>14894.903999999999</v>
      </c>
    </row>
    <row r="42" spans="1:35" x14ac:dyDescent="0.35">
      <c r="A42" s="4" t="s">
        <v>193</v>
      </c>
      <c r="B42" s="2">
        <v>45582</v>
      </c>
      <c r="C42" s="2" t="str">
        <f>TEXT(Data3[[#This Row],[OrderDate]],"MMM-YYYY")</f>
        <v>Oct-2024</v>
      </c>
      <c r="D42" s="4" t="str">
        <f>"Q"&amp;INT((MONTH(Data3[[#This Row],[OrderDate]])-1)/3)+1&amp;"-"&amp;YEAR(Data3[[#This Row],[OrderDate]])</f>
        <v>Q4-2024</v>
      </c>
      <c r="E42" s="2">
        <v>45602</v>
      </c>
      <c r="F42" t="s">
        <v>45</v>
      </c>
      <c r="G42" t="s">
        <v>60</v>
      </c>
      <c r="H42" s="4" t="s">
        <v>61</v>
      </c>
      <c r="I42" t="s">
        <v>105</v>
      </c>
      <c r="J42" s="4" t="s">
        <v>55</v>
      </c>
      <c r="K42" s="4" t="s">
        <v>68</v>
      </c>
      <c r="L42" t="s">
        <v>64</v>
      </c>
      <c r="M42" s="4" t="s">
        <v>194</v>
      </c>
      <c r="N42" s="3">
        <v>72.94</v>
      </c>
      <c r="O42" s="3">
        <v>106.3</v>
      </c>
      <c r="P42" s="3">
        <v>0.29499999999999998</v>
      </c>
      <c r="Q42" s="3">
        <v>8</v>
      </c>
      <c r="R42" t="s">
        <v>68</v>
      </c>
      <c r="S42" t="s">
        <v>61</v>
      </c>
      <c r="T42" t="s">
        <v>55</v>
      </c>
      <c r="U42">
        <v>106.3</v>
      </c>
      <c r="V42" t="str" cm="1">
        <f t="array" ref="V42">_xlfn.IFS(Data3[[#This Row],[CorrectedUnitPriceCustom]]&lt;=$W$2, "Low",Data3[[#This Row],[CorrectedUnitPriceCustom]]&lt;=$Y$2, "Medium", TRUE, "High")</f>
        <v>Low</v>
      </c>
      <c r="W42">
        <f t="shared" si="0"/>
        <v>616.32249999999999</v>
      </c>
      <c r="X42">
        <f t="shared" si="1"/>
        <v>1262.1750000000002</v>
      </c>
      <c r="Y42">
        <f t="shared" si="4"/>
        <v>1923.33</v>
      </c>
      <c r="Z42">
        <v>0.29499999999999998</v>
      </c>
      <c r="AA42" t="s">
        <v>1372</v>
      </c>
      <c r="AB42" s="1">
        <v>45602</v>
      </c>
      <c r="AC42">
        <v>20</v>
      </c>
      <c r="AD42" s="5">
        <f>Data3[[#This Row],[UnitPrice]]*Data3[[#This Row],[Quantity]]*(1-Data3[[#This Row],[DiscountPct]])</f>
        <v>599.53200000000004</v>
      </c>
      <c r="AE42" s="6">
        <f>Data3[[#This Row],[UnitPrice]]*Data3[[#This Row],[Quantity]]</f>
        <v>850.4</v>
      </c>
      <c r="AF42" s="6">
        <f>Data3[[#This Row],[GrossRevenue]]-(Data3[[#This Row],[Quantity]]*Data3[[#This Row],[UnitCost]])</f>
        <v>16.012000000000057</v>
      </c>
      <c r="AG42" s="6" t="str">
        <f>TEXT(Data3[[#This Row],[OrderDate]], "mmm-yyyy")</f>
        <v>Oct-2024</v>
      </c>
      <c r="AH42" s="7">
        <f>IF(Data3[[#This Row],[GrossRevenue]]=0, 0,Data3[[#This Row],[GrossProfit]]/Data3[[#This Row],[GrossRevenue]])</f>
        <v>2.6707498515508857E-2</v>
      </c>
      <c r="AI42" s="5">
        <f t="shared" si="3"/>
        <v>599.53200000000004</v>
      </c>
    </row>
    <row r="43" spans="1:35" x14ac:dyDescent="0.35">
      <c r="A43" s="4" t="s">
        <v>199</v>
      </c>
      <c r="B43" s="2">
        <v>45168</v>
      </c>
      <c r="C43" s="2" t="str">
        <f>TEXT(Data3[[#This Row],[OrderDate]],"MMM-YYYY")</f>
        <v>Aug-2023</v>
      </c>
      <c r="D43" s="4" t="str">
        <f>"Q"&amp;INT((MONTH(Data3[[#This Row],[OrderDate]])-1)/3)+1&amp;"-"&amp;YEAR(Data3[[#This Row],[OrderDate]])</f>
        <v>Q3-2023</v>
      </c>
      <c r="E43" s="2">
        <v>45170</v>
      </c>
      <c r="F43" t="s">
        <v>78</v>
      </c>
      <c r="G43" t="s">
        <v>79</v>
      </c>
      <c r="H43" s="4" t="s">
        <v>159</v>
      </c>
      <c r="I43" t="s">
        <v>19</v>
      </c>
      <c r="J43" s="4" t="s">
        <v>98</v>
      </c>
      <c r="K43" s="4" t="s">
        <v>126</v>
      </c>
      <c r="L43" t="s">
        <v>35</v>
      </c>
      <c r="M43" s="4" t="s">
        <v>200</v>
      </c>
      <c r="N43" s="3">
        <v>44.42</v>
      </c>
      <c r="O43" s="3">
        <v>41.9</v>
      </c>
      <c r="P43" s="3">
        <v>0.14399999999999999</v>
      </c>
      <c r="Q43" s="3">
        <v>6</v>
      </c>
      <c r="R43" t="s">
        <v>126</v>
      </c>
      <c r="S43" t="s">
        <v>159</v>
      </c>
      <c r="T43" t="s">
        <v>98</v>
      </c>
      <c r="U43">
        <v>41.9</v>
      </c>
      <c r="V43" t="str" cm="1">
        <f t="array" ref="V43">_xlfn.IFS(Data3[[#This Row],[CorrectedUnitPriceCustom]]&lt;=$W$2, "Low",Data3[[#This Row],[CorrectedUnitPriceCustom]]&lt;=$Y$2, "Medium", TRUE, "High")</f>
        <v>Low</v>
      </c>
      <c r="W43">
        <f t="shared" si="0"/>
        <v>620.22</v>
      </c>
      <c r="X43">
        <f t="shared" si="1"/>
        <v>1269.4000000000001</v>
      </c>
      <c r="Y43">
        <f t="shared" si="4"/>
        <v>1932.9</v>
      </c>
      <c r="Z43">
        <v>0.14399999999999999</v>
      </c>
      <c r="AA43" t="s">
        <v>1372</v>
      </c>
      <c r="AB43" s="1">
        <v>45170</v>
      </c>
      <c r="AC43">
        <v>2</v>
      </c>
      <c r="AD43" s="5">
        <f>Data3[[#This Row],[UnitPrice]]*Data3[[#This Row],[Quantity]]*(1-Data3[[#This Row],[DiscountPct]])</f>
        <v>215.19839999999996</v>
      </c>
      <c r="AE43" s="6">
        <f>Data3[[#This Row],[UnitPrice]]*Data3[[#This Row],[Quantity]]</f>
        <v>251.39999999999998</v>
      </c>
      <c r="AF43" s="6">
        <f>Data3[[#This Row],[GrossRevenue]]-(Data3[[#This Row],[Quantity]]*Data3[[#This Row],[UnitCost]])</f>
        <v>-51.321600000000018</v>
      </c>
      <c r="AG43" s="6" t="str">
        <f>TEXT(Data3[[#This Row],[OrderDate]], "mmm-yyyy")</f>
        <v>Aug-2023</v>
      </c>
      <c r="AH43" s="7">
        <f>IF(Data3[[#This Row],[GrossRevenue]]=0, 0,Data3[[#This Row],[GrossProfit]]/Data3[[#This Row],[GrossRevenue]])</f>
        <v>-0.23848504449847224</v>
      </c>
      <c r="AI43" s="5">
        <f t="shared" si="3"/>
        <v>215.19839999999996</v>
      </c>
    </row>
    <row r="44" spans="1:35" x14ac:dyDescent="0.35">
      <c r="A44" s="4" t="s">
        <v>203</v>
      </c>
      <c r="B44" s="2">
        <v>45697</v>
      </c>
      <c r="C44" s="2" t="str">
        <f>TEXT(Data3[[#This Row],[OrderDate]],"MMM-YYYY")</f>
        <v>Feb-2025</v>
      </c>
      <c r="D44" s="4" t="str">
        <f>"Q"&amp;INT((MONTH(Data3[[#This Row],[OrderDate]])-1)/3)+1&amp;"-"&amp;YEAR(Data3[[#This Row],[OrderDate]])</f>
        <v>Q1-2025</v>
      </c>
      <c r="E44" s="2">
        <v>45717</v>
      </c>
      <c r="F44" t="s">
        <v>52</v>
      </c>
      <c r="G44" t="s">
        <v>73</v>
      </c>
      <c r="H44" s="4" t="s">
        <v>74</v>
      </c>
      <c r="I44" t="s">
        <v>19</v>
      </c>
      <c r="J44" s="4" t="s">
        <v>55</v>
      </c>
      <c r="K44" s="4" t="s">
        <v>56</v>
      </c>
      <c r="L44" t="s">
        <v>57</v>
      </c>
      <c r="M44" s="4" t="s">
        <v>204</v>
      </c>
      <c r="N44" s="3">
        <v>1154.6400000000001</v>
      </c>
      <c r="O44" s="3">
        <v>2794.13</v>
      </c>
      <c r="P44" s="3">
        <v>3.5000000000000003E-2</v>
      </c>
      <c r="Q44" s="3">
        <v>11</v>
      </c>
      <c r="R44" t="s">
        <v>56</v>
      </c>
      <c r="S44" t="s">
        <v>74</v>
      </c>
      <c r="T44" t="s">
        <v>55</v>
      </c>
      <c r="U44">
        <v>2794.13</v>
      </c>
      <c r="V44" t="str" cm="1">
        <f t="array" ref="V44">_xlfn.IFS(Data3[[#This Row],[CorrectedUnitPriceCustom]]&lt;=$W$2, "Low",Data3[[#This Row],[CorrectedUnitPriceCustom]]&lt;=$Y$2, "Medium", TRUE, "High")</f>
        <v>High</v>
      </c>
      <c r="W44">
        <f t="shared" si="0"/>
        <v>620.95249999999999</v>
      </c>
      <c r="X44">
        <f t="shared" si="1"/>
        <v>1277.2449999999999</v>
      </c>
      <c r="Y44">
        <f t="shared" si="4"/>
        <v>1942.47</v>
      </c>
      <c r="Z44">
        <v>3.5000000000000003E-2</v>
      </c>
      <c r="AA44" t="s">
        <v>1372</v>
      </c>
      <c r="AB44" s="1">
        <v>45717</v>
      </c>
      <c r="AC44">
        <v>20</v>
      </c>
      <c r="AD44" s="5">
        <f>Data3[[#This Row],[UnitPrice]]*Data3[[#This Row],[Quantity]]*(1-Data3[[#This Row],[DiscountPct]])</f>
        <v>29659.68995</v>
      </c>
      <c r="AE44" s="6">
        <f>Data3[[#This Row],[UnitPrice]]*Data3[[#This Row],[Quantity]]</f>
        <v>30735.43</v>
      </c>
      <c r="AF44" s="6">
        <f>Data3[[#This Row],[GrossRevenue]]-(Data3[[#This Row],[Quantity]]*Data3[[#This Row],[UnitCost]])</f>
        <v>16958.649949999999</v>
      </c>
      <c r="AG44" s="6" t="str">
        <f>TEXT(Data3[[#This Row],[OrderDate]], "mmm-yyyy")</f>
        <v>Feb-2025</v>
      </c>
      <c r="AH44" s="7">
        <f>IF(Data3[[#This Row],[GrossRevenue]]=0, 0,Data3[[#This Row],[GrossProfit]]/Data3[[#This Row],[GrossRevenue]])</f>
        <v>0.57177435025749479</v>
      </c>
      <c r="AI44" s="5">
        <f t="shared" si="3"/>
        <v>29659.68995</v>
      </c>
    </row>
    <row r="45" spans="1:35" x14ac:dyDescent="0.35">
      <c r="A45" s="4" t="s">
        <v>207</v>
      </c>
      <c r="B45" s="2">
        <v>45817</v>
      </c>
      <c r="C45" s="2" t="str">
        <f>TEXT(Data3[[#This Row],[OrderDate]],"MMM-YYYY")</f>
        <v>Jun-2025</v>
      </c>
      <c r="D45" s="4" t="str">
        <f>"Q"&amp;INT((MONTH(Data3[[#This Row],[OrderDate]])-1)/3)+1&amp;"-"&amp;YEAR(Data3[[#This Row],[OrderDate]])</f>
        <v>Q2-2025</v>
      </c>
      <c r="E45" s="2">
        <v>45826</v>
      </c>
      <c r="F45" t="s">
        <v>78</v>
      </c>
      <c r="G45" t="s">
        <v>90</v>
      </c>
      <c r="H45" s="4" t="s">
        <v>91</v>
      </c>
      <c r="I45" t="s">
        <v>62</v>
      </c>
      <c r="J45" s="4" t="s">
        <v>40</v>
      </c>
      <c r="K45" s="4" t="s">
        <v>92</v>
      </c>
      <c r="L45" t="s">
        <v>81</v>
      </c>
      <c r="M45" s="4" t="s">
        <v>208</v>
      </c>
      <c r="N45" s="3">
        <v>1225.5</v>
      </c>
      <c r="O45" s="3">
        <v>-5.27</v>
      </c>
      <c r="P45" s="3">
        <v>7.4999999999999997E-2</v>
      </c>
      <c r="Q45" s="3">
        <v>56</v>
      </c>
      <c r="R45" t="s">
        <v>92</v>
      </c>
      <c r="S45" t="s">
        <v>91</v>
      </c>
      <c r="T45" t="s">
        <v>40</v>
      </c>
      <c r="U45">
        <v>1470.6</v>
      </c>
      <c r="V45" t="str" cm="1">
        <f t="array" ref="V45">_xlfn.IFS(Data3[[#This Row],[CorrectedUnitPriceCustom]]&lt;=$W$2, "Low",Data3[[#This Row],[CorrectedUnitPriceCustom]]&lt;=$Y$2, "Medium", TRUE, "High")</f>
        <v>Medium</v>
      </c>
      <c r="W45">
        <f t="shared" si="0"/>
        <v>620.92999999999995</v>
      </c>
      <c r="X45">
        <f t="shared" si="1"/>
        <v>1269.4000000000001</v>
      </c>
      <c r="Y45">
        <f t="shared" si="4"/>
        <v>1913.76</v>
      </c>
      <c r="Z45">
        <v>7.4999999999999997E-2</v>
      </c>
      <c r="AA45" t="s">
        <v>1373</v>
      </c>
      <c r="AB45" s="1">
        <v>45826</v>
      </c>
      <c r="AC45">
        <v>9</v>
      </c>
      <c r="AD45" s="5">
        <f>Data3[[#This Row],[UnitPrice]]*Data3[[#This Row],[Quantity]]*(1-Data3[[#This Row],[DiscountPct]])</f>
        <v>-272.98599999999999</v>
      </c>
      <c r="AE45" s="6">
        <f>Data3[[#This Row],[UnitPrice]]*Data3[[#This Row],[Quantity]]</f>
        <v>-295.12</v>
      </c>
      <c r="AF45" s="6">
        <f>Data3[[#This Row],[GrossRevenue]]-(Data3[[#This Row],[Quantity]]*Data3[[#This Row],[UnitCost]])</f>
        <v>-68900.986000000004</v>
      </c>
      <c r="AG45" s="6" t="str">
        <f>TEXT(Data3[[#This Row],[OrderDate]], "mmm-yyyy")</f>
        <v>Jun-2025</v>
      </c>
      <c r="AH45" s="7">
        <f>IF(Data3[[#This Row],[GrossRevenue]]=0, 0,Data3[[#This Row],[GrossProfit]]/Data3[[#This Row],[GrossRevenue]])</f>
        <v>252.39750756449052</v>
      </c>
      <c r="AI45" s="5">
        <f t="shared" si="3"/>
        <v>-272.98599999999999</v>
      </c>
    </row>
    <row r="46" spans="1:35" x14ac:dyDescent="0.35">
      <c r="A46" s="4" t="s">
        <v>209</v>
      </c>
      <c r="B46" s="2">
        <v>45779</v>
      </c>
      <c r="C46" s="2" t="str">
        <f>TEXT(Data3[[#This Row],[OrderDate]],"MMM-YYYY")</f>
        <v>May-2025</v>
      </c>
      <c r="D46" s="4" t="str">
        <f>"Q"&amp;INT((MONTH(Data3[[#This Row],[OrderDate]])-1)/3)+1&amp;"-"&amp;YEAR(Data3[[#This Row],[OrderDate]])</f>
        <v>Q2-2025</v>
      </c>
      <c r="E46" s="2">
        <v>45790</v>
      </c>
      <c r="F46" t="s">
        <v>16</v>
      </c>
      <c r="G46" t="s">
        <v>17</v>
      </c>
      <c r="H46" s="4" t="s">
        <v>135</v>
      </c>
      <c r="I46" t="s">
        <v>62</v>
      </c>
      <c r="J46" s="4" t="s">
        <v>28</v>
      </c>
      <c r="K46" s="4" t="s">
        <v>75</v>
      </c>
      <c r="L46" t="s">
        <v>81</v>
      </c>
      <c r="M46" s="4" t="s">
        <v>210</v>
      </c>
      <c r="N46" s="3">
        <v>1057.5999999999999</v>
      </c>
      <c r="O46" s="3">
        <v>1437.06</v>
      </c>
      <c r="P46" s="3">
        <v>0.20499999999999999</v>
      </c>
      <c r="Q46" s="3">
        <v>4</v>
      </c>
      <c r="R46" t="s">
        <v>75</v>
      </c>
      <c r="S46" t="s">
        <v>135</v>
      </c>
      <c r="T46" t="s">
        <v>28</v>
      </c>
      <c r="U46">
        <v>1437.06</v>
      </c>
      <c r="V46" t="str" cm="1">
        <f t="array" ref="V46">_xlfn.IFS(Data3[[#This Row],[CorrectedUnitPriceCustom]]&lt;=$W$2, "Low",Data3[[#This Row],[CorrectedUnitPriceCustom]]&lt;=$Y$2, "Medium", TRUE, "High")</f>
        <v>Medium</v>
      </c>
      <c r="W46">
        <f t="shared" si="0"/>
        <v>620.57499999999993</v>
      </c>
      <c r="X46">
        <f t="shared" si="1"/>
        <v>1262.1750000000002</v>
      </c>
      <c r="Y46">
        <f t="shared" si="4"/>
        <v>1923.33</v>
      </c>
      <c r="Z46">
        <v>0.20499999999999999</v>
      </c>
      <c r="AA46" t="s">
        <v>1372</v>
      </c>
      <c r="AB46" s="1">
        <v>45790</v>
      </c>
      <c r="AC46">
        <v>11</v>
      </c>
      <c r="AD46" s="5">
        <f>Data3[[#This Row],[UnitPrice]]*Data3[[#This Row],[Quantity]]*(1-Data3[[#This Row],[DiscountPct]])</f>
        <v>4569.8508000000002</v>
      </c>
      <c r="AE46" s="6">
        <f>Data3[[#This Row],[UnitPrice]]*Data3[[#This Row],[Quantity]]</f>
        <v>5748.24</v>
      </c>
      <c r="AF46" s="6">
        <f>Data3[[#This Row],[GrossRevenue]]-(Data3[[#This Row],[Quantity]]*Data3[[#This Row],[UnitCost]])</f>
        <v>339.45080000000053</v>
      </c>
      <c r="AG46" s="6" t="str">
        <f>TEXT(Data3[[#This Row],[OrderDate]], "mmm-yyyy")</f>
        <v>May-2025</v>
      </c>
      <c r="AH46" s="7">
        <f>IF(Data3[[#This Row],[GrossRevenue]]=0, 0,Data3[[#This Row],[GrossProfit]]/Data3[[#This Row],[GrossRevenue]])</f>
        <v>7.4280499485891424E-2</v>
      </c>
      <c r="AI46" s="5">
        <f t="shared" si="3"/>
        <v>4569.8508000000002</v>
      </c>
    </row>
    <row r="47" spans="1:35" x14ac:dyDescent="0.35">
      <c r="A47" s="4" t="s">
        <v>211</v>
      </c>
      <c r="B47" s="2">
        <v>45361</v>
      </c>
      <c r="C47" s="2" t="str">
        <f>TEXT(Data3[[#This Row],[OrderDate]],"MMM-YYYY")</f>
        <v>Mar-2024</v>
      </c>
      <c r="D47" s="4" t="str">
        <f>"Q"&amp;INT((MONTH(Data3[[#This Row],[OrderDate]])-1)/3)+1&amp;"-"&amp;YEAR(Data3[[#This Row],[OrderDate]])</f>
        <v>Q1-2024</v>
      </c>
      <c r="E47" s="2">
        <v>45391</v>
      </c>
      <c r="F47" t="s">
        <v>78</v>
      </c>
      <c r="G47" t="s">
        <v>90</v>
      </c>
      <c r="H47" s="4" t="s">
        <v>138</v>
      </c>
      <c r="I47" t="s">
        <v>19</v>
      </c>
      <c r="J47" s="4" t="s">
        <v>98</v>
      </c>
      <c r="K47" s="4" t="s">
        <v>34</v>
      </c>
      <c r="L47" t="s">
        <v>22</v>
      </c>
      <c r="M47" s="4" t="s">
        <v>212</v>
      </c>
      <c r="N47" s="3">
        <v>1176.56</v>
      </c>
      <c r="O47" s="3">
        <v>1911.89</v>
      </c>
      <c r="P47" s="3">
        <v>0.11899999999999999</v>
      </c>
      <c r="Q47" s="3">
        <v>20</v>
      </c>
      <c r="R47" t="s">
        <v>34</v>
      </c>
      <c r="S47" t="s">
        <v>138</v>
      </c>
      <c r="T47" t="s">
        <v>98</v>
      </c>
      <c r="U47">
        <v>1911.89</v>
      </c>
      <c r="V47" t="str" cm="1">
        <f t="array" ref="V47">_xlfn.IFS(Data3[[#This Row],[CorrectedUnitPriceCustom]]&lt;=$W$2, "Low",Data3[[#This Row],[CorrectedUnitPriceCustom]]&lt;=$Y$2, "Medium", TRUE, "High")</f>
        <v>Medium</v>
      </c>
      <c r="W47">
        <f t="shared" si="0"/>
        <v>620.22</v>
      </c>
      <c r="X47">
        <f t="shared" si="1"/>
        <v>1254.95</v>
      </c>
      <c r="Y47">
        <f t="shared" si="4"/>
        <v>1932.9</v>
      </c>
      <c r="Z47">
        <v>0.11899999999999999</v>
      </c>
      <c r="AA47" t="s">
        <v>1372</v>
      </c>
      <c r="AB47" s="1">
        <v>45391</v>
      </c>
      <c r="AC47">
        <v>30</v>
      </c>
      <c r="AD47" s="5">
        <f>Data3[[#This Row],[UnitPrice]]*Data3[[#This Row],[Quantity]]*(1-Data3[[#This Row],[DiscountPct]])</f>
        <v>33687.501800000005</v>
      </c>
      <c r="AE47" s="6">
        <f>Data3[[#This Row],[UnitPrice]]*Data3[[#This Row],[Quantity]]</f>
        <v>38237.800000000003</v>
      </c>
      <c r="AF47" s="6">
        <f>Data3[[#This Row],[GrossRevenue]]-(Data3[[#This Row],[Quantity]]*Data3[[#This Row],[UnitCost]])</f>
        <v>10156.301800000008</v>
      </c>
      <c r="AG47" s="6" t="str">
        <f>TEXT(Data3[[#This Row],[OrderDate]], "mmm-yyyy")</f>
        <v>Mar-2024</v>
      </c>
      <c r="AH47" s="7">
        <f>IF(Data3[[#This Row],[GrossRevenue]]=0, 0,Data3[[#This Row],[GrossProfit]]/Data3[[#This Row],[GrossRevenue]])</f>
        <v>0.30148575160892477</v>
      </c>
      <c r="AI47" s="5">
        <f t="shared" si="3"/>
        <v>33687.501800000005</v>
      </c>
    </row>
    <row r="48" spans="1:35" x14ac:dyDescent="0.35">
      <c r="A48" s="4" t="s">
        <v>213</v>
      </c>
      <c r="B48" s="2">
        <v>45910</v>
      </c>
      <c r="C48" s="2" t="str">
        <f>TEXT(Data3[[#This Row],[OrderDate]],"MMM-YYYY")</f>
        <v>Sep-2025</v>
      </c>
      <c r="D48" s="4" t="str">
        <f>"Q"&amp;INT((MONTH(Data3[[#This Row],[OrderDate]])-1)/3)+1&amp;"-"&amp;YEAR(Data3[[#This Row],[OrderDate]])</f>
        <v>Q3-2025</v>
      </c>
      <c r="E48" s="2">
        <v>45912</v>
      </c>
      <c r="F48" t="s">
        <v>45</v>
      </c>
      <c r="G48" t="s">
        <v>46</v>
      </c>
      <c r="H48" s="4" t="s">
        <v>214</v>
      </c>
      <c r="I48" t="s">
        <v>48</v>
      </c>
      <c r="J48" s="4" t="s">
        <v>28</v>
      </c>
      <c r="K48" s="4" t="s">
        <v>68</v>
      </c>
      <c r="L48" t="s">
        <v>22</v>
      </c>
      <c r="M48" s="4" t="s">
        <v>215</v>
      </c>
      <c r="N48" s="3">
        <v>1470.15</v>
      </c>
      <c r="O48" s="3">
        <v>2593.7800000000002</v>
      </c>
      <c r="P48" s="3">
        <v>0.11</v>
      </c>
      <c r="Q48" s="3">
        <v>12</v>
      </c>
      <c r="R48" t="s">
        <v>68</v>
      </c>
      <c r="S48" t="s">
        <v>214</v>
      </c>
      <c r="T48" t="s">
        <v>28</v>
      </c>
      <c r="U48">
        <v>2593.7800000000002</v>
      </c>
      <c r="V48" t="str" cm="1">
        <f t="array" ref="V48">_xlfn.IFS(Data3[[#This Row],[CorrectedUnitPriceCustom]]&lt;=$W$2, "Low",Data3[[#This Row],[CorrectedUnitPriceCustom]]&lt;=$Y$2, "Medium", TRUE, "High")</f>
        <v>High</v>
      </c>
      <c r="W48">
        <f t="shared" si="0"/>
        <v>619.86500000000001</v>
      </c>
      <c r="X48">
        <f t="shared" si="1"/>
        <v>1250.68</v>
      </c>
      <c r="Y48">
        <f t="shared" si="4"/>
        <v>1942.47</v>
      </c>
      <c r="Z48">
        <v>0.11</v>
      </c>
      <c r="AA48" t="s">
        <v>1372</v>
      </c>
      <c r="AB48" s="1">
        <v>45912</v>
      </c>
      <c r="AC48">
        <v>2</v>
      </c>
      <c r="AD48" s="5">
        <f>Data3[[#This Row],[UnitPrice]]*Data3[[#This Row],[Quantity]]*(1-Data3[[#This Row],[DiscountPct]])</f>
        <v>27701.570400000001</v>
      </c>
      <c r="AE48" s="6">
        <f>Data3[[#This Row],[UnitPrice]]*Data3[[#This Row],[Quantity]]</f>
        <v>31125.360000000001</v>
      </c>
      <c r="AF48" s="6">
        <f>Data3[[#This Row],[GrossRevenue]]-(Data3[[#This Row],[Quantity]]*Data3[[#This Row],[UnitCost]])</f>
        <v>10059.770399999998</v>
      </c>
      <c r="AG48" s="6" t="str">
        <f>TEXT(Data3[[#This Row],[OrderDate]], "mmm-yyyy")</f>
        <v>Sep-2025</v>
      </c>
      <c r="AH48" s="7">
        <f>IF(Data3[[#This Row],[GrossRevenue]]=0, 0,Data3[[#This Row],[GrossProfit]]/Data3[[#This Row],[GrossRevenue]])</f>
        <v>0.36314801849645306</v>
      </c>
      <c r="AI48" s="5">
        <f t="shared" si="3"/>
        <v>27701.570400000001</v>
      </c>
    </row>
    <row r="49" spans="1:35" x14ac:dyDescent="0.35">
      <c r="A49" s="4" t="s">
        <v>216</v>
      </c>
      <c r="B49" s="2">
        <v>45774</v>
      </c>
      <c r="C49" s="2" t="str">
        <f>TEXT(Data3[[#This Row],[OrderDate]],"MMM-YYYY")</f>
        <v>Apr-2025</v>
      </c>
      <c r="D49" s="4" t="str">
        <f>"Q"&amp;INT((MONTH(Data3[[#This Row],[OrderDate]])-1)/3)+1&amp;"-"&amp;YEAR(Data3[[#This Row],[OrderDate]])</f>
        <v>Q2-2025</v>
      </c>
      <c r="E49" s="2">
        <v>45802</v>
      </c>
      <c r="F49" t="s">
        <v>78</v>
      </c>
      <c r="G49" t="s">
        <v>90</v>
      </c>
      <c r="H49" s="4" t="s">
        <v>217</v>
      </c>
      <c r="I49" t="s">
        <v>62</v>
      </c>
      <c r="J49" s="4" t="s">
        <v>40</v>
      </c>
      <c r="K49" s="4" t="s">
        <v>34</v>
      </c>
      <c r="L49" t="s">
        <v>42</v>
      </c>
      <c r="M49" s="4" t="s">
        <v>218</v>
      </c>
      <c r="N49" s="3">
        <v>603.45000000000005</v>
      </c>
      <c r="O49" s="3">
        <v>1244.08</v>
      </c>
      <c r="P49" s="3">
        <v>0.2</v>
      </c>
      <c r="Q49" s="3">
        <v>11</v>
      </c>
      <c r="R49" t="s">
        <v>34</v>
      </c>
      <c r="S49" t="s">
        <v>217</v>
      </c>
      <c r="T49" t="s">
        <v>40</v>
      </c>
      <c r="U49">
        <v>1244.08</v>
      </c>
      <c r="V49" t="str" cm="1">
        <f t="array" ref="V49">_xlfn.IFS(Data3[[#This Row],[CorrectedUnitPriceCustom]]&lt;=$W$2, "Low",Data3[[#This Row],[CorrectedUnitPriceCustom]]&lt;=$Y$2, "Medium", TRUE, "High")</f>
        <v>Medium</v>
      </c>
      <c r="W49">
        <f t="shared" si="0"/>
        <v>619.51</v>
      </c>
      <c r="X49">
        <f t="shared" si="1"/>
        <v>1246.4100000000001</v>
      </c>
      <c r="Y49">
        <f t="shared" si="4"/>
        <v>1913.76</v>
      </c>
      <c r="Z49">
        <v>0.2</v>
      </c>
      <c r="AA49" t="s">
        <v>1372</v>
      </c>
      <c r="AB49" s="1">
        <v>45802</v>
      </c>
      <c r="AC49">
        <v>28</v>
      </c>
      <c r="AD49" s="5">
        <f>Data3[[#This Row],[UnitPrice]]*Data3[[#This Row],[Quantity]]*(1-Data3[[#This Row],[DiscountPct]])</f>
        <v>10947.904</v>
      </c>
      <c r="AE49" s="6">
        <f>Data3[[#This Row],[UnitPrice]]*Data3[[#This Row],[Quantity]]</f>
        <v>13684.88</v>
      </c>
      <c r="AF49" s="6">
        <f>Data3[[#This Row],[GrossRevenue]]-(Data3[[#This Row],[Quantity]]*Data3[[#This Row],[UnitCost]])</f>
        <v>4309.9539999999997</v>
      </c>
      <c r="AG49" s="6" t="str">
        <f>TEXT(Data3[[#This Row],[OrderDate]], "mmm-yyyy")</f>
        <v>Apr-2025</v>
      </c>
      <c r="AH49" s="7">
        <f>IF(Data3[[#This Row],[GrossRevenue]]=0, 0,Data3[[#This Row],[GrossProfit]]/Data3[[#This Row],[GrossRevenue]])</f>
        <v>0.39367846119220623</v>
      </c>
      <c r="AI49" s="5">
        <f t="shared" si="3"/>
        <v>10947.904</v>
      </c>
    </row>
    <row r="50" spans="1:35" x14ac:dyDescent="0.35">
      <c r="A50" s="4" t="s">
        <v>219</v>
      </c>
      <c r="B50" s="2">
        <v>45598</v>
      </c>
      <c r="C50" s="2" t="str">
        <f>TEXT(Data3[[#This Row],[OrderDate]],"MMM-YYYY")</f>
        <v>Nov-2024</v>
      </c>
      <c r="D50" s="4" t="str">
        <f>"Q"&amp;INT((MONTH(Data3[[#This Row],[OrderDate]])-1)/3)+1&amp;"-"&amp;YEAR(Data3[[#This Row],[OrderDate]])</f>
        <v>Q4-2024</v>
      </c>
      <c r="E50" s="2">
        <v>45614</v>
      </c>
      <c r="F50" t="s">
        <v>45</v>
      </c>
      <c r="G50" t="s">
        <v>60</v>
      </c>
      <c r="H50" s="4" t="s">
        <v>220</v>
      </c>
      <c r="I50" t="s">
        <v>62</v>
      </c>
      <c r="J50" s="4" t="s">
        <v>55</v>
      </c>
      <c r="K50" s="4" t="s">
        <v>68</v>
      </c>
      <c r="L50" t="s">
        <v>64</v>
      </c>
      <c r="M50" s="4" t="s">
        <v>221</v>
      </c>
      <c r="N50" s="3">
        <v>1233.58</v>
      </c>
      <c r="O50" s="3">
        <v>1912.51</v>
      </c>
      <c r="P50" s="3">
        <v>0.255</v>
      </c>
      <c r="Q50" s="3">
        <v>51</v>
      </c>
      <c r="R50" t="s">
        <v>68</v>
      </c>
      <c r="S50" t="s">
        <v>220</v>
      </c>
      <c r="T50" t="s">
        <v>55</v>
      </c>
      <c r="U50">
        <v>1912.51</v>
      </c>
      <c r="V50" t="str" cm="1">
        <f t="array" ref="V50">_xlfn.IFS(Data3[[#This Row],[CorrectedUnitPriceCustom]]&lt;=$W$2, "Low",Data3[[#This Row],[CorrectedUnitPriceCustom]]&lt;=$Y$2, "Medium", TRUE, "High")</f>
        <v>Medium</v>
      </c>
      <c r="W50">
        <f t="shared" si="0"/>
        <v>616.32249999999999</v>
      </c>
      <c r="X50">
        <f t="shared" si="1"/>
        <v>1250.68</v>
      </c>
      <c r="Y50">
        <f t="shared" si="4"/>
        <v>1923.33</v>
      </c>
      <c r="Z50">
        <v>0.255</v>
      </c>
      <c r="AA50" t="s">
        <v>1372</v>
      </c>
      <c r="AB50" s="1">
        <v>45614</v>
      </c>
      <c r="AC50">
        <v>16</v>
      </c>
      <c r="AD50" s="5">
        <f>Data3[[#This Row],[UnitPrice]]*Data3[[#This Row],[Quantity]]*(1-Data3[[#This Row],[DiscountPct]])</f>
        <v>72665.817450000002</v>
      </c>
      <c r="AE50" s="6">
        <f>Data3[[#This Row],[UnitPrice]]*Data3[[#This Row],[Quantity]]</f>
        <v>97538.01</v>
      </c>
      <c r="AF50" s="6">
        <f>Data3[[#This Row],[GrossRevenue]]-(Data3[[#This Row],[Quantity]]*Data3[[#This Row],[UnitCost]])</f>
        <v>9753.2374500000078</v>
      </c>
      <c r="AG50" s="6" t="str">
        <f>TEXT(Data3[[#This Row],[OrderDate]], "mmm-yyyy")</f>
        <v>Nov-2024</v>
      </c>
      <c r="AH50" s="7">
        <f>IF(Data3[[#This Row],[GrossRevenue]]=0, 0,Data3[[#This Row],[GrossProfit]]/Data3[[#This Row],[GrossRevenue]])</f>
        <v>0.134220432553601</v>
      </c>
      <c r="AI50" s="5">
        <f t="shared" si="3"/>
        <v>72665.817450000002</v>
      </c>
    </row>
    <row r="51" spans="1:35" x14ac:dyDescent="0.35">
      <c r="A51" s="4" t="s">
        <v>222</v>
      </c>
      <c r="B51" s="2">
        <v>44972</v>
      </c>
      <c r="C51" s="2" t="str">
        <f>TEXT(Data3[[#This Row],[OrderDate]],"MMM-YYYY")</f>
        <v>Feb-2023</v>
      </c>
      <c r="D51" s="4" t="str">
        <f>"Q"&amp;INT((MONTH(Data3[[#This Row],[OrderDate]])-1)/3)+1&amp;"-"&amp;YEAR(Data3[[#This Row],[OrderDate]])</f>
        <v>Q1-2023</v>
      </c>
      <c r="E51" s="2">
        <v>44983</v>
      </c>
      <c r="F51" t="s">
        <v>16</v>
      </c>
      <c r="G51" t="s">
        <v>148</v>
      </c>
      <c r="H51" s="4" t="s">
        <v>149</v>
      </c>
      <c r="I51" t="s">
        <v>39</v>
      </c>
      <c r="J51" s="4" t="s">
        <v>20</v>
      </c>
      <c r="K51" s="4" t="s">
        <v>95</v>
      </c>
      <c r="L51" t="s">
        <v>57</v>
      </c>
      <c r="M51" s="4" t="s">
        <v>223</v>
      </c>
      <c r="N51" s="3">
        <v>498.5</v>
      </c>
      <c r="O51" s="3">
        <v>755.87</v>
      </c>
      <c r="P51" s="3">
        <v>0.13</v>
      </c>
      <c r="Q51" s="3">
        <v>40</v>
      </c>
      <c r="R51" t="s">
        <v>95</v>
      </c>
      <c r="S51" t="s">
        <v>149</v>
      </c>
      <c r="T51" t="s">
        <v>20</v>
      </c>
      <c r="U51">
        <v>755.87</v>
      </c>
      <c r="V51" t="str" cm="1">
        <f t="array" ref="V51">_xlfn.IFS(Data3[[#This Row],[CorrectedUnitPriceCustom]]&lt;=$W$2, "Low",Data3[[#This Row],[CorrectedUnitPriceCustom]]&lt;=$Y$2, "Medium", TRUE, "High")</f>
        <v>Medium</v>
      </c>
      <c r="W51">
        <f t="shared" si="0"/>
        <v>613.13499999999999</v>
      </c>
      <c r="X51">
        <f t="shared" si="1"/>
        <v>1246.4100000000001</v>
      </c>
      <c r="Y51">
        <f t="shared" si="4"/>
        <v>1932.9</v>
      </c>
      <c r="Z51">
        <v>0.13</v>
      </c>
      <c r="AA51" t="s">
        <v>1372</v>
      </c>
      <c r="AB51" s="1">
        <v>44983</v>
      </c>
      <c r="AC51">
        <v>11</v>
      </c>
      <c r="AD51" s="5">
        <f>Data3[[#This Row],[UnitPrice]]*Data3[[#This Row],[Quantity]]*(1-Data3[[#This Row],[DiscountPct]])</f>
        <v>26304.275999999998</v>
      </c>
      <c r="AE51" s="6">
        <f>Data3[[#This Row],[UnitPrice]]*Data3[[#This Row],[Quantity]]</f>
        <v>30234.799999999999</v>
      </c>
      <c r="AF51" s="6">
        <f>Data3[[#This Row],[GrossRevenue]]-(Data3[[#This Row],[Quantity]]*Data3[[#This Row],[UnitCost]])</f>
        <v>6364.275999999998</v>
      </c>
      <c r="AG51" s="6" t="str">
        <f>TEXT(Data3[[#This Row],[OrderDate]], "mmm-yyyy")</f>
        <v>Feb-2023</v>
      </c>
      <c r="AH51" s="7">
        <f>IF(Data3[[#This Row],[GrossRevenue]]=0, 0,Data3[[#This Row],[GrossProfit]]/Data3[[#This Row],[GrossRevenue]])</f>
        <v>0.24194834330357537</v>
      </c>
      <c r="AI51" s="5">
        <f t="shared" si="3"/>
        <v>26304.275999999998</v>
      </c>
    </row>
    <row r="52" spans="1:35" x14ac:dyDescent="0.35">
      <c r="A52" s="4" t="s">
        <v>224</v>
      </c>
      <c r="B52" s="2">
        <v>45263</v>
      </c>
      <c r="C52" s="2" t="str">
        <f>TEXT(Data3[[#This Row],[OrderDate]],"MMM-YYYY")</f>
        <v>Dec-2023</v>
      </c>
      <c r="D52" s="4" t="str">
        <f>"Q"&amp;INT((MONTH(Data3[[#This Row],[OrderDate]])-1)/3)+1&amp;"-"&amp;YEAR(Data3[[#This Row],[OrderDate]])</f>
        <v>Q4-2023</v>
      </c>
      <c r="E52" s="2">
        <v>45286</v>
      </c>
      <c r="F52" t="s">
        <v>52</v>
      </c>
      <c r="G52" t="s">
        <v>73</v>
      </c>
      <c r="H52" s="4" t="s">
        <v>225</v>
      </c>
      <c r="I52" t="s">
        <v>27</v>
      </c>
      <c r="J52" s="4" t="s">
        <v>20</v>
      </c>
      <c r="K52" s="4" t="s">
        <v>68</v>
      </c>
      <c r="L52" t="s">
        <v>42</v>
      </c>
      <c r="M52" s="4" t="s">
        <v>226</v>
      </c>
      <c r="N52" s="3">
        <v>1303.1099999999999</v>
      </c>
      <c r="O52" s="3">
        <v>1145.67</v>
      </c>
      <c r="P52" s="3">
        <v>0.184</v>
      </c>
      <c r="Q52" s="3">
        <v>13</v>
      </c>
      <c r="R52" t="s">
        <v>68</v>
      </c>
      <c r="S52" t="s">
        <v>225</v>
      </c>
      <c r="T52" t="s">
        <v>20</v>
      </c>
      <c r="U52">
        <v>1145.67</v>
      </c>
      <c r="V52" t="str" cm="1">
        <f t="array" ref="V52">_xlfn.IFS(Data3[[#This Row],[CorrectedUnitPriceCustom]]&lt;=$W$2, "Low",Data3[[#This Row],[CorrectedUnitPriceCustom]]&lt;=$Y$2, "Medium", TRUE, "High")</f>
        <v>Medium</v>
      </c>
      <c r="W52">
        <f t="shared" si="0"/>
        <v>609.94749999999999</v>
      </c>
      <c r="X52">
        <f t="shared" si="1"/>
        <v>1250.68</v>
      </c>
      <c r="Y52">
        <f t="shared" si="4"/>
        <v>1942.47</v>
      </c>
      <c r="Z52">
        <v>0.184</v>
      </c>
      <c r="AA52" t="s">
        <v>1372</v>
      </c>
      <c r="AB52" s="1">
        <v>45286</v>
      </c>
      <c r="AC52">
        <v>23</v>
      </c>
      <c r="AD52" s="5">
        <f>Data3[[#This Row],[UnitPrice]]*Data3[[#This Row],[Quantity]]*(1-Data3[[#This Row],[DiscountPct]])</f>
        <v>12153.267360000002</v>
      </c>
      <c r="AE52" s="6">
        <f>Data3[[#This Row],[UnitPrice]]*Data3[[#This Row],[Quantity]]</f>
        <v>14893.710000000001</v>
      </c>
      <c r="AF52" s="6">
        <f>Data3[[#This Row],[GrossRevenue]]-(Data3[[#This Row],[Quantity]]*Data3[[#This Row],[UnitCost]])</f>
        <v>-4787.1626399999986</v>
      </c>
      <c r="AG52" s="6" t="str">
        <f>TEXT(Data3[[#This Row],[OrderDate]], "mmm-yyyy")</f>
        <v>Dec-2023</v>
      </c>
      <c r="AH52" s="7">
        <f>IF(Data3[[#This Row],[GrossRevenue]]=0, 0,Data3[[#This Row],[GrossProfit]]/Data3[[#This Row],[GrossRevenue]])</f>
        <v>-0.39389922875851208</v>
      </c>
      <c r="AI52" s="5">
        <f t="shared" si="3"/>
        <v>12153.267360000002</v>
      </c>
    </row>
    <row r="53" spans="1:35" x14ac:dyDescent="0.35">
      <c r="A53" s="4" t="s">
        <v>227</v>
      </c>
      <c r="B53" s="2">
        <v>45004</v>
      </c>
      <c r="C53" s="2" t="str">
        <f>TEXT(Data3[[#This Row],[OrderDate]],"MMM-YYYY")</f>
        <v>Mar-2023</v>
      </c>
      <c r="D53" s="4" t="str">
        <f>"Q"&amp;INT((MONTH(Data3[[#This Row],[OrderDate]])-1)/3)+1&amp;"-"&amp;YEAR(Data3[[#This Row],[OrderDate]])</f>
        <v>Q1-2023</v>
      </c>
      <c r="E53" s="2">
        <v>45025</v>
      </c>
      <c r="F53" t="s">
        <v>78</v>
      </c>
      <c r="G53" t="s">
        <v>108</v>
      </c>
      <c r="H53" s="4" t="s">
        <v>228</v>
      </c>
      <c r="I53" t="s">
        <v>48</v>
      </c>
      <c r="J53" s="4" t="s">
        <v>20</v>
      </c>
      <c r="K53" s="4" t="s">
        <v>49</v>
      </c>
      <c r="L53" t="s">
        <v>81</v>
      </c>
      <c r="M53" s="4" t="s">
        <v>229</v>
      </c>
      <c r="N53" s="3">
        <v>1082.17</v>
      </c>
      <c r="O53" s="3">
        <v>1234.0999999999999</v>
      </c>
      <c r="P53" s="3">
        <v>0.189</v>
      </c>
      <c r="Q53" s="3">
        <v>16</v>
      </c>
      <c r="R53" t="s">
        <v>49</v>
      </c>
      <c r="S53" t="s">
        <v>228</v>
      </c>
      <c r="T53" t="s">
        <v>20</v>
      </c>
      <c r="U53">
        <v>1234.0999999999999</v>
      </c>
      <c r="V53" t="str" cm="1">
        <f t="array" ref="V53">_xlfn.IFS(Data3[[#This Row],[CorrectedUnitPriceCustom]]&lt;=$W$2, "Low",Data3[[#This Row],[CorrectedUnitPriceCustom]]&lt;=$Y$2, "Medium", TRUE, "High")</f>
        <v>Medium</v>
      </c>
      <c r="W53">
        <f t="shared" si="0"/>
        <v>606.76</v>
      </c>
      <c r="X53">
        <f t="shared" si="1"/>
        <v>1254.95</v>
      </c>
      <c r="Y53">
        <f t="shared" si="4"/>
        <v>1952.04</v>
      </c>
      <c r="Z53">
        <v>0.189</v>
      </c>
      <c r="AA53" t="s">
        <v>1372</v>
      </c>
      <c r="AB53" s="1">
        <v>45025</v>
      </c>
      <c r="AC53">
        <v>21</v>
      </c>
      <c r="AD53" s="5">
        <f>Data3[[#This Row],[UnitPrice]]*Data3[[#This Row],[Quantity]]*(1-Data3[[#This Row],[DiscountPct]])</f>
        <v>16013.681599999998</v>
      </c>
      <c r="AE53" s="6">
        <f>Data3[[#This Row],[UnitPrice]]*Data3[[#This Row],[Quantity]]</f>
        <v>19745.599999999999</v>
      </c>
      <c r="AF53" s="6">
        <f>Data3[[#This Row],[GrossRevenue]]-(Data3[[#This Row],[Quantity]]*Data3[[#This Row],[UnitCost]])</f>
        <v>-1301.0384000000031</v>
      </c>
      <c r="AG53" s="6" t="str">
        <f>TEXT(Data3[[#This Row],[OrderDate]], "mmm-yyyy")</f>
        <v>Mar-2023</v>
      </c>
      <c r="AH53" s="7">
        <f>IF(Data3[[#This Row],[GrossRevenue]]=0, 0,Data3[[#This Row],[GrossProfit]]/Data3[[#This Row],[GrossRevenue]])</f>
        <v>-8.124542703534228E-2</v>
      </c>
      <c r="AI53" s="5">
        <f t="shared" si="3"/>
        <v>16013.681599999998</v>
      </c>
    </row>
    <row r="54" spans="1:35" x14ac:dyDescent="0.35">
      <c r="A54" s="4" t="s">
        <v>230</v>
      </c>
      <c r="B54" s="2">
        <v>45434</v>
      </c>
      <c r="C54" s="2" t="str">
        <f>TEXT(Data3[[#This Row],[OrderDate]],"MMM-YYYY")</f>
        <v>May-2024</v>
      </c>
      <c r="D54" s="4" t="str">
        <f>"Q"&amp;INT((MONTH(Data3[[#This Row],[OrderDate]])-1)/3)+1&amp;"-"&amp;YEAR(Data3[[#This Row],[OrderDate]])</f>
        <v>Q2-2024</v>
      </c>
      <c r="E54" s="2">
        <v>45449</v>
      </c>
      <c r="F54" t="s">
        <v>45</v>
      </c>
      <c r="G54" t="s">
        <v>46</v>
      </c>
      <c r="H54" s="4" t="s">
        <v>231</v>
      </c>
      <c r="I54" t="s">
        <v>19</v>
      </c>
      <c r="J54" s="4" t="s">
        <v>55</v>
      </c>
      <c r="K54" s="4" t="s">
        <v>21</v>
      </c>
      <c r="L54" t="s">
        <v>64</v>
      </c>
      <c r="M54" s="4" t="s">
        <v>232</v>
      </c>
      <c r="N54" s="3">
        <v>673.88</v>
      </c>
      <c r="O54" s="3">
        <v>1228.01</v>
      </c>
      <c r="P54" s="3">
        <v>0.105</v>
      </c>
      <c r="Q54" s="3">
        <v>13</v>
      </c>
      <c r="R54" t="s">
        <v>21</v>
      </c>
      <c r="S54" t="s">
        <v>231</v>
      </c>
      <c r="T54" t="s">
        <v>55</v>
      </c>
      <c r="U54">
        <v>1228.01</v>
      </c>
      <c r="V54" t="str" cm="1">
        <f t="array" ref="V54">_xlfn.IFS(Data3[[#This Row],[CorrectedUnitPriceCustom]]&lt;=$W$2, "Low",Data3[[#This Row],[CorrectedUnitPriceCustom]]&lt;=$Y$2, "Medium", TRUE, "High")</f>
        <v>Medium</v>
      </c>
      <c r="W54">
        <f t="shared" si="0"/>
        <v>606.37750000000005</v>
      </c>
      <c r="X54">
        <f t="shared" si="1"/>
        <v>1262.1750000000002</v>
      </c>
      <c r="Y54">
        <f t="shared" si="4"/>
        <v>1958.7574999999999</v>
      </c>
      <c r="Z54">
        <v>0.105</v>
      </c>
      <c r="AA54" t="s">
        <v>1372</v>
      </c>
      <c r="AB54" s="1">
        <v>45449</v>
      </c>
      <c r="AC54">
        <v>15</v>
      </c>
      <c r="AD54" s="5">
        <f>Data3[[#This Row],[UnitPrice]]*Data3[[#This Row],[Quantity]]*(1-Data3[[#This Row],[DiscountPct]])</f>
        <v>14287.896349999999</v>
      </c>
      <c r="AE54" s="6">
        <f>Data3[[#This Row],[UnitPrice]]*Data3[[#This Row],[Quantity]]</f>
        <v>15964.13</v>
      </c>
      <c r="AF54" s="6">
        <f>Data3[[#This Row],[GrossRevenue]]-(Data3[[#This Row],[Quantity]]*Data3[[#This Row],[UnitCost]])</f>
        <v>5527.4563499999986</v>
      </c>
      <c r="AG54" s="6" t="str">
        <f>TEXT(Data3[[#This Row],[OrderDate]], "mmm-yyyy")</f>
        <v>May-2024</v>
      </c>
      <c r="AH54" s="7">
        <f>IF(Data3[[#This Row],[GrossRevenue]]=0, 0,Data3[[#This Row],[GrossProfit]]/Data3[[#This Row],[GrossRevenue]])</f>
        <v>0.38686285332689996</v>
      </c>
      <c r="AI54" s="5">
        <f t="shared" si="3"/>
        <v>14287.896349999999</v>
      </c>
    </row>
    <row r="55" spans="1:35" x14ac:dyDescent="0.35">
      <c r="A55" s="4" t="s">
        <v>233</v>
      </c>
      <c r="B55" s="2">
        <v>45157</v>
      </c>
      <c r="C55" s="2" t="str">
        <f>TEXT(Data3[[#This Row],[OrderDate]],"MMM-YYYY")</f>
        <v>Aug-2023</v>
      </c>
      <c r="D55" s="4" t="str">
        <f>"Q"&amp;INT((MONTH(Data3[[#This Row],[OrderDate]])-1)/3)+1&amp;"-"&amp;YEAR(Data3[[#This Row],[OrderDate]])</f>
        <v>Q3-2023</v>
      </c>
      <c r="E55" s="2">
        <v>45176</v>
      </c>
      <c r="F55" t="s">
        <v>16</v>
      </c>
      <c r="G55" t="s">
        <v>148</v>
      </c>
      <c r="H55" s="4" t="s">
        <v>149</v>
      </c>
      <c r="I55" t="s">
        <v>105</v>
      </c>
      <c r="J55" s="4" t="s">
        <v>20</v>
      </c>
      <c r="K55" s="4" t="s">
        <v>145</v>
      </c>
      <c r="L55" t="s">
        <v>64</v>
      </c>
      <c r="M55" s="4" t="s">
        <v>234</v>
      </c>
      <c r="N55" s="3">
        <v>494.61</v>
      </c>
      <c r="O55" s="3">
        <v>605.23</v>
      </c>
      <c r="P55" s="3">
        <v>0.20399999999999999</v>
      </c>
      <c r="Q55" s="3">
        <v>18</v>
      </c>
      <c r="R55" t="s">
        <v>145</v>
      </c>
      <c r="S55" t="s">
        <v>149</v>
      </c>
      <c r="T55" t="s">
        <v>20</v>
      </c>
      <c r="U55">
        <v>605.23</v>
      </c>
      <c r="V55" t="str" cm="1">
        <f t="array" ref="V55">_xlfn.IFS(Data3[[#This Row],[CorrectedUnitPriceCustom]]&lt;=$W$2, "Low",Data3[[#This Row],[CorrectedUnitPriceCustom]]&lt;=$Y$2, "Medium", TRUE, "High")</f>
        <v>Low</v>
      </c>
      <c r="W55">
        <f t="shared" si="0"/>
        <v>605.995</v>
      </c>
      <c r="X55">
        <f t="shared" si="1"/>
        <v>1269.4000000000001</v>
      </c>
      <c r="Y55">
        <f t="shared" si="4"/>
        <v>1965.4749999999999</v>
      </c>
      <c r="Z55">
        <v>0.20399999999999999</v>
      </c>
      <c r="AA55" t="s">
        <v>1372</v>
      </c>
      <c r="AB55" s="1">
        <v>45176</v>
      </c>
      <c r="AC55">
        <v>19</v>
      </c>
      <c r="AD55" s="5">
        <f>Data3[[#This Row],[UnitPrice]]*Data3[[#This Row],[Quantity]]*(1-Data3[[#This Row],[DiscountPct]])</f>
        <v>8671.7354400000004</v>
      </c>
      <c r="AE55" s="6">
        <f>Data3[[#This Row],[UnitPrice]]*Data3[[#This Row],[Quantity]]</f>
        <v>10894.14</v>
      </c>
      <c r="AF55" s="6">
        <f>Data3[[#This Row],[GrossRevenue]]-(Data3[[#This Row],[Quantity]]*Data3[[#This Row],[UnitCost]])</f>
        <v>-231.24455999999918</v>
      </c>
      <c r="AG55" s="6" t="str">
        <f>TEXT(Data3[[#This Row],[OrderDate]], "mmm-yyyy")</f>
        <v>Aug-2023</v>
      </c>
      <c r="AH55" s="7">
        <f>IF(Data3[[#This Row],[GrossRevenue]]=0, 0,Data3[[#This Row],[GrossProfit]]/Data3[[#This Row],[GrossRevenue]])</f>
        <v>-2.6666468505639647E-2</v>
      </c>
      <c r="AI55" s="5">
        <f t="shared" si="3"/>
        <v>8671.7354400000004</v>
      </c>
    </row>
    <row r="56" spans="1:35" x14ac:dyDescent="0.35">
      <c r="A56" s="4" t="s">
        <v>235</v>
      </c>
      <c r="B56" s="2">
        <v>45037</v>
      </c>
      <c r="C56" s="2" t="str">
        <f>TEXT(Data3[[#This Row],[OrderDate]],"MMM-YYYY")</f>
        <v>Apr-2023</v>
      </c>
      <c r="D56" s="4" t="str">
        <f>"Q"&amp;INT((MONTH(Data3[[#This Row],[OrderDate]])-1)/3)+1&amp;"-"&amp;YEAR(Data3[[#This Row],[OrderDate]])</f>
        <v>Q2-2023</v>
      </c>
      <c r="E56" s="2">
        <v>45056</v>
      </c>
      <c r="F56" t="s">
        <v>45</v>
      </c>
      <c r="G56" t="s">
        <v>116</v>
      </c>
      <c r="H56" s="4" t="s">
        <v>162</v>
      </c>
      <c r="I56" t="s">
        <v>19</v>
      </c>
      <c r="J56" s="4" t="s">
        <v>20</v>
      </c>
      <c r="K56" s="4" t="s">
        <v>75</v>
      </c>
      <c r="L56" t="s">
        <v>22</v>
      </c>
      <c r="M56" s="4" t="s">
        <v>236</v>
      </c>
      <c r="N56" s="3">
        <v>882.33</v>
      </c>
      <c r="O56" s="3">
        <v>1880.15</v>
      </c>
      <c r="P56" s="3">
        <v>0.05</v>
      </c>
      <c r="Q56" s="3">
        <v>5</v>
      </c>
      <c r="R56" t="s">
        <v>75</v>
      </c>
      <c r="S56" t="s">
        <v>162</v>
      </c>
      <c r="T56" t="s">
        <v>20</v>
      </c>
      <c r="U56">
        <v>1880.15</v>
      </c>
      <c r="V56" t="str" cm="1">
        <f t="array" ref="V56">_xlfn.IFS(Data3[[#This Row],[CorrectedUnitPriceCustom]]&lt;=$W$2, "Low",Data3[[#This Row],[CorrectedUnitPriceCustom]]&lt;=$Y$2, "Medium", TRUE, "High")</f>
        <v>Medium</v>
      </c>
      <c r="W56">
        <f t="shared" si="0"/>
        <v>609.94749999999999</v>
      </c>
      <c r="X56">
        <f t="shared" si="1"/>
        <v>1277.2449999999999</v>
      </c>
      <c r="Y56">
        <f t="shared" si="4"/>
        <v>1972.1925000000001</v>
      </c>
      <c r="Z56">
        <v>0.05</v>
      </c>
      <c r="AA56" t="s">
        <v>1372</v>
      </c>
      <c r="AB56" s="1">
        <v>45056</v>
      </c>
      <c r="AC56">
        <v>19</v>
      </c>
      <c r="AD56" s="5">
        <f>Data3[[#This Row],[UnitPrice]]*Data3[[#This Row],[Quantity]]*(1-Data3[[#This Row],[DiscountPct]])</f>
        <v>8930.7124999999996</v>
      </c>
      <c r="AE56" s="6">
        <f>Data3[[#This Row],[UnitPrice]]*Data3[[#This Row],[Quantity]]</f>
        <v>9400.75</v>
      </c>
      <c r="AF56" s="6">
        <f>Data3[[#This Row],[GrossRevenue]]-(Data3[[#This Row],[Quantity]]*Data3[[#This Row],[UnitCost]])</f>
        <v>4519.0624999999991</v>
      </c>
      <c r="AG56" s="6" t="str">
        <f>TEXT(Data3[[#This Row],[OrderDate]], "mmm-yyyy")</f>
        <v>Apr-2023</v>
      </c>
      <c r="AH56" s="7">
        <f>IF(Data3[[#This Row],[GrossRevenue]]=0, 0,Data3[[#This Row],[GrossProfit]]/Data3[[#This Row],[GrossRevenue]])</f>
        <v>0.50601365792482955</v>
      </c>
      <c r="AI56" s="5">
        <f t="shared" si="3"/>
        <v>8930.7124999999996</v>
      </c>
    </row>
    <row r="57" spans="1:35" x14ac:dyDescent="0.35">
      <c r="A57" s="4" t="s">
        <v>237</v>
      </c>
      <c r="B57" s="2">
        <v>45369</v>
      </c>
      <c r="C57" s="2" t="str">
        <f>TEXT(Data3[[#This Row],[OrderDate]],"MMM-YYYY")</f>
        <v>Mar-2024</v>
      </c>
      <c r="D57" s="4" t="str">
        <f>"Q"&amp;INT((MONTH(Data3[[#This Row],[OrderDate]])-1)/3)+1&amp;"-"&amp;YEAR(Data3[[#This Row],[OrderDate]])</f>
        <v>Q1-2024</v>
      </c>
      <c r="E57" s="2">
        <v>45372</v>
      </c>
      <c r="F57" t="s">
        <v>78</v>
      </c>
      <c r="G57" t="s">
        <v>79</v>
      </c>
      <c r="H57" s="4" t="s">
        <v>159</v>
      </c>
      <c r="I57" t="s">
        <v>62</v>
      </c>
      <c r="J57" s="4" t="s">
        <v>28</v>
      </c>
      <c r="K57" s="4" t="s">
        <v>110</v>
      </c>
      <c r="L57" t="s">
        <v>81</v>
      </c>
      <c r="M57" s="4" t="s">
        <v>238</v>
      </c>
      <c r="N57" s="3">
        <v>910.63</v>
      </c>
      <c r="O57" s="3">
        <v>1269.4000000000001</v>
      </c>
      <c r="P57" s="3">
        <v>6.8000000000000005E-2</v>
      </c>
      <c r="Q57" s="3">
        <v>9</v>
      </c>
      <c r="R57" t="s">
        <v>110</v>
      </c>
      <c r="S57" t="s">
        <v>159</v>
      </c>
      <c r="T57" t="s">
        <v>28</v>
      </c>
      <c r="U57">
        <v>1269.4000000000001</v>
      </c>
      <c r="V57" t="str" cm="1">
        <f t="array" ref="V57">_xlfn.IFS(Data3[[#This Row],[CorrectedUnitPriceCustom]]&lt;=$W$2, "Low",Data3[[#This Row],[CorrectedUnitPriceCustom]]&lt;=$Y$2, "Medium", TRUE, "High")</f>
        <v>Medium</v>
      </c>
      <c r="W57">
        <f t="shared" si="0"/>
        <v>606.76</v>
      </c>
      <c r="X57">
        <f t="shared" si="1"/>
        <v>1269.4000000000001</v>
      </c>
      <c r="Y57">
        <f t="shared" si="4"/>
        <v>1978.91</v>
      </c>
      <c r="Z57">
        <v>6.8000000000000005E-2</v>
      </c>
      <c r="AA57" t="s">
        <v>1372</v>
      </c>
      <c r="AB57" s="1">
        <v>45372</v>
      </c>
      <c r="AC57">
        <v>3</v>
      </c>
      <c r="AD57" s="5">
        <f>Data3[[#This Row],[UnitPrice]]*Data3[[#This Row],[Quantity]]*(1-Data3[[#This Row],[DiscountPct]])</f>
        <v>10647.727199999999</v>
      </c>
      <c r="AE57" s="6">
        <f>Data3[[#This Row],[UnitPrice]]*Data3[[#This Row],[Quantity]]</f>
        <v>11424.6</v>
      </c>
      <c r="AF57" s="6">
        <f>Data3[[#This Row],[GrossRevenue]]-(Data3[[#This Row],[Quantity]]*Data3[[#This Row],[UnitCost]])</f>
        <v>2452.0571999999993</v>
      </c>
      <c r="AG57" s="6" t="str">
        <f>TEXT(Data3[[#This Row],[OrderDate]], "mmm-yyyy")</f>
        <v>Mar-2024</v>
      </c>
      <c r="AH57" s="7">
        <f>IF(Data3[[#This Row],[GrossRevenue]]=0, 0,Data3[[#This Row],[GrossProfit]]/Data3[[#This Row],[GrossRevenue]])</f>
        <v>0.23028925834989455</v>
      </c>
      <c r="AI57" s="5">
        <f t="shared" si="3"/>
        <v>10647.727199999999</v>
      </c>
    </row>
    <row r="58" spans="1:35" x14ac:dyDescent="0.35">
      <c r="A58" s="4" t="s">
        <v>239</v>
      </c>
      <c r="B58" s="2">
        <v>45756</v>
      </c>
      <c r="C58" s="2" t="str">
        <f>TEXT(Data3[[#This Row],[OrderDate]],"MMM-YYYY")</f>
        <v>Apr-2025</v>
      </c>
      <c r="D58" s="4" t="str">
        <f>"Q"&amp;INT((MONTH(Data3[[#This Row],[OrderDate]])-1)/3)+1&amp;"-"&amp;YEAR(Data3[[#This Row],[OrderDate]])</f>
        <v>Q2-2025</v>
      </c>
      <c r="E58" s="2">
        <v>45783</v>
      </c>
      <c r="F58" t="s">
        <v>52</v>
      </c>
      <c r="G58" t="s">
        <v>73</v>
      </c>
      <c r="H58" s="4" t="s">
        <v>87</v>
      </c>
      <c r="I58" t="s">
        <v>105</v>
      </c>
      <c r="J58" s="4" t="s">
        <v>40</v>
      </c>
      <c r="K58" s="4" t="s">
        <v>84</v>
      </c>
      <c r="L58" t="s">
        <v>57</v>
      </c>
      <c r="M58" s="4" t="s">
        <v>240</v>
      </c>
      <c r="N58" s="3">
        <v>264.19</v>
      </c>
      <c r="O58" s="3">
        <v>620.92999999999995</v>
      </c>
      <c r="P58" s="3">
        <v>0.14199999999999999</v>
      </c>
      <c r="Q58" s="3">
        <v>12</v>
      </c>
      <c r="R58" t="s">
        <v>84</v>
      </c>
      <c r="S58" t="s">
        <v>87</v>
      </c>
      <c r="T58" t="s">
        <v>40</v>
      </c>
      <c r="U58">
        <v>620.92999999999995</v>
      </c>
      <c r="V58" t="str" cm="1">
        <f t="array" ref="V58">_xlfn.IFS(Data3[[#This Row],[CorrectedUnitPriceCustom]]&lt;=$W$2, "Low",Data3[[#This Row],[CorrectedUnitPriceCustom]]&lt;=$Y$2, "Medium", TRUE, "High")</f>
        <v>Low</v>
      </c>
      <c r="W58">
        <f t="shared" si="0"/>
        <v>605.79999999999995</v>
      </c>
      <c r="X58">
        <f t="shared" si="1"/>
        <v>1270.02</v>
      </c>
      <c r="Y58">
        <f t="shared" si="4"/>
        <v>1979.7275</v>
      </c>
      <c r="Z58">
        <v>0.14199999999999999</v>
      </c>
      <c r="AA58" t="s">
        <v>1372</v>
      </c>
      <c r="AB58" s="1">
        <v>45783</v>
      </c>
      <c r="AC58">
        <v>27</v>
      </c>
      <c r="AD58" s="5">
        <f>Data3[[#This Row],[UnitPrice]]*Data3[[#This Row],[Quantity]]*(1-Data3[[#This Row],[DiscountPct]])</f>
        <v>6393.0952799999995</v>
      </c>
      <c r="AE58" s="6">
        <f>Data3[[#This Row],[UnitPrice]]*Data3[[#This Row],[Quantity]]</f>
        <v>7451.16</v>
      </c>
      <c r="AF58" s="6">
        <f>Data3[[#This Row],[GrossRevenue]]-(Data3[[#This Row],[Quantity]]*Data3[[#This Row],[UnitCost]])</f>
        <v>3222.8152799999998</v>
      </c>
      <c r="AG58" s="6" t="str">
        <f>TEXT(Data3[[#This Row],[OrderDate]], "mmm-yyyy")</f>
        <v>Apr-2025</v>
      </c>
      <c r="AH58" s="7">
        <f>IF(Data3[[#This Row],[GrossRevenue]]=0, 0,Data3[[#This Row],[GrossProfit]]/Data3[[#This Row],[GrossRevenue]])</f>
        <v>0.50410875152794532</v>
      </c>
      <c r="AI58" s="5">
        <f t="shared" si="3"/>
        <v>6393.0952799999995</v>
      </c>
    </row>
    <row r="59" spans="1:35" x14ac:dyDescent="0.35">
      <c r="A59" s="4" t="s">
        <v>241</v>
      </c>
      <c r="B59" s="2">
        <v>45394</v>
      </c>
      <c r="C59" s="2" t="str">
        <f>TEXT(Data3[[#This Row],[OrderDate]],"MMM-YYYY")</f>
        <v>Apr-2024</v>
      </c>
      <c r="D59" s="4" t="str">
        <f>"Q"&amp;INT((MONTH(Data3[[#This Row],[OrderDate]])-1)/3)+1&amp;"-"&amp;YEAR(Data3[[#This Row],[OrderDate]])</f>
        <v>Q2-2024</v>
      </c>
      <c r="E59" s="2">
        <v>45419</v>
      </c>
      <c r="F59" t="s">
        <v>16</v>
      </c>
      <c r="G59" t="s">
        <v>148</v>
      </c>
      <c r="H59" s="4" t="s">
        <v>149</v>
      </c>
      <c r="I59" t="s">
        <v>27</v>
      </c>
      <c r="J59" s="4" t="s">
        <v>55</v>
      </c>
      <c r="K59" s="4" t="s">
        <v>75</v>
      </c>
      <c r="L59" t="s">
        <v>57</v>
      </c>
      <c r="M59" s="4" t="s">
        <v>242</v>
      </c>
      <c r="N59" s="3">
        <v>1376.51</v>
      </c>
      <c r="O59" s="3">
        <v>1455.91</v>
      </c>
      <c r="P59" s="3">
        <v>0.185</v>
      </c>
      <c r="Q59" s="3">
        <v>17</v>
      </c>
      <c r="R59" t="s">
        <v>75</v>
      </c>
      <c r="S59" t="s">
        <v>149</v>
      </c>
      <c r="T59" t="s">
        <v>55</v>
      </c>
      <c r="U59">
        <v>1455.91</v>
      </c>
      <c r="V59" t="str" cm="1">
        <f t="array" ref="V59">_xlfn.IFS(Data3[[#This Row],[CorrectedUnitPriceCustom]]&lt;=$W$2, "Low",Data3[[#This Row],[CorrectedUnitPriceCustom]]&lt;=$Y$2, "Medium", TRUE, "High")</f>
        <v>Medium</v>
      </c>
      <c r="W59">
        <f t="shared" si="0"/>
        <v>604.83999999999992</v>
      </c>
      <c r="X59">
        <f t="shared" si="1"/>
        <v>1285.0899999999999</v>
      </c>
      <c r="Y59">
        <f t="shared" si="4"/>
        <v>1980.5450000000001</v>
      </c>
      <c r="Z59">
        <v>0.185</v>
      </c>
      <c r="AA59" t="s">
        <v>1372</v>
      </c>
      <c r="AB59" s="1">
        <v>45419</v>
      </c>
      <c r="AC59">
        <v>25</v>
      </c>
      <c r="AD59" s="5">
        <f>Data3[[#This Row],[UnitPrice]]*Data3[[#This Row],[Quantity]]*(1-Data3[[#This Row],[DiscountPct]])</f>
        <v>20171.63305</v>
      </c>
      <c r="AE59" s="6">
        <f>Data3[[#This Row],[UnitPrice]]*Data3[[#This Row],[Quantity]]</f>
        <v>24750.47</v>
      </c>
      <c r="AF59" s="6">
        <f>Data3[[#This Row],[GrossRevenue]]-(Data3[[#This Row],[Quantity]]*Data3[[#This Row],[UnitCost]])</f>
        <v>-3229.0369499999979</v>
      </c>
      <c r="AG59" s="6" t="str">
        <f>TEXT(Data3[[#This Row],[OrderDate]], "mmm-yyyy")</f>
        <v>Apr-2024</v>
      </c>
      <c r="AH59" s="7">
        <f>IF(Data3[[#This Row],[GrossRevenue]]=0, 0,Data3[[#This Row],[GrossProfit]]/Data3[[#This Row],[GrossRevenue]])</f>
        <v>-0.1600781127634085</v>
      </c>
      <c r="AI59" s="5">
        <f t="shared" si="3"/>
        <v>20171.63305</v>
      </c>
    </row>
    <row r="60" spans="1:35" x14ac:dyDescent="0.35">
      <c r="A60" s="4" t="s">
        <v>243</v>
      </c>
      <c r="B60" s="2">
        <v>45641</v>
      </c>
      <c r="C60" s="2" t="str">
        <f>TEXT(Data3[[#This Row],[OrderDate]],"MMM-YYYY")</f>
        <v>Dec-2024</v>
      </c>
      <c r="D60" s="4" t="str">
        <f>"Q"&amp;INT((MONTH(Data3[[#This Row],[OrderDate]])-1)/3)+1&amp;"-"&amp;YEAR(Data3[[#This Row],[OrderDate]])</f>
        <v>Q4-2024</v>
      </c>
      <c r="E60" s="2">
        <v>45646</v>
      </c>
      <c r="F60" t="s">
        <v>45</v>
      </c>
      <c r="G60" t="s">
        <v>116</v>
      </c>
      <c r="H60" s="4" t="s">
        <v>117</v>
      </c>
      <c r="I60" t="s">
        <v>62</v>
      </c>
      <c r="J60" s="4" t="s">
        <v>98</v>
      </c>
      <c r="K60" s="4" t="s">
        <v>29</v>
      </c>
      <c r="L60" t="s">
        <v>35</v>
      </c>
      <c r="M60" s="4" t="s">
        <v>244</v>
      </c>
      <c r="N60" s="3">
        <v>717.55</v>
      </c>
      <c r="O60" s="3">
        <v>546.42999999999995</v>
      </c>
      <c r="P60" s="3">
        <v>4.7E-2</v>
      </c>
      <c r="Q60" s="3">
        <v>18</v>
      </c>
      <c r="R60" t="s">
        <v>29</v>
      </c>
      <c r="S60" t="s">
        <v>117</v>
      </c>
      <c r="T60" t="s">
        <v>98</v>
      </c>
      <c r="U60">
        <v>546.42999999999995</v>
      </c>
      <c r="V60" t="str" cm="1">
        <f t="array" ref="V60">_xlfn.IFS(Data3[[#This Row],[CorrectedUnitPriceCustom]]&lt;=$W$2, "Low",Data3[[#This Row],[CorrectedUnitPriceCustom]]&lt;=$Y$2, "Medium", TRUE, "High")</f>
        <v>Low</v>
      </c>
      <c r="W60">
        <f t="shared" si="0"/>
        <v>603.88</v>
      </c>
      <c r="X60">
        <f t="shared" si="1"/>
        <v>1270.02</v>
      </c>
      <c r="Y60">
        <f t="shared" si="4"/>
        <v>1981.3625000000002</v>
      </c>
      <c r="Z60">
        <v>4.7E-2</v>
      </c>
      <c r="AA60" t="s">
        <v>1372</v>
      </c>
      <c r="AB60" s="1">
        <v>45646</v>
      </c>
      <c r="AC60">
        <v>5</v>
      </c>
      <c r="AD60" s="5">
        <f>Data3[[#This Row],[UnitPrice]]*Data3[[#This Row],[Quantity]]*(1-Data3[[#This Row],[DiscountPct]])</f>
        <v>9373.460219999999</v>
      </c>
      <c r="AE60" s="6">
        <f>Data3[[#This Row],[UnitPrice]]*Data3[[#This Row],[Quantity]]</f>
        <v>9835.74</v>
      </c>
      <c r="AF60" s="6">
        <f>Data3[[#This Row],[GrossRevenue]]-(Data3[[#This Row],[Quantity]]*Data3[[#This Row],[UnitCost]])</f>
        <v>-3542.4397800000006</v>
      </c>
      <c r="AG60" s="6" t="str">
        <f>TEXT(Data3[[#This Row],[OrderDate]], "mmm-yyyy")</f>
        <v>Dec-2024</v>
      </c>
      <c r="AH60" s="7">
        <f>IF(Data3[[#This Row],[GrossRevenue]]=0, 0,Data3[[#This Row],[GrossProfit]]/Data3[[#This Row],[GrossRevenue]])</f>
        <v>-0.37792231437026369</v>
      </c>
      <c r="AI60" s="5">
        <f t="shared" si="3"/>
        <v>9373.460219999999</v>
      </c>
    </row>
    <row r="61" spans="1:35" x14ac:dyDescent="0.35">
      <c r="A61" s="4" t="s">
        <v>245</v>
      </c>
      <c r="B61" s="2">
        <v>45066</v>
      </c>
      <c r="C61" s="2" t="str">
        <f>TEXT(Data3[[#This Row],[OrderDate]],"MMM-YYYY")</f>
        <v>May-2023</v>
      </c>
      <c r="D61" s="4" t="str">
        <f>"Q"&amp;INT((MONTH(Data3[[#This Row],[OrderDate]])-1)/3)+1&amp;"-"&amp;YEAR(Data3[[#This Row],[OrderDate]])</f>
        <v>Q2-2023</v>
      </c>
      <c r="E61" s="2">
        <v>45064</v>
      </c>
      <c r="F61" t="s">
        <v>16</v>
      </c>
      <c r="G61" t="s">
        <v>148</v>
      </c>
      <c r="H61" s="4" t="s">
        <v>172</v>
      </c>
      <c r="I61" t="s">
        <v>19</v>
      </c>
      <c r="J61" s="4" t="s">
        <v>55</v>
      </c>
      <c r="K61" s="4" t="s">
        <v>75</v>
      </c>
      <c r="L61" t="s">
        <v>22</v>
      </c>
      <c r="M61" s="4" t="s">
        <v>246</v>
      </c>
      <c r="N61" s="3">
        <v>917.88</v>
      </c>
      <c r="O61" s="3">
        <v>1347.92</v>
      </c>
      <c r="P61" s="3">
        <v>0.34300000000000003</v>
      </c>
      <c r="Q61" s="3">
        <v>5</v>
      </c>
      <c r="R61" t="s">
        <v>75</v>
      </c>
      <c r="S61" t="s">
        <v>172</v>
      </c>
      <c r="T61" t="s">
        <v>55</v>
      </c>
      <c r="U61">
        <v>1347.92</v>
      </c>
      <c r="V61" t="str" cm="1">
        <f t="array" ref="V61">_xlfn.IFS(Data3[[#This Row],[CorrectedUnitPriceCustom]]&lt;=$W$2, "Low",Data3[[#This Row],[CorrectedUnitPriceCustom]]&lt;=$Y$2, "Medium", TRUE, "High")</f>
        <v>Medium</v>
      </c>
      <c r="W61">
        <f t="shared" si="0"/>
        <v>606.76</v>
      </c>
      <c r="X61">
        <f t="shared" si="1"/>
        <v>1285.0899999999999</v>
      </c>
      <c r="Y61">
        <f t="shared" si="4"/>
        <v>1982.18</v>
      </c>
      <c r="Z61">
        <v>0.3</v>
      </c>
      <c r="AA61" t="s">
        <v>1373</v>
      </c>
      <c r="AB61" s="1">
        <v>45073</v>
      </c>
      <c r="AC61">
        <v>7</v>
      </c>
      <c r="AD61" s="5">
        <f>Data3[[#This Row],[UnitPrice]]*Data3[[#This Row],[Quantity]]*(1-Data3[[#This Row],[DiscountPct]])</f>
        <v>4427.9172000000008</v>
      </c>
      <c r="AE61" s="6">
        <f>Data3[[#This Row],[UnitPrice]]*Data3[[#This Row],[Quantity]]</f>
        <v>6739.6</v>
      </c>
      <c r="AF61" s="6">
        <f>Data3[[#This Row],[GrossRevenue]]-(Data3[[#This Row],[Quantity]]*Data3[[#This Row],[UnitCost]])</f>
        <v>-161.48279999999886</v>
      </c>
      <c r="AG61" s="6" t="str">
        <f>TEXT(Data3[[#This Row],[OrderDate]], "mmm-yyyy")</f>
        <v>May-2023</v>
      </c>
      <c r="AH61" s="7">
        <f>IF(Data3[[#This Row],[GrossRevenue]]=0, 0,Data3[[#This Row],[GrossProfit]]/Data3[[#This Row],[GrossRevenue]])</f>
        <v>-3.6469245630880096E-2</v>
      </c>
      <c r="AI61" s="5">
        <f t="shared" si="3"/>
        <v>4427.9172000000008</v>
      </c>
    </row>
    <row r="62" spans="1:35" x14ac:dyDescent="0.35">
      <c r="A62" s="4" t="s">
        <v>247</v>
      </c>
      <c r="B62" s="2">
        <v>45187</v>
      </c>
      <c r="C62" s="2" t="str">
        <f>TEXT(Data3[[#This Row],[OrderDate]],"MMM-YYYY")</f>
        <v>Sep-2023</v>
      </c>
      <c r="D62" s="4" t="str">
        <f>"Q"&amp;INT((MONTH(Data3[[#This Row],[OrderDate]])-1)/3)+1&amp;"-"&amp;YEAR(Data3[[#This Row],[OrderDate]])</f>
        <v>Q3-2023</v>
      </c>
      <c r="E62" s="2">
        <v>45207</v>
      </c>
      <c r="F62" t="s">
        <v>45</v>
      </c>
      <c r="G62" t="s">
        <v>60</v>
      </c>
      <c r="H62" s="4" t="s">
        <v>141</v>
      </c>
      <c r="I62" t="s">
        <v>62</v>
      </c>
      <c r="J62" s="4" t="s">
        <v>98</v>
      </c>
      <c r="K62" s="4" t="s">
        <v>56</v>
      </c>
      <c r="L62" t="s">
        <v>22</v>
      </c>
      <c r="M62" s="4" t="s">
        <v>248</v>
      </c>
      <c r="N62" s="3">
        <v>825.64</v>
      </c>
      <c r="O62" s="3">
        <v>1108.43</v>
      </c>
      <c r="P62" s="3">
        <v>0.114</v>
      </c>
      <c r="Q62" s="3">
        <v>7</v>
      </c>
      <c r="R62" t="s">
        <v>56</v>
      </c>
      <c r="S62" t="s">
        <v>141</v>
      </c>
      <c r="T62" t="s">
        <v>98</v>
      </c>
      <c r="U62">
        <v>1108.43</v>
      </c>
      <c r="V62" t="str" cm="1">
        <f t="array" ref="V62">_xlfn.IFS(Data3[[#This Row],[CorrectedUnitPriceCustom]]&lt;=$W$2, "Low",Data3[[#This Row],[CorrectedUnitPriceCustom]]&lt;=$Y$2, "Medium", TRUE, "High")</f>
        <v>Medium</v>
      </c>
      <c r="W62">
        <f t="shared" si="0"/>
        <v>605.79999999999995</v>
      </c>
      <c r="X62">
        <f t="shared" si="1"/>
        <v>1270.02</v>
      </c>
      <c r="Y62">
        <f t="shared" si="4"/>
        <v>1985.3025</v>
      </c>
      <c r="Z62">
        <v>0.114</v>
      </c>
      <c r="AA62" t="s">
        <v>1372</v>
      </c>
      <c r="AB62" s="1">
        <v>45207</v>
      </c>
      <c r="AC62">
        <v>20</v>
      </c>
      <c r="AD62" s="5">
        <f>Data3[[#This Row],[UnitPrice]]*Data3[[#This Row],[Quantity]]*(1-Data3[[#This Row],[DiscountPct]])</f>
        <v>6874.4828600000001</v>
      </c>
      <c r="AE62" s="6">
        <f>Data3[[#This Row],[UnitPrice]]*Data3[[#This Row],[Quantity]]</f>
        <v>7759.01</v>
      </c>
      <c r="AF62" s="6">
        <f>Data3[[#This Row],[GrossRevenue]]-(Data3[[#This Row],[Quantity]]*Data3[[#This Row],[UnitCost]])</f>
        <v>1095.0028600000005</v>
      </c>
      <c r="AG62" s="6" t="str">
        <f>TEXT(Data3[[#This Row],[OrderDate]], "mmm-yyyy")</f>
        <v>Sep-2023</v>
      </c>
      <c r="AH62" s="7">
        <f>IF(Data3[[#This Row],[GrossRevenue]]=0, 0,Data3[[#This Row],[GrossProfit]]/Data3[[#This Row],[GrossRevenue]])</f>
        <v>0.15928512475773349</v>
      </c>
      <c r="AI62" s="5">
        <f t="shared" si="3"/>
        <v>6874.4828600000001</v>
      </c>
    </row>
    <row r="63" spans="1:35" x14ac:dyDescent="0.35">
      <c r="A63" s="4" t="s">
        <v>249</v>
      </c>
      <c r="B63" s="2">
        <v>45532</v>
      </c>
      <c r="C63" s="2" t="str">
        <f>TEXT(Data3[[#This Row],[OrderDate]],"MMM-YYYY")</f>
        <v>Aug-2024</v>
      </c>
      <c r="D63" s="4" t="str">
        <f>"Q"&amp;INT((MONTH(Data3[[#This Row],[OrderDate]])-1)/3)+1&amp;"-"&amp;YEAR(Data3[[#This Row],[OrderDate]])</f>
        <v>Q3-2024</v>
      </c>
      <c r="E63" s="2">
        <v>45560</v>
      </c>
      <c r="F63" t="s">
        <v>52</v>
      </c>
      <c r="G63" t="s">
        <v>73</v>
      </c>
      <c r="H63" s="4" t="s">
        <v>225</v>
      </c>
      <c r="I63" t="s">
        <v>39</v>
      </c>
      <c r="J63" s="4" t="s">
        <v>28</v>
      </c>
      <c r="L63" t="s">
        <v>81</v>
      </c>
      <c r="M63" s="4" t="s">
        <v>250</v>
      </c>
      <c r="N63" s="3">
        <v>1394.65</v>
      </c>
      <c r="O63" s="3">
        <v>3144.1</v>
      </c>
      <c r="P63" s="3">
        <v>0.13400000000000001</v>
      </c>
      <c r="Q63" s="3">
        <v>13</v>
      </c>
      <c r="R63" t="s">
        <v>1374</v>
      </c>
      <c r="S63" t="s">
        <v>225</v>
      </c>
      <c r="T63" t="s">
        <v>28</v>
      </c>
      <c r="U63">
        <v>3144.1</v>
      </c>
      <c r="V63" t="str" cm="1">
        <f t="array" ref="V63">_xlfn.IFS(Data3[[#This Row],[CorrectedUnitPriceCustom]]&lt;=$W$2, "Low",Data3[[#This Row],[CorrectedUnitPriceCustom]]&lt;=$Y$2, "Medium", TRUE, "High")</f>
        <v>High</v>
      </c>
      <c r="W63">
        <f t="shared" si="0"/>
        <v>604.83999999999992</v>
      </c>
      <c r="X63">
        <f t="shared" si="1"/>
        <v>1285.0899999999999</v>
      </c>
      <c r="Y63">
        <f t="shared" si="4"/>
        <v>1988.4250000000002</v>
      </c>
      <c r="Z63">
        <v>0.13400000000000001</v>
      </c>
      <c r="AA63" t="s">
        <v>1372</v>
      </c>
      <c r="AB63" s="1">
        <v>45560</v>
      </c>
      <c r="AC63">
        <v>28</v>
      </c>
      <c r="AD63" s="5">
        <f>Data3[[#This Row],[UnitPrice]]*Data3[[#This Row],[Quantity]]*(1-Data3[[#This Row],[DiscountPct]])</f>
        <v>35396.277799999996</v>
      </c>
      <c r="AE63" s="6">
        <f>Data3[[#This Row],[UnitPrice]]*Data3[[#This Row],[Quantity]]</f>
        <v>40873.299999999996</v>
      </c>
      <c r="AF63" s="6">
        <f>Data3[[#This Row],[GrossRevenue]]-(Data3[[#This Row],[Quantity]]*Data3[[#This Row],[UnitCost]])</f>
        <v>17265.827799999995</v>
      </c>
      <c r="AG63" s="6" t="str">
        <f>TEXT(Data3[[#This Row],[OrderDate]], "mmm-yyyy")</f>
        <v>Aug-2024</v>
      </c>
      <c r="AH63" s="7">
        <f>IF(Data3[[#This Row],[GrossRevenue]]=0, 0,Data3[[#This Row],[GrossProfit]]/Data3[[#This Row],[GrossRevenue]])</f>
        <v>0.4877865378263021</v>
      </c>
      <c r="AI63" s="5">
        <f t="shared" si="3"/>
        <v>35396.277799999996</v>
      </c>
    </row>
    <row r="64" spans="1:35" x14ac:dyDescent="0.35">
      <c r="A64" s="4" t="s">
        <v>253</v>
      </c>
      <c r="B64" s="2">
        <v>45091</v>
      </c>
      <c r="C64" s="2" t="str">
        <f>TEXT(Data3[[#This Row],[OrderDate]],"MMM-YYYY")</f>
        <v>Jun-2023</v>
      </c>
      <c r="D64" s="4" t="str">
        <f>"Q"&amp;INT((MONTH(Data3[[#This Row],[OrderDate]])-1)/3)+1&amp;"-"&amp;YEAR(Data3[[#This Row],[OrderDate]])</f>
        <v>Q2-2023</v>
      </c>
      <c r="E64" s="2">
        <v>45093</v>
      </c>
      <c r="F64" t="s">
        <v>78</v>
      </c>
      <c r="G64" t="s">
        <v>108</v>
      </c>
      <c r="H64" s="4" t="s">
        <v>228</v>
      </c>
      <c r="I64" t="s">
        <v>39</v>
      </c>
      <c r="J64" s="4" t="s">
        <v>98</v>
      </c>
      <c r="K64" s="4" t="s">
        <v>95</v>
      </c>
      <c r="L64" t="s">
        <v>22</v>
      </c>
      <c r="M64" s="4" t="s">
        <v>254</v>
      </c>
      <c r="N64" s="3">
        <v>357.36</v>
      </c>
      <c r="O64" s="3">
        <v>703.62</v>
      </c>
      <c r="P64" s="3">
        <v>0.25700000000000001</v>
      </c>
      <c r="Q64" s="3">
        <v>20</v>
      </c>
      <c r="R64" t="s">
        <v>95</v>
      </c>
      <c r="S64" t="s">
        <v>228</v>
      </c>
      <c r="T64" t="s">
        <v>98</v>
      </c>
      <c r="U64">
        <v>703.62</v>
      </c>
      <c r="V64" t="str" cm="1">
        <f t="array" ref="V64">_xlfn.IFS(Data3[[#This Row],[CorrectedUnitPriceCustom]]&lt;=$W$2, "Low",Data3[[#This Row],[CorrectedUnitPriceCustom]]&lt;=$Y$2, "Medium", TRUE, "High")</f>
        <v>Medium</v>
      </c>
      <c r="W64">
        <f t="shared" si="0"/>
        <v>603.88</v>
      </c>
      <c r="X64">
        <f t="shared" si="1"/>
        <v>1270.02</v>
      </c>
      <c r="Y64">
        <f t="shared" si="4"/>
        <v>1981.3625000000002</v>
      </c>
      <c r="Z64">
        <v>0.25700000000000001</v>
      </c>
      <c r="AA64" t="s">
        <v>1372</v>
      </c>
      <c r="AB64" s="1">
        <v>45093</v>
      </c>
      <c r="AC64">
        <v>2</v>
      </c>
      <c r="AD64" s="5">
        <f>Data3[[#This Row],[UnitPrice]]*Data3[[#This Row],[Quantity]]*(1-Data3[[#This Row],[DiscountPct]])</f>
        <v>10455.7932</v>
      </c>
      <c r="AE64" s="6">
        <f>Data3[[#This Row],[UnitPrice]]*Data3[[#This Row],[Quantity]]</f>
        <v>14072.4</v>
      </c>
      <c r="AF64" s="6">
        <f>Data3[[#This Row],[GrossRevenue]]-(Data3[[#This Row],[Quantity]]*Data3[[#This Row],[UnitCost]])</f>
        <v>3308.5931999999993</v>
      </c>
      <c r="AG64" s="6" t="str">
        <f>TEXT(Data3[[#This Row],[OrderDate]], "mmm-yyyy")</f>
        <v>Jun-2023</v>
      </c>
      <c r="AH64" s="7">
        <f>IF(Data3[[#This Row],[GrossRevenue]]=0, 0,Data3[[#This Row],[GrossProfit]]/Data3[[#This Row],[GrossRevenue]])</f>
        <v>0.31643636563125593</v>
      </c>
      <c r="AI64" s="5">
        <f t="shared" si="3"/>
        <v>10455.7932</v>
      </c>
    </row>
    <row r="65" spans="1:35" x14ac:dyDescent="0.35">
      <c r="A65" s="4" t="s">
        <v>255</v>
      </c>
      <c r="B65" s="2">
        <v>45617</v>
      </c>
      <c r="C65" s="2" t="str">
        <f>TEXT(Data3[[#This Row],[OrderDate]],"MMM-YYYY")</f>
        <v>Nov-2024</v>
      </c>
      <c r="D65" s="4" t="str">
        <f>"Q"&amp;INT((MONTH(Data3[[#This Row],[OrderDate]])-1)/3)+1&amp;"-"&amp;YEAR(Data3[[#This Row],[OrderDate]])</f>
        <v>Q4-2024</v>
      </c>
      <c r="E65" s="2">
        <v>45647</v>
      </c>
      <c r="F65" t="s">
        <v>78</v>
      </c>
      <c r="G65" t="s">
        <v>90</v>
      </c>
      <c r="H65" s="4" t="s">
        <v>91</v>
      </c>
      <c r="I65" t="s">
        <v>62</v>
      </c>
      <c r="J65" s="4" t="s">
        <v>98</v>
      </c>
      <c r="K65" s="4" t="s">
        <v>34</v>
      </c>
      <c r="L65" t="s">
        <v>64</v>
      </c>
      <c r="M65" s="4" t="s">
        <v>256</v>
      </c>
      <c r="N65" s="3">
        <v>1122.68</v>
      </c>
      <c r="O65" s="3">
        <v>1997.19</v>
      </c>
      <c r="P65" s="3">
        <v>0.186</v>
      </c>
      <c r="Q65" s="3">
        <v>3</v>
      </c>
      <c r="R65" t="s">
        <v>34</v>
      </c>
      <c r="S65" t="s">
        <v>91</v>
      </c>
      <c r="T65" t="s">
        <v>98</v>
      </c>
      <c r="U65">
        <v>1997.19</v>
      </c>
      <c r="V65" t="str" cm="1">
        <f t="array" ref="V65">_xlfn.IFS(Data3[[#This Row],[CorrectedUnitPriceCustom]]&lt;=$W$2, "Low",Data3[[#This Row],[CorrectedUnitPriceCustom]]&lt;=$Y$2, "Medium", TRUE, "High")</f>
        <v>High</v>
      </c>
      <c r="W65">
        <f t="shared" si="0"/>
        <v>602.91999999999996</v>
      </c>
      <c r="X65">
        <f t="shared" si="1"/>
        <v>1285.0899999999999</v>
      </c>
      <c r="Y65">
        <f t="shared" si="4"/>
        <v>1982.18</v>
      </c>
      <c r="Z65">
        <v>0.186</v>
      </c>
      <c r="AA65" t="s">
        <v>1372</v>
      </c>
      <c r="AB65" s="1">
        <v>45647</v>
      </c>
      <c r="AC65">
        <v>30</v>
      </c>
      <c r="AD65" s="5">
        <f>Data3[[#This Row],[UnitPrice]]*Data3[[#This Row],[Quantity]]*(1-Data3[[#This Row],[DiscountPct]])</f>
        <v>4877.1379800000004</v>
      </c>
      <c r="AE65" s="6">
        <f>Data3[[#This Row],[UnitPrice]]*Data3[[#This Row],[Quantity]]</f>
        <v>5991.57</v>
      </c>
      <c r="AF65" s="6">
        <f>Data3[[#This Row],[GrossRevenue]]-(Data3[[#This Row],[Quantity]]*Data3[[#This Row],[UnitCost]])</f>
        <v>1509.0979800000005</v>
      </c>
      <c r="AG65" s="6" t="str">
        <f>TEXT(Data3[[#This Row],[OrderDate]], "mmm-yyyy")</f>
        <v>Nov-2024</v>
      </c>
      <c r="AH65" s="7">
        <f>IF(Data3[[#This Row],[GrossRevenue]]=0, 0,Data3[[#This Row],[GrossProfit]]/Data3[[#This Row],[GrossRevenue]])</f>
        <v>0.30942285951073306</v>
      </c>
      <c r="AI65" s="5">
        <f t="shared" si="3"/>
        <v>4877.1379800000004</v>
      </c>
    </row>
    <row r="66" spans="1:35" x14ac:dyDescent="0.35">
      <c r="A66" s="4" t="s">
        <v>257</v>
      </c>
      <c r="B66" s="2">
        <v>44965</v>
      </c>
      <c r="C66" s="2" t="str">
        <f>TEXT(Data3[[#This Row],[OrderDate]],"MMM-YYYY")</f>
        <v>Feb-2023</v>
      </c>
      <c r="D66" s="4" t="str">
        <f>"Q"&amp;INT((MONTH(Data3[[#This Row],[OrderDate]])-1)/3)+1&amp;"-"&amp;YEAR(Data3[[#This Row],[OrderDate]])</f>
        <v>Q1-2023</v>
      </c>
      <c r="E66" s="2">
        <v>44968</v>
      </c>
      <c r="F66" t="s">
        <v>16</v>
      </c>
      <c r="G66" t="s">
        <v>148</v>
      </c>
      <c r="H66" s="4" t="s">
        <v>258</v>
      </c>
      <c r="I66" t="s">
        <v>19</v>
      </c>
      <c r="J66" s="4" t="s">
        <v>98</v>
      </c>
      <c r="K66" s="4" t="s">
        <v>110</v>
      </c>
      <c r="L66" t="s">
        <v>35</v>
      </c>
      <c r="M66" s="4" t="s">
        <v>259</v>
      </c>
      <c r="N66" s="3">
        <v>1410.05</v>
      </c>
      <c r="O66" s="3">
        <v>2763.95</v>
      </c>
      <c r="P66" s="3">
        <v>0.161</v>
      </c>
      <c r="Q66" s="3">
        <v>26</v>
      </c>
      <c r="R66" t="s">
        <v>110</v>
      </c>
      <c r="S66" t="s">
        <v>258</v>
      </c>
      <c r="T66" t="s">
        <v>98</v>
      </c>
      <c r="U66">
        <v>2763.95</v>
      </c>
      <c r="V66" t="str" cm="1">
        <f t="array" ref="V66">_xlfn.IFS(Data3[[#This Row],[CorrectedUnitPriceCustom]]&lt;=$W$2, "Low",Data3[[#This Row],[CorrectedUnitPriceCustom]]&lt;=$Y$2, "Medium", TRUE, "High")</f>
        <v>High</v>
      </c>
      <c r="W66">
        <f t="shared" ref="W66:W129" si="5">_xlfn.PERCENTILE.INC(U66:U293,0.25)</f>
        <v>595.36749999999995</v>
      </c>
      <c r="X66">
        <f t="shared" ref="X66:X129" si="6">_xlfn.PERCENTILE.INC(U66:U293,0.5)</f>
        <v>1270.02</v>
      </c>
      <c r="Y66">
        <f t="shared" ref="Y66:Y129" si="7">_xlfn.PERCENTILE.INC(U66:U293,0.75)</f>
        <v>1979.7275</v>
      </c>
      <c r="Z66">
        <v>0.161</v>
      </c>
      <c r="AA66" t="s">
        <v>1372</v>
      </c>
      <c r="AB66" s="1">
        <v>44968</v>
      </c>
      <c r="AC66">
        <v>3</v>
      </c>
      <c r="AD66" s="5">
        <f>Data3[[#This Row],[UnitPrice]]*Data3[[#This Row],[Quantity]]*(1-Data3[[#This Row],[DiscountPct]])</f>
        <v>60292.805299999993</v>
      </c>
      <c r="AE66" s="6">
        <f>Data3[[#This Row],[UnitPrice]]*Data3[[#This Row],[Quantity]]</f>
        <v>71862.7</v>
      </c>
      <c r="AF66" s="6">
        <f>Data3[[#This Row],[GrossRevenue]]-(Data3[[#This Row],[Quantity]]*Data3[[#This Row],[UnitCost]])</f>
        <v>23631.505299999997</v>
      </c>
      <c r="AG66" s="6" t="str">
        <f>TEXT(Data3[[#This Row],[OrderDate]], "mmm-yyyy")</f>
        <v>Feb-2023</v>
      </c>
      <c r="AH66" s="7">
        <f>IF(Data3[[#This Row],[GrossRevenue]]=0, 0,Data3[[#This Row],[GrossProfit]]/Data3[[#This Row],[GrossRevenue]])</f>
        <v>0.39194569206750779</v>
      </c>
      <c r="AI66" s="5">
        <f t="shared" ref="AI66:AI129" si="8">AD66</f>
        <v>60292.805299999993</v>
      </c>
    </row>
    <row r="67" spans="1:35" x14ac:dyDescent="0.35">
      <c r="A67" s="4" t="s">
        <v>260</v>
      </c>
      <c r="B67" s="2">
        <v>45157</v>
      </c>
      <c r="C67" s="2" t="str">
        <f>TEXT(Data3[[#This Row],[OrderDate]],"MMM-YYYY")</f>
        <v>Aug-2023</v>
      </c>
      <c r="D67" s="4" t="str">
        <f>"Q"&amp;INT((MONTH(Data3[[#This Row],[OrderDate]])-1)/3)+1&amp;"-"&amp;YEAR(Data3[[#This Row],[OrderDate]])</f>
        <v>Q3-2023</v>
      </c>
      <c r="E67" s="2">
        <v>45181</v>
      </c>
      <c r="F67" t="s">
        <v>52</v>
      </c>
      <c r="G67" t="s">
        <v>53</v>
      </c>
      <c r="H67" s="4" t="s">
        <v>179</v>
      </c>
      <c r="I67" t="s">
        <v>105</v>
      </c>
      <c r="J67" s="4" t="s">
        <v>20</v>
      </c>
      <c r="K67" s="4" t="s">
        <v>34</v>
      </c>
      <c r="L67" t="s">
        <v>30</v>
      </c>
      <c r="M67" s="4" t="s">
        <v>261</v>
      </c>
      <c r="N67" s="3">
        <v>1183.95</v>
      </c>
      <c r="O67" s="3">
        <v>1503.53</v>
      </c>
      <c r="P67" s="3">
        <v>0.24099999999999999</v>
      </c>
      <c r="Q67" s="3">
        <v>16</v>
      </c>
      <c r="R67" t="s">
        <v>34</v>
      </c>
      <c r="S67" t="s">
        <v>179</v>
      </c>
      <c r="T67" t="s">
        <v>20</v>
      </c>
      <c r="U67">
        <v>1503.53</v>
      </c>
      <c r="V67" t="str" cm="1">
        <f t="array" ref="V67">_xlfn.IFS(Data3[[#This Row],[CorrectedUnitPriceCustom]]&lt;=$W$2, "Low",Data3[[#This Row],[CorrectedUnitPriceCustom]]&lt;=$Y$2, "Medium", TRUE, "High")</f>
        <v>Medium</v>
      </c>
      <c r="W67">
        <f t="shared" si="5"/>
        <v>587.81500000000005</v>
      </c>
      <c r="X67">
        <f t="shared" si="6"/>
        <v>1254.95</v>
      </c>
      <c r="Y67">
        <f t="shared" si="7"/>
        <v>1965.4749999999999</v>
      </c>
      <c r="Z67">
        <v>0.24099999999999999</v>
      </c>
      <c r="AA67" t="s">
        <v>1372</v>
      </c>
      <c r="AB67" s="1">
        <v>45181</v>
      </c>
      <c r="AC67">
        <v>24</v>
      </c>
      <c r="AD67" s="5">
        <f>Data3[[#This Row],[UnitPrice]]*Data3[[#This Row],[Quantity]]*(1-Data3[[#This Row],[DiscountPct]])</f>
        <v>18258.868320000001</v>
      </c>
      <c r="AE67" s="6">
        <f>Data3[[#This Row],[UnitPrice]]*Data3[[#This Row],[Quantity]]</f>
        <v>24056.48</v>
      </c>
      <c r="AF67" s="6">
        <f>Data3[[#This Row],[GrossRevenue]]-(Data3[[#This Row],[Quantity]]*Data3[[#This Row],[UnitCost]])</f>
        <v>-684.33167999999932</v>
      </c>
      <c r="AG67" s="6" t="str">
        <f>TEXT(Data3[[#This Row],[OrderDate]], "mmm-yyyy")</f>
        <v>Aug-2023</v>
      </c>
      <c r="AH67" s="7">
        <f>IF(Data3[[#This Row],[GrossRevenue]]=0, 0,Data3[[#This Row],[GrossProfit]]/Data3[[#This Row],[GrossRevenue]])</f>
        <v>-3.7479413729623705E-2</v>
      </c>
      <c r="AI67" s="5">
        <f t="shared" si="8"/>
        <v>18258.868320000001</v>
      </c>
    </row>
    <row r="68" spans="1:35" x14ac:dyDescent="0.35">
      <c r="A68" s="4" t="s">
        <v>264</v>
      </c>
      <c r="B68" s="2">
        <v>45770</v>
      </c>
      <c r="C68" s="2" t="str">
        <f>TEXT(Data3[[#This Row],[OrderDate]],"MMM-YYYY")</f>
        <v>Apr-2025</v>
      </c>
      <c r="D68" s="4" t="str">
        <f>"Q"&amp;INT((MONTH(Data3[[#This Row],[OrderDate]])-1)/3)+1&amp;"-"&amp;YEAR(Data3[[#This Row],[OrderDate]])</f>
        <v>Q2-2025</v>
      </c>
      <c r="E68" s="2">
        <v>45769</v>
      </c>
      <c r="F68" t="s">
        <v>52</v>
      </c>
      <c r="G68" t="s">
        <v>122</v>
      </c>
      <c r="H68" s="4" t="s">
        <v>167</v>
      </c>
      <c r="I68" t="s">
        <v>39</v>
      </c>
      <c r="J68" s="4" t="s">
        <v>55</v>
      </c>
      <c r="K68" s="4" t="s">
        <v>145</v>
      </c>
      <c r="L68" t="s">
        <v>64</v>
      </c>
      <c r="M68" s="4" t="s">
        <v>265</v>
      </c>
      <c r="N68" s="3">
        <v>23.24</v>
      </c>
      <c r="O68" s="3">
        <v>44.57</v>
      </c>
      <c r="P68" s="3">
        <v>0.215</v>
      </c>
      <c r="Q68" s="3">
        <v>15</v>
      </c>
      <c r="R68" t="s">
        <v>145</v>
      </c>
      <c r="S68" t="s">
        <v>167</v>
      </c>
      <c r="T68" t="s">
        <v>55</v>
      </c>
      <c r="U68">
        <v>44.57</v>
      </c>
      <c r="V68" t="str" cm="1">
        <f t="array" ref="V68">_xlfn.IFS(Data3[[#This Row],[CorrectedUnitPriceCustom]]&lt;=$W$2, "Low",Data3[[#This Row],[CorrectedUnitPriceCustom]]&lt;=$Y$2, "Medium", TRUE, "High")</f>
        <v>Low</v>
      </c>
      <c r="W68">
        <f t="shared" si="5"/>
        <v>580.26250000000005</v>
      </c>
      <c r="X68">
        <f t="shared" si="6"/>
        <v>1250.68</v>
      </c>
      <c r="Y68">
        <f t="shared" si="7"/>
        <v>1972.1925000000001</v>
      </c>
      <c r="Z68">
        <v>0.215</v>
      </c>
      <c r="AA68" t="s">
        <v>1372</v>
      </c>
      <c r="AB68" s="1">
        <v>45777</v>
      </c>
      <c r="AC68">
        <v>7</v>
      </c>
      <c r="AD68" s="5">
        <f>Data3[[#This Row],[UnitPrice]]*Data3[[#This Row],[Quantity]]*(1-Data3[[#This Row],[DiscountPct]])</f>
        <v>524.81174999999996</v>
      </c>
      <c r="AE68" s="6">
        <f>Data3[[#This Row],[UnitPrice]]*Data3[[#This Row],[Quantity]]</f>
        <v>668.55</v>
      </c>
      <c r="AF68" s="6">
        <f>Data3[[#This Row],[GrossRevenue]]-(Data3[[#This Row],[Quantity]]*Data3[[#This Row],[UnitCost]])</f>
        <v>176.21174999999999</v>
      </c>
      <c r="AG68" s="6" t="str">
        <f>TEXT(Data3[[#This Row],[OrderDate]], "mmm-yyyy")</f>
        <v>Apr-2025</v>
      </c>
      <c r="AH68" s="7">
        <f>IF(Data3[[#This Row],[GrossRevenue]]=0, 0,Data3[[#This Row],[GrossProfit]]/Data3[[#This Row],[GrossRevenue]])</f>
        <v>0.33576182316802167</v>
      </c>
      <c r="AI68" s="5">
        <f t="shared" si="8"/>
        <v>524.81174999999996</v>
      </c>
    </row>
    <row r="69" spans="1:35" x14ac:dyDescent="0.35">
      <c r="A69" s="4" t="s">
        <v>266</v>
      </c>
      <c r="B69" s="2">
        <v>45741</v>
      </c>
      <c r="C69" s="2" t="str">
        <f>TEXT(Data3[[#This Row],[OrderDate]],"MMM-YYYY")</f>
        <v>Mar-2025</v>
      </c>
      <c r="D69" s="4" t="str">
        <f>"Q"&amp;INT((MONTH(Data3[[#This Row],[OrderDate]])-1)/3)+1&amp;"-"&amp;YEAR(Data3[[#This Row],[OrderDate]])</f>
        <v>Q1-2025</v>
      </c>
      <c r="E69" s="2">
        <v>45764</v>
      </c>
      <c r="F69" t="s">
        <v>78</v>
      </c>
      <c r="G69" t="s">
        <v>108</v>
      </c>
      <c r="H69" s="4" t="s">
        <v>152</v>
      </c>
      <c r="I69" t="s">
        <v>48</v>
      </c>
      <c r="J69" s="4" t="s">
        <v>20</v>
      </c>
      <c r="K69" s="4" t="s">
        <v>92</v>
      </c>
      <c r="L69" t="s">
        <v>35</v>
      </c>
      <c r="M69" s="4" t="s">
        <v>267</v>
      </c>
      <c r="N69" s="3">
        <v>1421.19</v>
      </c>
      <c r="O69" s="3">
        <v>1808.26</v>
      </c>
      <c r="P69" s="3">
        <v>0.104</v>
      </c>
      <c r="Q69" s="3">
        <v>13</v>
      </c>
      <c r="R69" t="s">
        <v>92</v>
      </c>
      <c r="S69" t="s">
        <v>152</v>
      </c>
      <c r="T69" t="s">
        <v>20</v>
      </c>
      <c r="U69">
        <v>1808.26</v>
      </c>
      <c r="V69" t="str" cm="1">
        <f t="array" ref="V69">_xlfn.IFS(Data3[[#This Row],[CorrectedUnitPriceCustom]]&lt;=$W$2, "Low",Data3[[#This Row],[CorrectedUnitPriceCustom]]&lt;=$Y$2, "Medium", TRUE, "High")</f>
        <v>Medium</v>
      </c>
      <c r="W69">
        <f t="shared" si="5"/>
        <v>602.91999999999996</v>
      </c>
      <c r="X69">
        <f t="shared" si="6"/>
        <v>1254.95</v>
      </c>
      <c r="Y69">
        <f t="shared" si="7"/>
        <v>1978.91</v>
      </c>
      <c r="Z69">
        <v>0.104</v>
      </c>
      <c r="AA69" t="s">
        <v>1372</v>
      </c>
      <c r="AB69" s="1">
        <v>45764</v>
      </c>
      <c r="AC69">
        <v>23</v>
      </c>
      <c r="AD69" s="5">
        <f>Data3[[#This Row],[UnitPrice]]*Data3[[#This Row],[Quantity]]*(1-Data3[[#This Row],[DiscountPct]])</f>
        <v>21062.61248</v>
      </c>
      <c r="AE69" s="6">
        <f>Data3[[#This Row],[UnitPrice]]*Data3[[#This Row],[Quantity]]</f>
        <v>23507.38</v>
      </c>
      <c r="AF69" s="6">
        <f>Data3[[#This Row],[GrossRevenue]]-(Data3[[#This Row],[Quantity]]*Data3[[#This Row],[UnitCost]])</f>
        <v>2587.1424799999986</v>
      </c>
      <c r="AG69" s="6" t="str">
        <f>TEXT(Data3[[#This Row],[OrderDate]], "mmm-yyyy")</f>
        <v>Mar-2025</v>
      </c>
      <c r="AH69" s="7">
        <f>IF(Data3[[#This Row],[GrossRevenue]]=0, 0,Data3[[#This Row],[GrossProfit]]/Data3[[#This Row],[GrossRevenue]])</f>
        <v>0.12283103449093123</v>
      </c>
      <c r="AI69" s="5">
        <f t="shared" si="8"/>
        <v>21062.61248</v>
      </c>
    </row>
    <row r="70" spans="1:35" x14ac:dyDescent="0.35">
      <c r="A70" s="4" t="s">
        <v>268</v>
      </c>
      <c r="B70" s="2">
        <v>45282</v>
      </c>
      <c r="C70" s="2" t="str">
        <f>TEXT(Data3[[#This Row],[OrderDate]],"MMM-YYYY")</f>
        <v>Dec-2023</v>
      </c>
      <c r="D70" s="4" t="str">
        <f>"Q"&amp;INT((MONTH(Data3[[#This Row],[OrderDate]])-1)/3)+1&amp;"-"&amp;YEAR(Data3[[#This Row],[OrderDate]])</f>
        <v>Q4-2023</v>
      </c>
      <c r="E70" s="2">
        <v>45283</v>
      </c>
      <c r="F70" t="s">
        <v>16</v>
      </c>
      <c r="G70" t="s">
        <v>148</v>
      </c>
      <c r="H70" s="4" t="s">
        <v>258</v>
      </c>
      <c r="I70" t="s">
        <v>39</v>
      </c>
      <c r="J70" s="4" t="s">
        <v>40</v>
      </c>
      <c r="K70" s="4" t="s">
        <v>145</v>
      </c>
      <c r="L70" t="s">
        <v>22</v>
      </c>
      <c r="M70" s="4" t="s">
        <v>269</v>
      </c>
      <c r="N70" s="3">
        <v>1186.18</v>
      </c>
      <c r="O70" s="3">
        <v>1285.0899999999999</v>
      </c>
      <c r="P70" s="3">
        <v>7.0000000000000007E-2</v>
      </c>
      <c r="Q70" s="3">
        <v>11</v>
      </c>
      <c r="R70" t="s">
        <v>145</v>
      </c>
      <c r="S70" t="s">
        <v>258</v>
      </c>
      <c r="T70" t="s">
        <v>40</v>
      </c>
      <c r="U70">
        <v>1285.0899999999999</v>
      </c>
      <c r="V70" t="str" cm="1">
        <f t="array" ref="V70">_xlfn.IFS(Data3[[#This Row],[CorrectedUnitPriceCustom]]&lt;=$W$2, "Low",Data3[[#This Row],[CorrectedUnitPriceCustom]]&lt;=$Y$2, "Medium", TRUE, "High")</f>
        <v>Medium</v>
      </c>
      <c r="W70">
        <f t="shared" si="5"/>
        <v>595.36749999999995</v>
      </c>
      <c r="X70">
        <f t="shared" si="6"/>
        <v>1250.68</v>
      </c>
      <c r="Y70">
        <f t="shared" si="7"/>
        <v>1979.7275</v>
      </c>
      <c r="Z70">
        <v>7.0000000000000007E-2</v>
      </c>
      <c r="AA70" t="s">
        <v>1372</v>
      </c>
      <c r="AB70" s="1">
        <v>45283</v>
      </c>
      <c r="AC70">
        <v>1</v>
      </c>
      <c r="AD70" s="5">
        <f>Data3[[#This Row],[UnitPrice]]*Data3[[#This Row],[Quantity]]*(1-Data3[[#This Row],[DiscountPct]])</f>
        <v>13146.470699999998</v>
      </c>
      <c r="AE70" s="6">
        <f>Data3[[#This Row],[UnitPrice]]*Data3[[#This Row],[Quantity]]</f>
        <v>14135.99</v>
      </c>
      <c r="AF70" s="6">
        <f>Data3[[#This Row],[GrossRevenue]]-(Data3[[#This Row],[Quantity]]*Data3[[#This Row],[UnitCost]])</f>
        <v>98.49069999999665</v>
      </c>
      <c r="AG70" s="6" t="str">
        <f>TEXT(Data3[[#This Row],[OrderDate]], "mmm-yyyy")</f>
        <v>Dec-2023</v>
      </c>
      <c r="AH70" s="7">
        <f>IF(Data3[[#This Row],[GrossRevenue]]=0, 0,Data3[[#This Row],[GrossProfit]]/Data3[[#This Row],[GrossRevenue]])</f>
        <v>7.4917977796121861E-3</v>
      </c>
      <c r="AI70" s="5">
        <f t="shared" si="8"/>
        <v>13146.470699999998</v>
      </c>
    </row>
    <row r="71" spans="1:35" x14ac:dyDescent="0.35">
      <c r="A71" s="4" t="s">
        <v>270</v>
      </c>
      <c r="B71" s="2">
        <v>45388</v>
      </c>
      <c r="C71" s="2" t="str">
        <f>TEXT(Data3[[#This Row],[OrderDate]],"MMM-YYYY")</f>
        <v>Apr-2024</v>
      </c>
      <c r="D71" s="4" t="str">
        <f>"Q"&amp;INT((MONTH(Data3[[#This Row],[OrderDate]])-1)/3)+1&amp;"-"&amp;YEAR(Data3[[#This Row],[OrderDate]])</f>
        <v>Q2-2024</v>
      </c>
      <c r="E71" s="2">
        <v>45407</v>
      </c>
      <c r="F71" t="s">
        <v>45</v>
      </c>
      <c r="G71" t="s">
        <v>116</v>
      </c>
      <c r="H71" s="4" t="s">
        <v>162</v>
      </c>
      <c r="I71" t="s">
        <v>19</v>
      </c>
      <c r="J71" s="4" t="s">
        <v>20</v>
      </c>
      <c r="K71" s="4" t="s">
        <v>95</v>
      </c>
      <c r="L71" t="s">
        <v>22</v>
      </c>
      <c r="M71" s="4" t="s">
        <v>271</v>
      </c>
      <c r="N71" s="3">
        <v>1366.48</v>
      </c>
      <c r="O71" s="3">
        <v>1678.14</v>
      </c>
      <c r="P71" s="3">
        <v>0.154</v>
      </c>
      <c r="Q71" s="3">
        <v>10</v>
      </c>
      <c r="R71" t="s">
        <v>95</v>
      </c>
      <c r="S71" t="s">
        <v>162</v>
      </c>
      <c r="T71" t="s">
        <v>20</v>
      </c>
      <c r="U71">
        <v>1678.14</v>
      </c>
      <c r="V71" t="str" cm="1">
        <f t="array" ref="V71">_xlfn.IFS(Data3[[#This Row],[CorrectedUnitPriceCustom]]&lt;=$W$2, "Low",Data3[[#This Row],[CorrectedUnitPriceCustom]]&lt;=$Y$2, "Medium", TRUE, "High")</f>
        <v>Medium</v>
      </c>
      <c r="W71">
        <f t="shared" si="5"/>
        <v>587.81500000000005</v>
      </c>
      <c r="X71">
        <f t="shared" si="6"/>
        <v>1246.4100000000001</v>
      </c>
      <c r="Y71">
        <f t="shared" si="7"/>
        <v>1980.5450000000001</v>
      </c>
      <c r="Z71">
        <v>0.154</v>
      </c>
      <c r="AA71" t="s">
        <v>1372</v>
      </c>
      <c r="AB71" s="1">
        <v>45407</v>
      </c>
      <c r="AC71">
        <v>19</v>
      </c>
      <c r="AD71" s="5">
        <f>Data3[[#This Row],[UnitPrice]]*Data3[[#This Row],[Quantity]]*(1-Data3[[#This Row],[DiscountPct]])</f>
        <v>14197.064400000001</v>
      </c>
      <c r="AE71" s="6">
        <f>Data3[[#This Row],[UnitPrice]]*Data3[[#This Row],[Quantity]]</f>
        <v>16781.400000000001</v>
      </c>
      <c r="AF71" s="6">
        <f>Data3[[#This Row],[GrossRevenue]]-(Data3[[#This Row],[Quantity]]*Data3[[#This Row],[UnitCost]])</f>
        <v>532.26440000000184</v>
      </c>
      <c r="AG71" s="6" t="str">
        <f>TEXT(Data3[[#This Row],[OrderDate]], "mmm-yyyy")</f>
        <v>Apr-2024</v>
      </c>
      <c r="AH71" s="7">
        <f>IF(Data3[[#This Row],[GrossRevenue]]=0, 0,Data3[[#This Row],[GrossProfit]]/Data3[[#This Row],[GrossRevenue]])</f>
        <v>3.7491159087790132E-2</v>
      </c>
      <c r="AI71" s="5">
        <f t="shared" si="8"/>
        <v>14197.064400000001</v>
      </c>
    </row>
    <row r="72" spans="1:35" x14ac:dyDescent="0.35">
      <c r="A72" s="4" t="s">
        <v>272</v>
      </c>
      <c r="B72" s="2">
        <v>45876</v>
      </c>
      <c r="C72" s="2" t="str">
        <f>TEXT(Data3[[#This Row],[OrderDate]],"MMM-YYYY")</f>
        <v>Aug-2025</v>
      </c>
      <c r="D72" s="4" t="str">
        <f>"Q"&amp;INT((MONTH(Data3[[#This Row],[OrderDate]])-1)/3)+1&amp;"-"&amp;YEAR(Data3[[#This Row],[OrderDate]])</f>
        <v>Q3-2025</v>
      </c>
      <c r="E72" s="2">
        <v>45888</v>
      </c>
      <c r="F72" t="s">
        <v>16</v>
      </c>
      <c r="G72" t="s">
        <v>17</v>
      </c>
      <c r="H72" s="4" t="s">
        <v>135</v>
      </c>
      <c r="I72" t="s">
        <v>19</v>
      </c>
      <c r="K72" s="4" t="s">
        <v>110</v>
      </c>
      <c r="L72" t="s">
        <v>22</v>
      </c>
      <c r="M72" s="4" t="s">
        <v>273</v>
      </c>
      <c r="N72" s="3">
        <v>601.51</v>
      </c>
      <c r="O72" s="3">
        <v>679.35</v>
      </c>
      <c r="P72" s="3">
        <v>0.188</v>
      </c>
      <c r="Q72" s="3">
        <v>3</v>
      </c>
      <c r="R72" t="s">
        <v>110</v>
      </c>
      <c r="S72" t="s">
        <v>135</v>
      </c>
      <c r="T72" t="s">
        <v>1375</v>
      </c>
      <c r="U72">
        <v>679.35</v>
      </c>
      <c r="V72" t="str" cm="1">
        <f t="array" ref="V72">_xlfn.IFS(Data3[[#This Row],[CorrectedUnitPriceCustom]]&lt;=$W$2, "Low",Data3[[#This Row],[CorrectedUnitPriceCustom]]&lt;=$Y$2, "Medium", TRUE, "High")</f>
        <v>Medium</v>
      </c>
      <c r="W72">
        <f t="shared" si="5"/>
        <v>580.26250000000005</v>
      </c>
      <c r="X72">
        <f t="shared" si="6"/>
        <v>1200.375</v>
      </c>
      <c r="Y72">
        <f t="shared" si="7"/>
        <v>1981.3625000000002</v>
      </c>
      <c r="Z72">
        <v>0.188</v>
      </c>
      <c r="AA72" t="s">
        <v>1372</v>
      </c>
      <c r="AB72" s="1">
        <v>45888</v>
      </c>
      <c r="AC72">
        <v>12</v>
      </c>
      <c r="AD72" s="5">
        <f>Data3[[#This Row],[UnitPrice]]*Data3[[#This Row],[Quantity]]*(1-Data3[[#This Row],[DiscountPct]])</f>
        <v>1654.8966000000003</v>
      </c>
      <c r="AE72" s="6">
        <f>Data3[[#This Row],[UnitPrice]]*Data3[[#This Row],[Quantity]]</f>
        <v>2038.0500000000002</v>
      </c>
      <c r="AF72" s="6">
        <f>Data3[[#This Row],[GrossRevenue]]-(Data3[[#This Row],[Quantity]]*Data3[[#This Row],[UnitCost]])</f>
        <v>-149.63339999999971</v>
      </c>
      <c r="AG72" s="6" t="str">
        <f>TEXT(Data3[[#This Row],[OrderDate]], "mmm-yyyy")</f>
        <v>Aug-2025</v>
      </c>
      <c r="AH72" s="7">
        <f>IF(Data3[[#This Row],[GrossRevenue]]=0, 0,Data3[[#This Row],[GrossProfit]]/Data3[[#This Row],[GrossRevenue]])</f>
        <v>-9.0418579626062243E-2</v>
      </c>
      <c r="AI72" s="5">
        <f t="shared" si="8"/>
        <v>1654.8966000000003</v>
      </c>
    </row>
    <row r="73" spans="1:35" x14ac:dyDescent="0.35">
      <c r="A73" s="4" t="s">
        <v>274</v>
      </c>
      <c r="B73" s="2">
        <v>45312</v>
      </c>
      <c r="C73" s="2" t="str">
        <f>TEXT(Data3[[#This Row],[OrderDate]],"MMM-YYYY")</f>
        <v>Jan-2024</v>
      </c>
      <c r="D73" s="4" t="str">
        <f>"Q"&amp;INT((MONTH(Data3[[#This Row],[OrderDate]])-1)/3)+1&amp;"-"&amp;YEAR(Data3[[#This Row],[OrderDate]])</f>
        <v>Q1-2024</v>
      </c>
      <c r="E73" s="2">
        <v>45316</v>
      </c>
      <c r="F73" t="s">
        <v>45</v>
      </c>
      <c r="G73" t="s">
        <v>60</v>
      </c>
      <c r="H73" s="4" t="s">
        <v>141</v>
      </c>
      <c r="I73" t="s">
        <v>48</v>
      </c>
      <c r="J73" s="4" t="s">
        <v>98</v>
      </c>
      <c r="K73" s="4" t="s">
        <v>21</v>
      </c>
      <c r="L73" t="s">
        <v>64</v>
      </c>
      <c r="M73" s="4" t="s">
        <v>275</v>
      </c>
      <c r="N73" s="3">
        <v>523.70000000000005</v>
      </c>
      <c r="O73" s="3">
        <v>1109.92</v>
      </c>
      <c r="P73" s="3">
        <v>0.03</v>
      </c>
      <c r="Q73" s="3">
        <v>11</v>
      </c>
      <c r="R73" t="s">
        <v>21</v>
      </c>
      <c r="S73" t="s">
        <v>141</v>
      </c>
      <c r="T73" t="s">
        <v>98</v>
      </c>
      <c r="U73">
        <v>1109.92</v>
      </c>
      <c r="V73" t="str" cm="1">
        <f t="array" ref="V73">_xlfn.IFS(Data3[[#This Row],[CorrectedUnitPriceCustom]]&lt;=$W$2, "Low",Data3[[#This Row],[CorrectedUnitPriceCustom]]&lt;=$Y$2, "Medium", TRUE, "High")</f>
        <v>Medium</v>
      </c>
      <c r="W73">
        <f t="shared" si="5"/>
        <v>572.71</v>
      </c>
      <c r="X73">
        <f t="shared" si="6"/>
        <v>1246.4100000000001</v>
      </c>
      <c r="Y73">
        <f t="shared" si="7"/>
        <v>1982.18</v>
      </c>
      <c r="Z73">
        <v>0.03</v>
      </c>
      <c r="AA73" t="s">
        <v>1372</v>
      </c>
      <c r="AB73" s="1">
        <v>45316</v>
      </c>
      <c r="AC73">
        <v>4</v>
      </c>
      <c r="AD73" s="5">
        <f>Data3[[#This Row],[UnitPrice]]*Data3[[#This Row],[Quantity]]*(1-Data3[[#This Row],[DiscountPct]])</f>
        <v>11842.8464</v>
      </c>
      <c r="AE73" s="6">
        <f>Data3[[#This Row],[UnitPrice]]*Data3[[#This Row],[Quantity]]</f>
        <v>12209.12</v>
      </c>
      <c r="AF73" s="6">
        <f>Data3[[#This Row],[GrossRevenue]]-(Data3[[#This Row],[Quantity]]*Data3[[#This Row],[UnitCost]])</f>
        <v>6082.1463999999996</v>
      </c>
      <c r="AG73" s="6" t="str">
        <f>TEXT(Data3[[#This Row],[OrderDate]], "mmm-yyyy")</f>
        <v>Jan-2024</v>
      </c>
      <c r="AH73" s="7">
        <f>IF(Data3[[#This Row],[GrossRevenue]]=0, 0,Data3[[#This Row],[GrossProfit]]/Data3[[#This Row],[GrossRevenue]])</f>
        <v>0.51357133197302973</v>
      </c>
      <c r="AI73" s="5">
        <f t="shared" si="8"/>
        <v>11842.8464</v>
      </c>
    </row>
    <row r="74" spans="1:35" x14ac:dyDescent="0.35">
      <c r="A74" s="4" t="s">
        <v>276</v>
      </c>
      <c r="B74" s="2">
        <v>45106</v>
      </c>
      <c r="C74" s="2" t="str">
        <f>TEXT(Data3[[#This Row],[OrderDate]],"MMM-YYYY")</f>
        <v>Jun-2023</v>
      </c>
      <c r="D74" s="4" t="str">
        <f>"Q"&amp;INT((MONTH(Data3[[#This Row],[OrderDate]])-1)/3)+1&amp;"-"&amp;YEAR(Data3[[#This Row],[OrderDate]])</f>
        <v>Q2-2023</v>
      </c>
      <c r="E74" s="2">
        <v>45109</v>
      </c>
      <c r="F74" t="s">
        <v>45</v>
      </c>
      <c r="G74" t="s">
        <v>46</v>
      </c>
      <c r="H74" s="4" t="s">
        <v>231</v>
      </c>
      <c r="I74" t="s">
        <v>27</v>
      </c>
      <c r="J74" s="4" t="s">
        <v>40</v>
      </c>
      <c r="K74" s="4" t="s">
        <v>84</v>
      </c>
      <c r="L74" t="s">
        <v>64</v>
      </c>
      <c r="M74" s="4" t="s">
        <v>277</v>
      </c>
      <c r="N74" s="3">
        <v>55.65</v>
      </c>
      <c r="O74" s="3">
        <v>83.57</v>
      </c>
      <c r="P74" s="3">
        <v>6.6000000000000003E-2</v>
      </c>
      <c r="Q74" s="3">
        <v>8</v>
      </c>
      <c r="R74" t="s">
        <v>84</v>
      </c>
      <c r="S74" t="s">
        <v>231</v>
      </c>
      <c r="T74" t="s">
        <v>40</v>
      </c>
      <c r="U74">
        <v>83.57</v>
      </c>
      <c r="V74" t="str" cm="1">
        <f t="array" ref="V74">_xlfn.IFS(Data3[[#This Row],[CorrectedUnitPriceCustom]]&lt;=$W$2, "Low",Data3[[#This Row],[CorrectedUnitPriceCustom]]&lt;=$Y$2, "Medium", TRUE, "High")</f>
        <v>Low</v>
      </c>
      <c r="W74">
        <f t="shared" si="5"/>
        <v>567.74250000000006</v>
      </c>
      <c r="X74">
        <f t="shared" si="6"/>
        <v>1250.68</v>
      </c>
      <c r="Y74">
        <f t="shared" si="7"/>
        <v>1985.3025</v>
      </c>
      <c r="Z74">
        <v>6.6000000000000003E-2</v>
      </c>
      <c r="AA74" t="s">
        <v>1372</v>
      </c>
      <c r="AB74" s="1">
        <v>45109</v>
      </c>
      <c r="AC74">
        <v>3</v>
      </c>
      <c r="AD74" s="5">
        <f>Data3[[#This Row],[UnitPrice]]*Data3[[#This Row],[Quantity]]*(1-Data3[[#This Row],[DiscountPct]])</f>
        <v>624.43503999999996</v>
      </c>
      <c r="AE74" s="6">
        <f>Data3[[#This Row],[UnitPrice]]*Data3[[#This Row],[Quantity]]</f>
        <v>668.56</v>
      </c>
      <c r="AF74" s="6">
        <f>Data3[[#This Row],[GrossRevenue]]-(Data3[[#This Row],[Quantity]]*Data3[[#This Row],[UnitCost]])</f>
        <v>179.23503999999997</v>
      </c>
      <c r="AG74" s="6" t="str">
        <f>TEXT(Data3[[#This Row],[OrderDate]], "mmm-yyyy")</f>
        <v>Jun-2023</v>
      </c>
      <c r="AH74" s="7">
        <f>IF(Data3[[#This Row],[GrossRevenue]]=0, 0,Data3[[#This Row],[GrossProfit]]/Data3[[#This Row],[GrossRevenue]])</f>
        <v>0.2870355257449998</v>
      </c>
      <c r="AI74" s="5">
        <f t="shared" si="8"/>
        <v>624.43503999999996</v>
      </c>
    </row>
    <row r="75" spans="1:35" x14ac:dyDescent="0.35">
      <c r="A75" s="4" t="s">
        <v>283</v>
      </c>
      <c r="B75" s="2">
        <v>45101</v>
      </c>
      <c r="C75" s="2" t="str">
        <f>TEXT(Data3[[#This Row],[OrderDate]],"MMM-YYYY")</f>
        <v>Jun-2023</v>
      </c>
      <c r="D75" s="4" t="str">
        <f>"Q"&amp;INT((MONTH(Data3[[#This Row],[OrderDate]])-1)/3)+1&amp;"-"&amp;YEAR(Data3[[#This Row],[OrderDate]])</f>
        <v>Q2-2023</v>
      </c>
      <c r="E75" s="2">
        <v>45100</v>
      </c>
      <c r="F75" t="s">
        <v>52</v>
      </c>
      <c r="G75" t="s">
        <v>73</v>
      </c>
      <c r="H75" s="4" t="s">
        <v>225</v>
      </c>
      <c r="I75" t="s">
        <v>39</v>
      </c>
      <c r="J75" s="4" t="s">
        <v>20</v>
      </c>
      <c r="K75" s="4" t="s">
        <v>63</v>
      </c>
      <c r="L75" t="s">
        <v>30</v>
      </c>
      <c r="M75" s="4" t="s">
        <v>284</v>
      </c>
      <c r="N75" s="3">
        <v>804.01</v>
      </c>
      <c r="O75" s="3">
        <v>1405.07</v>
      </c>
      <c r="P75" s="3">
        <v>9.6000000000000002E-2</v>
      </c>
      <c r="Q75" s="3">
        <v>8</v>
      </c>
      <c r="R75" t="s">
        <v>63</v>
      </c>
      <c r="S75" t="s">
        <v>225</v>
      </c>
      <c r="T75" t="s">
        <v>20</v>
      </c>
      <c r="U75">
        <v>1405.07</v>
      </c>
      <c r="V75" t="str" cm="1">
        <f t="array" ref="V75">_xlfn.IFS(Data3[[#This Row],[CorrectedUnitPriceCustom]]&lt;=$W$2, "Low",Data3[[#This Row],[CorrectedUnitPriceCustom]]&lt;=$Y$2, "Medium", TRUE, "High")</f>
        <v>Medium</v>
      </c>
      <c r="W75">
        <f t="shared" si="5"/>
        <v>587.81500000000005</v>
      </c>
      <c r="X75">
        <f t="shared" si="6"/>
        <v>1254.95</v>
      </c>
      <c r="Y75">
        <f t="shared" si="7"/>
        <v>1988.4250000000002</v>
      </c>
      <c r="Z75">
        <v>9.6000000000000002E-2</v>
      </c>
      <c r="AA75" t="s">
        <v>1372</v>
      </c>
      <c r="AB75" s="1">
        <v>45108</v>
      </c>
      <c r="AC75">
        <v>7</v>
      </c>
      <c r="AD75" s="5">
        <f>Data3[[#This Row],[UnitPrice]]*Data3[[#This Row],[Quantity]]*(1-Data3[[#This Row],[DiscountPct]])</f>
        <v>10161.46624</v>
      </c>
      <c r="AE75" s="6">
        <f>Data3[[#This Row],[UnitPrice]]*Data3[[#This Row],[Quantity]]</f>
        <v>11240.56</v>
      </c>
      <c r="AF75" s="6">
        <f>Data3[[#This Row],[GrossRevenue]]-(Data3[[#This Row],[Quantity]]*Data3[[#This Row],[UnitCost]])</f>
        <v>3729.3862399999998</v>
      </c>
      <c r="AG75" s="6" t="str">
        <f>TEXT(Data3[[#This Row],[OrderDate]], "mmm-yyyy")</f>
        <v>Jun-2023</v>
      </c>
      <c r="AH75" s="7">
        <f>IF(Data3[[#This Row],[GrossRevenue]]=0, 0,Data3[[#This Row],[GrossProfit]]/Data3[[#This Row],[GrossRevenue]])</f>
        <v>0.36701260939287439</v>
      </c>
      <c r="AI75" s="5">
        <f t="shared" si="8"/>
        <v>10161.46624</v>
      </c>
    </row>
    <row r="76" spans="1:35" x14ac:dyDescent="0.35">
      <c r="A76" s="4" t="s">
        <v>285</v>
      </c>
      <c r="B76" s="2">
        <v>45569</v>
      </c>
      <c r="C76" s="2" t="str">
        <f>TEXT(Data3[[#This Row],[OrderDate]],"MMM-YYYY")</f>
        <v>Oct-2024</v>
      </c>
      <c r="D76" s="4" t="str">
        <f>"Q"&amp;INT((MONTH(Data3[[#This Row],[OrderDate]])-1)/3)+1&amp;"-"&amp;YEAR(Data3[[#This Row],[OrderDate]])</f>
        <v>Q4-2024</v>
      </c>
      <c r="E76" s="2">
        <v>45598</v>
      </c>
      <c r="F76" t="s">
        <v>16</v>
      </c>
      <c r="G76" t="s">
        <v>25</v>
      </c>
      <c r="H76" s="4" t="s">
        <v>67</v>
      </c>
      <c r="I76" t="s">
        <v>19</v>
      </c>
      <c r="J76" s="4" t="s">
        <v>55</v>
      </c>
      <c r="K76" s="4" t="s">
        <v>84</v>
      </c>
      <c r="L76" t="s">
        <v>81</v>
      </c>
      <c r="M76" s="4" t="s">
        <v>286</v>
      </c>
      <c r="N76" s="3">
        <v>412.09</v>
      </c>
      <c r="O76" s="3">
        <v>968.94</v>
      </c>
      <c r="P76" s="3">
        <v>9.9000000000000005E-2</v>
      </c>
      <c r="Q76" s="3">
        <v>23</v>
      </c>
      <c r="R76" t="s">
        <v>84</v>
      </c>
      <c r="S76" t="s">
        <v>67</v>
      </c>
      <c r="T76" t="s">
        <v>55</v>
      </c>
      <c r="U76">
        <v>968.94</v>
      </c>
      <c r="V76" t="str" cm="1">
        <f t="array" ref="V76">_xlfn.IFS(Data3[[#This Row],[CorrectedUnitPriceCustom]]&lt;=$W$2, "Low",Data3[[#This Row],[CorrectedUnitPriceCustom]]&lt;=$Y$2, "Medium", TRUE, "High")</f>
        <v>Medium</v>
      </c>
      <c r="W76">
        <f t="shared" si="5"/>
        <v>580.26250000000005</v>
      </c>
      <c r="X76">
        <f t="shared" si="6"/>
        <v>1250.68</v>
      </c>
      <c r="Y76">
        <f t="shared" si="7"/>
        <v>1991.5475000000001</v>
      </c>
      <c r="Z76">
        <v>9.9000000000000005E-2</v>
      </c>
      <c r="AA76" t="s">
        <v>1372</v>
      </c>
      <c r="AB76" s="1">
        <v>45598</v>
      </c>
      <c r="AC76">
        <v>29</v>
      </c>
      <c r="AD76" s="5">
        <f>Data3[[#This Row],[UnitPrice]]*Data3[[#This Row],[Quantity]]*(1-Data3[[#This Row],[DiscountPct]])</f>
        <v>20079.343620000003</v>
      </c>
      <c r="AE76" s="6">
        <f>Data3[[#This Row],[UnitPrice]]*Data3[[#This Row],[Quantity]]</f>
        <v>22285.620000000003</v>
      </c>
      <c r="AF76" s="6">
        <f>Data3[[#This Row],[GrossRevenue]]-(Data3[[#This Row],[Quantity]]*Data3[[#This Row],[UnitCost]])</f>
        <v>10601.273620000004</v>
      </c>
      <c r="AG76" s="6" t="str">
        <f>TEXT(Data3[[#This Row],[OrderDate]], "mmm-yyyy")</f>
        <v>Oct-2024</v>
      </c>
      <c r="AH76" s="7">
        <f>IF(Data3[[#This Row],[GrossRevenue]]=0, 0,Data3[[#This Row],[GrossProfit]]/Data3[[#This Row],[GrossRevenue]])</f>
        <v>0.52796913189137418</v>
      </c>
      <c r="AI76" s="5">
        <f t="shared" si="8"/>
        <v>20079.343620000003</v>
      </c>
    </row>
    <row r="77" spans="1:35" x14ac:dyDescent="0.35">
      <c r="A77" s="4" t="s">
        <v>287</v>
      </c>
      <c r="B77" s="2">
        <v>45910</v>
      </c>
      <c r="C77" s="2" t="str">
        <f>TEXT(Data3[[#This Row],[OrderDate]],"MMM-YYYY")</f>
        <v>Sep-2025</v>
      </c>
      <c r="D77" s="4" t="str">
        <f>"Q"&amp;INT((MONTH(Data3[[#This Row],[OrderDate]])-1)/3)+1&amp;"-"&amp;YEAR(Data3[[#This Row],[OrderDate]])</f>
        <v>Q3-2025</v>
      </c>
      <c r="E77" s="2">
        <v>45930</v>
      </c>
      <c r="F77" t="s">
        <v>16</v>
      </c>
      <c r="G77" t="s">
        <v>17</v>
      </c>
      <c r="H77" s="4" t="s">
        <v>113</v>
      </c>
      <c r="I77" t="s">
        <v>19</v>
      </c>
      <c r="J77" s="4" t="s">
        <v>98</v>
      </c>
      <c r="K77" s="4" t="s">
        <v>49</v>
      </c>
      <c r="L77" t="s">
        <v>42</v>
      </c>
      <c r="M77" s="4" t="s">
        <v>288</v>
      </c>
      <c r="N77" s="3">
        <v>1009.48</v>
      </c>
      <c r="O77" s="3">
        <v>1088.81</v>
      </c>
      <c r="P77" s="3">
        <v>0.16</v>
      </c>
      <c r="Q77" s="3">
        <v>6</v>
      </c>
      <c r="R77" t="s">
        <v>49</v>
      </c>
      <c r="S77" t="s">
        <v>113</v>
      </c>
      <c r="T77" t="s">
        <v>98</v>
      </c>
      <c r="U77">
        <v>1088.81</v>
      </c>
      <c r="V77" t="str" cm="1">
        <f t="array" ref="V77">_xlfn.IFS(Data3[[#This Row],[CorrectedUnitPriceCustom]]&lt;=$W$2, "Low",Data3[[#This Row],[CorrectedUnitPriceCustom]]&lt;=$Y$2, "Medium", TRUE, "High")</f>
        <v>Medium</v>
      </c>
      <c r="W77">
        <f t="shared" si="5"/>
        <v>572.71</v>
      </c>
      <c r="X77">
        <f t="shared" si="6"/>
        <v>1254.95</v>
      </c>
      <c r="Y77">
        <f t="shared" si="7"/>
        <v>1994.67</v>
      </c>
      <c r="Z77">
        <v>0.16</v>
      </c>
      <c r="AA77" t="s">
        <v>1372</v>
      </c>
      <c r="AB77" s="1">
        <v>45930</v>
      </c>
      <c r="AC77">
        <v>20</v>
      </c>
      <c r="AD77" s="5">
        <f>Data3[[#This Row],[UnitPrice]]*Data3[[#This Row],[Quantity]]*(1-Data3[[#This Row],[DiscountPct]])</f>
        <v>5487.6023999999998</v>
      </c>
      <c r="AE77" s="6">
        <f>Data3[[#This Row],[UnitPrice]]*Data3[[#This Row],[Quantity]]</f>
        <v>6532.86</v>
      </c>
      <c r="AF77" s="6">
        <f>Data3[[#This Row],[GrossRevenue]]-(Data3[[#This Row],[Quantity]]*Data3[[#This Row],[UnitCost]])</f>
        <v>-569.27760000000035</v>
      </c>
      <c r="AG77" s="6" t="str">
        <f>TEXT(Data3[[#This Row],[OrderDate]], "mmm-yyyy")</f>
        <v>Sep-2025</v>
      </c>
      <c r="AH77" s="7">
        <f>IF(Data3[[#This Row],[GrossRevenue]]=0, 0,Data3[[#This Row],[GrossProfit]]/Data3[[#This Row],[GrossRevenue]])</f>
        <v>-0.10373885688219693</v>
      </c>
      <c r="AI77" s="5">
        <f t="shared" si="8"/>
        <v>5487.6023999999998</v>
      </c>
    </row>
    <row r="78" spans="1:35" x14ac:dyDescent="0.35">
      <c r="A78" s="4" t="s">
        <v>289</v>
      </c>
      <c r="B78" s="2">
        <v>45022</v>
      </c>
      <c r="C78" s="2" t="str">
        <f>TEXT(Data3[[#This Row],[OrderDate]],"MMM-YYYY")</f>
        <v>Apr-2023</v>
      </c>
      <c r="D78" s="4" t="str">
        <f>"Q"&amp;INT((MONTH(Data3[[#This Row],[OrderDate]])-1)/3)+1&amp;"-"&amp;YEAR(Data3[[#This Row],[OrderDate]])</f>
        <v>Q2-2023</v>
      </c>
      <c r="E78" s="2">
        <v>45043</v>
      </c>
      <c r="F78" t="s">
        <v>78</v>
      </c>
      <c r="G78" t="s">
        <v>108</v>
      </c>
      <c r="H78" s="4" t="s">
        <v>228</v>
      </c>
      <c r="I78" t="s">
        <v>105</v>
      </c>
      <c r="J78" s="4" t="s">
        <v>55</v>
      </c>
      <c r="K78" s="4" t="s">
        <v>34</v>
      </c>
      <c r="L78" t="s">
        <v>30</v>
      </c>
      <c r="M78" s="4" t="s">
        <v>290</v>
      </c>
      <c r="N78" s="3">
        <v>1084.79</v>
      </c>
      <c r="O78" s="3">
        <v>2484.9899999999998</v>
      </c>
      <c r="P78" s="3">
        <v>3.4000000000000002E-2</v>
      </c>
      <c r="Q78" s="3">
        <v>18</v>
      </c>
      <c r="R78" t="s">
        <v>34</v>
      </c>
      <c r="S78" t="s">
        <v>228</v>
      </c>
      <c r="T78" t="s">
        <v>55</v>
      </c>
      <c r="U78">
        <v>2484.9899999999998</v>
      </c>
      <c r="V78" t="str" cm="1">
        <f t="array" ref="V78">_xlfn.IFS(Data3[[#This Row],[CorrectedUnitPriceCustom]]&lt;=$W$2, "Low",Data3[[#This Row],[CorrectedUnitPriceCustom]]&lt;=$Y$2, "Medium", TRUE, "High")</f>
        <v>High</v>
      </c>
      <c r="W78">
        <f t="shared" si="5"/>
        <v>567.74250000000006</v>
      </c>
      <c r="X78">
        <f t="shared" si="6"/>
        <v>1286.6599999999999</v>
      </c>
      <c r="Y78">
        <f t="shared" si="7"/>
        <v>2000</v>
      </c>
      <c r="Z78">
        <v>3.4000000000000002E-2</v>
      </c>
      <c r="AA78" t="s">
        <v>1372</v>
      </c>
      <c r="AB78" s="1">
        <v>45043</v>
      </c>
      <c r="AC78">
        <v>21</v>
      </c>
      <c r="AD78" s="5">
        <f>Data3[[#This Row],[UnitPrice]]*Data3[[#This Row],[Quantity]]*(1-Data3[[#This Row],[DiscountPct]])</f>
        <v>43209.006119999991</v>
      </c>
      <c r="AE78" s="6">
        <f>Data3[[#This Row],[UnitPrice]]*Data3[[#This Row],[Quantity]]</f>
        <v>44729.819999999992</v>
      </c>
      <c r="AF78" s="6">
        <f>Data3[[#This Row],[GrossRevenue]]-(Data3[[#This Row],[Quantity]]*Data3[[#This Row],[UnitCost]])</f>
        <v>23682.78611999999</v>
      </c>
      <c r="AG78" s="6" t="str">
        <f>TEXT(Data3[[#This Row],[OrderDate]], "mmm-yyyy")</f>
        <v>Apr-2023</v>
      </c>
      <c r="AH78" s="7">
        <f>IF(Data3[[#This Row],[GrossRevenue]]=0, 0,Data3[[#This Row],[GrossProfit]]/Data3[[#This Row],[GrossRevenue]])</f>
        <v>0.54809837685755114</v>
      </c>
      <c r="AI78" s="5">
        <f t="shared" si="8"/>
        <v>43209.006119999991</v>
      </c>
    </row>
    <row r="79" spans="1:35" x14ac:dyDescent="0.35">
      <c r="A79" s="4" t="s">
        <v>295</v>
      </c>
      <c r="B79" s="2">
        <v>45860</v>
      </c>
      <c r="C79" s="2" t="str">
        <f>TEXT(Data3[[#This Row],[OrderDate]],"MMM-YYYY")</f>
        <v>Jul-2025</v>
      </c>
      <c r="D79" s="4" t="str">
        <f>"Q"&amp;INT((MONTH(Data3[[#This Row],[OrderDate]])-1)/3)+1&amp;"-"&amp;YEAR(Data3[[#This Row],[OrderDate]])</f>
        <v>Q3-2025</v>
      </c>
      <c r="E79" s="2">
        <v>45887</v>
      </c>
      <c r="F79" t="s">
        <v>45</v>
      </c>
      <c r="G79" t="s">
        <v>116</v>
      </c>
      <c r="H79" s="4" t="s">
        <v>117</v>
      </c>
      <c r="I79" t="s">
        <v>39</v>
      </c>
      <c r="J79" s="4" t="s">
        <v>40</v>
      </c>
      <c r="K79" s="4" t="s">
        <v>110</v>
      </c>
      <c r="L79" t="s">
        <v>35</v>
      </c>
      <c r="M79" s="4" t="s">
        <v>296</v>
      </c>
      <c r="N79" s="3">
        <v>547.32000000000005</v>
      </c>
      <c r="O79" s="3">
        <v>419.17</v>
      </c>
      <c r="P79" s="3">
        <v>9.1999999999999998E-2</v>
      </c>
      <c r="Q79" s="3">
        <v>14</v>
      </c>
      <c r="R79" t="s">
        <v>110</v>
      </c>
      <c r="S79" t="s">
        <v>117</v>
      </c>
      <c r="T79" t="s">
        <v>40</v>
      </c>
      <c r="U79">
        <v>419.17</v>
      </c>
      <c r="V79" t="str" cm="1">
        <f t="array" ref="V79">_xlfn.IFS(Data3[[#This Row],[CorrectedUnitPriceCustom]]&lt;=$W$2, "Low",Data3[[#This Row],[CorrectedUnitPriceCustom]]&lt;=$Y$2, "Medium", TRUE, "High")</f>
        <v>Low</v>
      </c>
      <c r="W79">
        <f t="shared" si="5"/>
        <v>562.77500000000009</v>
      </c>
      <c r="X79">
        <f t="shared" si="6"/>
        <v>1254.95</v>
      </c>
      <c r="Y79">
        <f t="shared" si="7"/>
        <v>1988.4250000000002</v>
      </c>
      <c r="Z79">
        <v>9.1999999999999998E-2</v>
      </c>
      <c r="AA79" t="s">
        <v>1372</v>
      </c>
      <c r="AB79" s="1">
        <v>45887</v>
      </c>
      <c r="AC79">
        <v>27</v>
      </c>
      <c r="AD79" s="5">
        <f>Data3[[#This Row],[UnitPrice]]*Data3[[#This Row],[Quantity]]*(1-Data3[[#This Row],[DiscountPct]])</f>
        <v>5328.4890400000004</v>
      </c>
      <c r="AE79" s="6">
        <f>Data3[[#This Row],[UnitPrice]]*Data3[[#This Row],[Quantity]]</f>
        <v>5868.38</v>
      </c>
      <c r="AF79" s="6">
        <f>Data3[[#This Row],[GrossRevenue]]-(Data3[[#This Row],[Quantity]]*Data3[[#This Row],[UnitCost]])</f>
        <v>-2333.9909600000001</v>
      </c>
      <c r="AG79" s="6" t="str">
        <f>TEXT(Data3[[#This Row],[OrderDate]], "mmm-yyyy")</f>
        <v>Jul-2025</v>
      </c>
      <c r="AH79" s="7">
        <f>IF(Data3[[#This Row],[GrossRevenue]]=0, 0,Data3[[#This Row],[GrossProfit]]/Data3[[#This Row],[GrossRevenue]])</f>
        <v>-0.43802116181137907</v>
      </c>
      <c r="AI79" s="5">
        <f t="shared" si="8"/>
        <v>5328.4890400000004</v>
      </c>
    </row>
    <row r="80" spans="1:35" x14ac:dyDescent="0.35">
      <c r="A80" s="4" t="s">
        <v>301</v>
      </c>
      <c r="B80" s="2">
        <v>45304</v>
      </c>
      <c r="C80" s="2" t="str">
        <f>TEXT(Data3[[#This Row],[OrderDate]],"MMM-YYYY")</f>
        <v>Jan-2024</v>
      </c>
      <c r="D80" s="4" t="str">
        <f>"Q"&amp;INT((MONTH(Data3[[#This Row],[OrderDate]])-1)/3)+1&amp;"-"&amp;YEAR(Data3[[#This Row],[OrderDate]])</f>
        <v>Q1-2024</v>
      </c>
      <c r="E80" s="2">
        <v>45313</v>
      </c>
      <c r="F80" t="s">
        <v>45</v>
      </c>
      <c r="G80" t="s">
        <v>60</v>
      </c>
      <c r="H80" s="4" t="s">
        <v>220</v>
      </c>
      <c r="I80" t="s">
        <v>105</v>
      </c>
      <c r="J80" s="4" t="s">
        <v>40</v>
      </c>
      <c r="K80" s="4" t="s">
        <v>29</v>
      </c>
      <c r="L80" t="s">
        <v>22</v>
      </c>
      <c r="M80" s="4" t="s">
        <v>302</v>
      </c>
      <c r="N80" s="3">
        <v>313.60000000000002</v>
      </c>
      <c r="O80" s="3">
        <v>334.28</v>
      </c>
      <c r="P80" s="3">
        <v>0.14000000000000001</v>
      </c>
      <c r="Q80" s="3">
        <v>22</v>
      </c>
      <c r="R80" t="s">
        <v>29</v>
      </c>
      <c r="S80" t="s">
        <v>220</v>
      </c>
      <c r="T80" t="s">
        <v>40</v>
      </c>
      <c r="U80">
        <v>334.28</v>
      </c>
      <c r="V80" t="str" cm="1">
        <f t="array" ref="V80">_xlfn.IFS(Data3[[#This Row],[CorrectedUnitPriceCustom]]&lt;=$W$2, "Low",Data3[[#This Row],[CorrectedUnitPriceCustom]]&lt;=$Y$2, "Medium", TRUE, "High")</f>
        <v>Low</v>
      </c>
      <c r="W80">
        <f t="shared" si="5"/>
        <v>580.26250000000005</v>
      </c>
      <c r="X80">
        <f t="shared" si="6"/>
        <v>1286.6599999999999</v>
      </c>
      <c r="Y80">
        <f t="shared" si="7"/>
        <v>1991.5475000000001</v>
      </c>
      <c r="Z80">
        <v>0.14000000000000001</v>
      </c>
      <c r="AA80" t="s">
        <v>1372</v>
      </c>
      <c r="AB80" s="1">
        <v>45313</v>
      </c>
      <c r="AC80">
        <v>9</v>
      </c>
      <c r="AD80" s="5">
        <f>Data3[[#This Row],[UnitPrice]]*Data3[[#This Row],[Quantity]]*(1-Data3[[#This Row],[DiscountPct]])</f>
        <v>6324.5775999999996</v>
      </c>
      <c r="AE80" s="6">
        <f>Data3[[#This Row],[UnitPrice]]*Data3[[#This Row],[Quantity]]</f>
        <v>7354.16</v>
      </c>
      <c r="AF80" s="6">
        <f>Data3[[#This Row],[GrossRevenue]]-(Data3[[#This Row],[Quantity]]*Data3[[#This Row],[UnitCost]])</f>
        <v>-574.62240000000111</v>
      </c>
      <c r="AG80" s="6" t="str">
        <f>TEXT(Data3[[#This Row],[OrderDate]], "mmm-yyyy")</f>
        <v>Jan-2024</v>
      </c>
      <c r="AH80" s="7">
        <f>IF(Data3[[#This Row],[GrossRevenue]]=0, 0,Data3[[#This Row],[GrossProfit]]/Data3[[#This Row],[GrossRevenue]])</f>
        <v>-9.0855458868905517E-2</v>
      </c>
      <c r="AI80" s="5">
        <f t="shared" si="8"/>
        <v>6324.5775999999996</v>
      </c>
    </row>
    <row r="81" spans="1:35" x14ac:dyDescent="0.35">
      <c r="A81" s="4" t="s">
        <v>305</v>
      </c>
      <c r="B81" s="2">
        <v>45631</v>
      </c>
      <c r="C81" s="2" t="str">
        <f>TEXT(Data3[[#This Row],[OrderDate]],"MMM-YYYY")</f>
        <v>Dec-2024</v>
      </c>
      <c r="D81" s="4" t="str">
        <f>"Q"&amp;INT((MONTH(Data3[[#This Row],[OrderDate]])-1)/3)+1&amp;"-"&amp;YEAR(Data3[[#This Row],[OrderDate]])</f>
        <v>Q4-2024</v>
      </c>
      <c r="E81" s="2">
        <v>45654</v>
      </c>
      <c r="F81" t="s">
        <v>52</v>
      </c>
      <c r="G81" t="s">
        <v>53</v>
      </c>
      <c r="H81" s="4" t="s">
        <v>179</v>
      </c>
      <c r="I81" t="s">
        <v>19</v>
      </c>
      <c r="J81" s="4" t="s">
        <v>98</v>
      </c>
      <c r="K81" s="4" t="s">
        <v>84</v>
      </c>
      <c r="L81" t="s">
        <v>81</v>
      </c>
      <c r="M81" s="4" t="s">
        <v>306</v>
      </c>
      <c r="N81" s="3">
        <v>107.03</v>
      </c>
      <c r="O81" s="3">
        <v>242.29</v>
      </c>
      <c r="P81" s="3">
        <v>0.18</v>
      </c>
      <c r="Q81" s="3">
        <v>30</v>
      </c>
      <c r="R81" t="s">
        <v>84</v>
      </c>
      <c r="S81" t="s">
        <v>179</v>
      </c>
      <c r="T81" t="s">
        <v>98</v>
      </c>
      <c r="U81">
        <v>242.29</v>
      </c>
      <c r="V81" t="str" cm="1">
        <f t="array" ref="V81">_xlfn.IFS(Data3[[#This Row],[CorrectedUnitPriceCustom]]&lt;=$W$2, "Low",Data3[[#This Row],[CorrectedUnitPriceCustom]]&lt;=$Y$2, "Medium", TRUE, "High")</f>
        <v>Low</v>
      </c>
      <c r="W81">
        <f t="shared" si="5"/>
        <v>602.91999999999996</v>
      </c>
      <c r="X81">
        <f t="shared" si="6"/>
        <v>1318.37</v>
      </c>
      <c r="Y81">
        <f t="shared" si="7"/>
        <v>1994.67</v>
      </c>
      <c r="Z81">
        <v>0.18</v>
      </c>
      <c r="AA81" t="s">
        <v>1372</v>
      </c>
      <c r="AB81" s="1">
        <v>45654</v>
      </c>
      <c r="AC81">
        <v>23</v>
      </c>
      <c r="AD81" s="5">
        <f>Data3[[#This Row],[UnitPrice]]*Data3[[#This Row],[Quantity]]*(1-Data3[[#This Row],[DiscountPct]])</f>
        <v>5960.3340000000007</v>
      </c>
      <c r="AE81" s="6">
        <f>Data3[[#This Row],[UnitPrice]]*Data3[[#This Row],[Quantity]]</f>
        <v>7268.7</v>
      </c>
      <c r="AF81" s="6">
        <f>Data3[[#This Row],[GrossRevenue]]-(Data3[[#This Row],[Quantity]]*Data3[[#This Row],[UnitCost]])</f>
        <v>2749.4340000000007</v>
      </c>
      <c r="AG81" s="6" t="str">
        <f>TEXT(Data3[[#This Row],[OrderDate]], "mmm-yyyy")</f>
        <v>Dec-2024</v>
      </c>
      <c r="AH81" s="7">
        <f>IF(Data3[[#This Row],[GrossRevenue]]=0, 0,Data3[[#This Row],[GrossProfit]]/Data3[[#This Row],[GrossRevenue]])</f>
        <v>0.46128857879440988</v>
      </c>
      <c r="AI81" s="5">
        <f t="shared" si="8"/>
        <v>5960.3340000000007</v>
      </c>
    </row>
    <row r="82" spans="1:35" x14ac:dyDescent="0.35">
      <c r="A82" s="4" t="s">
        <v>309</v>
      </c>
      <c r="B82" s="2">
        <v>45433</v>
      </c>
      <c r="C82" s="2" t="str">
        <f>TEXT(Data3[[#This Row],[OrderDate]],"MMM-YYYY")</f>
        <v>May-2024</v>
      </c>
      <c r="D82" s="4" t="str">
        <f>"Q"&amp;INT((MONTH(Data3[[#This Row],[OrderDate]])-1)/3)+1&amp;"-"&amp;YEAR(Data3[[#This Row],[OrderDate]])</f>
        <v>Q2-2024</v>
      </c>
      <c r="E82" s="2">
        <v>45439</v>
      </c>
      <c r="F82" t="s">
        <v>16</v>
      </c>
      <c r="G82" t="s">
        <v>148</v>
      </c>
      <c r="H82" s="4" t="s">
        <v>149</v>
      </c>
      <c r="I82" t="s">
        <v>39</v>
      </c>
      <c r="J82" s="4" t="s">
        <v>28</v>
      </c>
      <c r="K82" s="4" t="s">
        <v>110</v>
      </c>
      <c r="L82" t="s">
        <v>22</v>
      </c>
      <c r="M82" s="4" t="s">
        <v>310</v>
      </c>
      <c r="N82" s="3">
        <v>1157.51</v>
      </c>
      <c r="O82" s="3">
        <v>1394.3</v>
      </c>
      <c r="P82" s="3">
        <v>0.27800000000000002</v>
      </c>
      <c r="Q82" s="3">
        <v>12</v>
      </c>
      <c r="R82" t="s">
        <v>110</v>
      </c>
      <c r="S82" t="s">
        <v>149</v>
      </c>
      <c r="T82" t="s">
        <v>28</v>
      </c>
      <c r="U82">
        <v>1394.3</v>
      </c>
      <c r="V82" t="str" cm="1">
        <f t="array" ref="V82">_xlfn.IFS(Data3[[#This Row],[CorrectedUnitPriceCustom]]&lt;=$W$2, "Low",Data3[[#This Row],[CorrectedUnitPriceCustom]]&lt;=$Y$2, "Medium", TRUE, "High")</f>
        <v>Medium</v>
      </c>
      <c r="W82">
        <f t="shared" si="5"/>
        <v>605.79999999999995</v>
      </c>
      <c r="X82">
        <f t="shared" si="6"/>
        <v>1324.2199999999998</v>
      </c>
      <c r="Y82">
        <f t="shared" si="7"/>
        <v>2000</v>
      </c>
      <c r="Z82">
        <v>0.27800000000000002</v>
      </c>
      <c r="AA82" t="s">
        <v>1372</v>
      </c>
      <c r="AB82" s="1">
        <v>45439</v>
      </c>
      <c r="AC82">
        <v>6</v>
      </c>
      <c r="AD82" s="5">
        <f>Data3[[#This Row],[UnitPrice]]*Data3[[#This Row],[Quantity]]*(1-Data3[[#This Row],[DiscountPct]])</f>
        <v>12080.215199999999</v>
      </c>
      <c r="AE82" s="6">
        <f>Data3[[#This Row],[UnitPrice]]*Data3[[#This Row],[Quantity]]</f>
        <v>16731.599999999999</v>
      </c>
      <c r="AF82" s="6">
        <f>Data3[[#This Row],[GrossRevenue]]-(Data3[[#This Row],[Quantity]]*Data3[[#This Row],[UnitCost]])</f>
        <v>-1809.9048000000003</v>
      </c>
      <c r="AG82" s="6" t="str">
        <f>TEXT(Data3[[#This Row],[OrderDate]], "mmm-yyyy")</f>
        <v>May-2024</v>
      </c>
      <c r="AH82" s="7">
        <f>IF(Data3[[#This Row],[GrossRevenue]]=0, 0,Data3[[#This Row],[GrossProfit]]/Data3[[#This Row],[GrossRevenue]])</f>
        <v>-0.14982388724333326</v>
      </c>
      <c r="AI82" s="5">
        <f t="shared" si="8"/>
        <v>12080.215199999999</v>
      </c>
    </row>
    <row r="83" spans="1:35" x14ac:dyDescent="0.35">
      <c r="A83" s="4" t="s">
        <v>311</v>
      </c>
      <c r="B83" s="2">
        <v>45057</v>
      </c>
      <c r="C83" s="2" t="str">
        <f>TEXT(Data3[[#This Row],[OrderDate]],"MMM-YYYY")</f>
        <v>May-2023</v>
      </c>
      <c r="D83" s="4" t="str">
        <f>"Q"&amp;INT((MONTH(Data3[[#This Row],[OrderDate]])-1)/3)+1&amp;"-"&amp;YEAR(Data3[[#This Row],[OrderDate]])</f>
        <v>Q2-2023</v>
      </c>
      <c r="E83" s="2">
        <v>45084</v>
      </c>
      <c r="F83" t="s">
        <v>16</v>
      </c>
      <c r="G83" t="s">
        <v>17</v>
      </c>
      <c r="H83" s="4" t="s">
        <v>113</v>
      </c>
      <c r="I83" t="s">
        <v>19</v>
      </c>
      <c r="J83" s="4" t="s">
        <v>28</v>
      </c>
      <c r="K83" s="4" t="s">
        <v>29</v>
      </c>
      <c r="L83" t="s">
        <v>42</v>
      </c>
      <c r="M83" s="4" t="s">
        <v>312</v>
      </c>
      <c r="N83" s="3">
        <v>12.85</v>
      </c>
      <c r="O83" s="3">
        <v>15.41</v>
      </c>
      <c r="P83" s="3">
        <v>0.13700000000000001</v>
      </c>
      <c r="Q83" s="3">
        <v>39</v>
      </c>
      <c r="R83" t="s">
        <v>29</v>
      </c>
      <c r="S83" t="s">
        <v>113</v>
      </c>
      <c r="T83" t="s">
        <v>28</v>
      </c>
      <c r="U83">
        <v>15.41</v>
      </c>
      <c r="V83" t="str" cm="1">
        <f t="array" ref="V83">_xlfn.IFS(Data3[[#This Row],[CorrectedUnitPriceCustom]]&lt;=$W$2, "Low",Data3[[#This Row],[CorrectedUnitPriceCustom]]&lt;=$Y$2, "Medium", TRUE, "High")</f>
        <v>Low</v>
      </c>
      <c r="W83">
        <f t="shared" si="5"/>
        <v>604.83999999999992</v>
      </c>
      <c r="X83">
        <f t="shared" si="6"/>
        <v>1318.37</v>
      </c>
      <c r="Y83">
        <f t="shared" si="7"/>
        <v>2005.33</v>
      </c>
      <c r="Z83">
        <v>0.13700000000000001</v>
      </c>
      <c r="AA83" t="s">
        <v>1372</v>
      </c>
      <c r="AB83" s="1">
        <v>45084</v>
      </c>
      <c r="AC83">
        <v>27</v>
      </c>
      <c r="AD83" s="5">
        <f>Data3[[#This Row],[UnitPrice]]*Data3[[#This Row],[Quantity]]*(1-Data3[[#This Row],[DiscountPct]])</f>
        <v>518.65436999999997</v>
      </c>
      <c r="AE83" s="6">
        <f>Data3[[#This Row],[UnitPrice]]*Data3[[#This Row],[Quantity]]</f>
        <v>600.99</v>
      </c>
      <c r="AF83" s="6">
        <f>Data3[[#This Row],[GrossRevenue]]-(Data3[[#This Row],[Quantity]]*Data3[[#This Row],[UnitCost]])</f>
        <v>17.504369999999994</v>
      </c>
      <c r="AG83" s="6" t="str">
        <f>TEXT(Data3[[#This Row],[OrderDate]], "mmm-yyyy")</f>
        <v>May-2023</v>
      </c>
      <c r="AH83" s="7">
        <f>IF(Data3[[#This Row],[GrossRevenue]]=0, 0,Data3[[#This Row],[GrossProfit]]/Data3[[#This Row],[GrossRevenue]])</f>
        <v>3.3749585489851353E-2</v>
      </c>
      <c r="AI83" s="5">
        <f t="shared" si="8"/>
        <v>518.65436999999997</v>
      </c>
    </row>
    <row r="84" spans="1:35" x14ac:dyDescent="0.35">
      <c r="A84" s="4" t="s">
        <v>313</v>
      </c>
      <c r="B84" s="2">
        <v>45518</v>
      </c>
      <c r="C84" s="2" t="str">
        <f>TEXT(Data3[[#This Row],[OrderDate]],"MMM-YYYY")</f>
        <v>Aug-2024</v>
      </c>
      <c r="D84" s="4" t="str">
        <f>"Q"&amp;INT((MONTH(Data3[[#This Row],[OrderDate]])-1)/3)+1&amp;"-"&amp;YEAR(Data3[[#This Row],[OrderDate]])</f>
        <v>Q3-2024</v>
      </c>
      <c r="E84" s="2">
        <v>45539</v>
      </c>
      <c r="F84" t="s">
        <v>78</v>
      </c>
      <c r="G84" t="s">
        <v>108</v>
      </c>
      <c r="H84" s="4" t="s">
        <v>228</v>
      </c>
      <c r="I84" t="s">
        <v>39</v>
      </c>
      <c r="J84" s="4" t="s">
        <v>28</v>
      </c>
      <c r="K84" s="4" t="s">
        <v>29</v>
      </c>
      <c r="L84" t="s">
        <v>42</v>
      </c>
      <c r="M84" s="4" t="s">
        <v>314</v>
      </c>
      <c r="N84" s="3">
        <v>1138.8</v>
      </c>
      <c r="O84" s="3">
        <v>2250.81</v>
      </c>
      <c r="P84" s="3">
        <v>0.123</v>
      </c>
      <c r="Q84" s="3">
        <v>12</v>
      </c>
      <c r="R84" t="s">
        <v>29</v>
      </c>
      <c r="S84" t="s">
        <v>228</v>
      </c>
      <c r="T84" t="s">
        <v>28</v>
      </c>
      <c r="U84">
        <v>2250.81</v>
      </c>
      <c r="V84" t="str" cm="1">
        <f t="array" ref="V84">_xlfn.IFS(Data3[[#This Row],[CorrectedUnitPriceCustom]]&lt;=$W$2, "Low",Data3[[#This Row],[CorrectedUnitPriceCustom]]&lt;=$Y$2, "Medium", TRUE, "High")</f>
        <v>High</v>
      </c>
      <c r="W84">
        <f t="shared" si="5"/>
        <v>609.94749999999999</v>
      </c>
      <c r="X84">
        <f t="shared" si="6"/>
        <v>1324.2199999999998</v>
      </c>
      <c r="Y84">
        <f t="shared" si="7"/>
        <v>2010.66</v>
      </c>
      <c r="Z84">
        <v>0.123</v>
      </c>
      <c r="AA84" t="s">
        <v>1372</v>
      </c>
      <c r="AB84" s="1">
        <v>45539</v>
      </c>
      <c r="AC84">
        <v>21</v>
      </c>
      <c r="AD84" s="5">
        <f>Data3[[#This Row],[UnitPrice]]*Data3[[#This Row],[Quantity]]*(1-Data3[[#This Row],[DiscountPct]])</f>
        <v>23687.524440000001</v>
      </c>
      <c r="AE84" s="6">
        <f>Data3[[#This Row],[UnitPrice]]*Data3[[#This Row],[Quantity]]</f>
        <v>27009.72</v>
      </c>
      <c r="AF84" s="6">
        <f>Data3[[#This Row],[GrossRevenue]]-(Data3[[#This Row],[Quantity]]*Data3[[#This Row],[UnitCost]])</f>
        <v>10021.924440000003</v>
      </c>
      <c r="AG84" s="6" t="str">
        <f>TEXT(Data3[[#This Row],[OrderDate]], "mmm-yyyy")</f>
        <v>Aug-2024</v>
      </c>
      <c r="AH84" s="7">
        <f>IF(Data3[[#This Row],[GrossRevenue]]=0, 0,Data3[[#This Row],[GrossProfit]]/Data3[[#This Row],[GrossRevenue]])</f>
        <v>0.42308872188756258</v>
      </c>
      <c r="AI84" s="5">
        <f t="shared" si="8"/>
        <v>23687.524440000001</v>
      </c>
    </row>
    <row r="85" spans="1:35" x14ac:dyDescent="0.35">
      <c r="A85" s="4" t="s">
        <v>317</v>
      </c>
      <c r="B85" s="2">
        <v>45445</v>
      </c>
      <c r="C85" s="2" t="str">
        <f>TEXT(Data3[[#This Row],[OrderDate]],"MMM-YYYY")</f>
        <v>Jun-2024</v>
      </c>
      <c r="D85" s="4" t="str">
        <f>"Q"&amp;INT((MONTH(Data3[[#This Row],[OrderDate]])-1)/3)+1&amp;"-"&amp;YEAR(Data3[[#This Row],[OrderDate]])</f>
        <v>Q2-2024</v>
      </c>
      <c r="E85" s="2">
        <v>45451</v>
      </c>
      <c r="F85" t="s">
        <v>16</v>
      </c>
      <c r="G85" t="s">
        <v>17</v>
      </c>
      <c r="H85" s="4" t="s">
        <v>18</v>
      </c>
      <c r="I85" t="s">
        <v>48</v>
      </c>
      <c r="J85" s="4" t="s">
        <v>40</v>
      </c>
      <c r="K85" s="4" t="s">
        <v>75</v>
      </c>
      <c r="L85" t="s">
        <v>81</v>
      </c>
      <c r="M85" s="4" t="s">
        <v>318</v>
      </c>
      <c r="N85" s="3">
        <v>292.94</v>
      </c>
      <c r="O85" s="3">
        <v>356.55</v>
      </c>
      <c r="P85" s="3">
        <v>0.22900000000000001</v>
      </c>
      <c r="Q85" s="3">
        <v>2</v>
      </c>
      <c r="R85" t="s">
        <v>75</v>
      </c>
      <c r="S85" t="s">
        <v>18</v>
      </c>
      <c r="T85" t="s">
        <v>40</v>
      </c>
      <c r="U85">
        <v>356.55</v>
      </c>
      <c r="V85" t="str" cm="1">
        <f t="array" ref="V85">_xlfn.IFS(Data3[[#This Row],[CorrectedUnitPriceCustom]]&lt;=$W$2, "Low",Data3[[#This Row],[CorrectedUnitPriceCustom]]&lt;=$Y$2, "Medium", TRUE, "High")</f>
        <v>Low</v>
      </c>
      <c r="W85">
        <f t="shared" si="5"/>
        <v>606.76</v>
      </c>
      <c r="X85">
        <f t="shared" si="6"/>
        <v>1318.37</v>
      </c>
      <c r="Y85">
        <f t="shared" si="7"/>
        <v>1994.67</v>
      </c>
      <c r="Z85">
        <v>0.22900000000000001</v>
      </c>
      <c r="AA85" t="s">
        <v>1372</v>
      </c>
      <c r="AB85" s="1">
        <v>45451</v>
      </c>
      <c r="AC85">
        <v>6</v>
      </c>
      <c r="AD85" s="5">
        <f>Data3[[#This Row],[UnitPrice]]*Data3[[#This Row],[Quantity]]*(1-Data3[[#This Row],[DiscountPct]])</f>
        <v>549.80010000000004</v>
      </c>
      <c r="AE85" s="6">
        <f>Data3[[#This Row],[UnitPrice]]*Data3[[#This Row],[Quantity]]</f>
        <v>713.1</v>
      </c>
      <c r="AF85" s="6">
        <f>Data3[[#This Row],[GrossRevenue]]-(Data3[[#This Row],[Quantity]]*Data3[[#This Row],[UnitCost]])</f>
        <v>-36.079899999999952</v>
      </c>
      <c r="AG85" s="6" t="str">
        <f>TEXT(Data3[[#This Row],[OrderDate]], "mmm-yyyy")</f>
        <v>Jun-2024</v>
      </c>
      <c r="AH85" s="7">
        <f>IF(Data3[[#This Row],[GrossRevenue]]=0, 0,Data3[[#This Row],[GrossProfit]]/Data3[[#This Row],[GrossRevenue]])</f>
        <v>-6.5623669402751925E-2</v>
      </c>
      <c r="AI85" s="5">
        <f t="shared" si="8"/>
        <v>549.80010000000004</v>
      </c>
    </row>
    <row r="86" spans="1:35" x14ac:dyDescent="0.35">
      <c r="A86" s="4" t="s">
        <v>321</v>
      </c>
      <c r="B86" s="2">
        <v>45453</v>
      </c>
      <c r="C86" s="2" t="str">
        <f>TEXT(Data3[[#This Row],[OrderDate]],"MMM-YYYY")</f>
        <v>Jun-2024</v>
      </c>
      <c r="D86" s="4" t="str">
        <f>"Q"&amp;INT((MONTH(Data3[[#This Row],[OrderDate]])-1)/3)+1&amp;"-"&amp;YEAR(Data3[[#This Row],[OrderDate]])</f>
        <v>Q2-2024</v>
      </c>
      <c r="E86" s="2">
        <v>45454</v>
      </c>
      <c r="F86" t="s">
        <v>78</v>
      </c>
      <c r="G86" t="s">
        <v>108</v>
      </c>
      <c r="H86" s="4" t="s">
        <v>109</v>
      </c>
      <c r="I86" t="s">
        <v>62</v>
      </c>
      <c r="J86" s="4" t="s">
        <v>40</v>
      </c>
      <c r="K86" s="4" t="s">
        <v>110</v>
      </c>
      <c r="L86" t="s">
        <v>57</v>
      </c>
      <c r="M86" s="4" t="s">
        <v>322</v>
      </c>
      <c r="N86" s="3">
        <v>1187.1300000000001</v>
      </c>
      <c r="O86" s="3">
        <v>1795.17</v>
      </c>
      <c r="P86" s="3">
        <v>1.2E-2</v>
      </c>
      <c r="Q86" s="3">
        <v>17</v>
      </c>
      <c r="R86" t="s">
        <v>110</v>
      </c>
      <c r="S86" t="s">
        <v>109</v>
      </c>
      <c r="T86" t="s">
        <v>40</v>
      </c>
      <c r="U86">
        <v>1795.17</v>
      </c>
      <c r="V86" t="str" cm="1">
        <f t="array" ref="V86">_xlfn.IFS(Data3[[#This Row],[CorrectedUnitPriceCustom]]&lt;=$W$2, "Low",Data3[[#This Row],[CorrectedUnitPriceCustom]]&lt;=$Y$2, "Medium", TRUE, "High")</f>
        <v>Medium</v>
      </c>
      <c r="W86">
        <f t="shared" si="5"/>
        <v>616.32249999999999</v>
      </c>
      <c r="X86">
        <f t="shared" si="6"/>
        <v>1324.2199999999998</v>
      </c>
      <c r="Y86">
        <f t="shared" si="7"/>
        <v>2000</v>
      </c>
      <c r="Z86">
        <v>1.2E-2</v>
      </c>
      <c r="AA86" t="s">
        <v>1372</v>
      </c>
      <c r="AB86" s="1">
        <v>45454</v>
      </c>
      <c r="AC86">
        <v>1</v>
      </c>
      <c r="AD86" s="5">
        <f>Data3[[#This Row],[UnitPrice]]*Data3[[#This Row],[Quantity]]*(1-Data3[[#This Row],[DiscountPct]])</f>
        <v>30151.675319999998</v>
      </c>
      <c r="AE86" s="6">
        <f>Data3[[#This Row],[UnitPrice]]*Data3[[#This Row],[Quantity]]</f>
        <v>30517.89</v>
      </c>
      <c r="AF86" s="6">
        <f>Data3[[#This Row],[GrossRevenue]]-(Data3[[#This Row],[Quantity]]*Data3[[#This Row],[UnitCost]])</f>
        <v>9970.4653199999957</v>
      </c>
      <c r="AG86" s="6" t="str">
        <f>TEXT(Data3[[#This Row],[OrderDate]], "mmm-yyyy")</f>
        <v>Jun-2024</v>
      </c>
      <c r="AH86" s="7">
        <f>IF(Data3[[#This Row],[GrossRevenue]]=0, 0,Data3[[#This Row],[GrossProfit]]/Data3[[#This Row],[GrossRevenue]])</f>
        <v>0.33067699271046663</v>
      </c>
      <c r="AI86" s="5">
        <f t="shared" si="8"/>
        <v>30151.675319999998</v>
      </c>
    </row>
    <row r="87" spans="1:35" x14ac:dyDescent="0.35">
      <c r="A87" s="4" t="s">
        <v>323</v>
      </c>
      <c r="B87" s="2">
        <v>45472</v>
      </c>
      <c r="C87" s="2" t="str">
        <f>TEXT(Data3[[#This Row],[OrderDate]],"MMM-YYYY")</f>
        <v>Jun-2024</v>
      </c>
      <c r="D87" s="4" t="str">
        <f>"Q"&amp;INT((MONTH(Data3[[#This Row],[OrderDate]])-1)/3)+1&amp;"-"&amp;YEAR(Data3[[#This Row],[OrderDate]])</f>
        <v>Q2-2024</v>
      </c>
      <c r="E87" s="2">
        <v>45499</v>
      </c>
      <c r="F87" t="s">
        <v>16</v>
      </c>
      <c r="G87" t="s">
        <v>148</v>
      </c>
      <c r="H87" s="4" t="s">
        <v>172</v>
      </c>
      <c r="I87" t="s">
        <v>105</v>
      </c>
      <c r="J87" s="4" t="s">
        <v>55</v>
      </c>
      <c r="K87" s="4" t="s">
        <v>56</v>
      </c>
      <c r="L87" t="s">
        <v>35</v>
      </c>
      <c r="M87" s="4" t="s">
        <v>324</v>
      </c>
      <c r="N87" s="3">
        <v>5.36</v>
      </c>
      <c r="O87" s="3">
        <v>4.37</v>
      </c>
      <c r="P87" s="3">
        <v>0.11799999999999999</v>
      </c>
      <c r="Q87" s="3">
        <v>9</v>
      </c>
      <c r="R87" t="s">
        <v>56</v>
      </c>
      <c r="S87" t="s">
        <v>172</v>
      </c>
      <c r="T87" t="s">
        <v>55</v>
      </c>
      <c r="U87">
        <v>4.37</v>
      </c>
      <c r="V87" t="str" cm="1">
        <f t="array" ref="V87">_xlfn.IFS(Data3[[#This Row],[CorrectedUnitPriceCustom]]&lt;=$W$2, "Low",Data3[[#This Row],[CorrectedUnitPriceCustom]]&lt;=$Y$2, "Medium", TRUE, "High")</f>
        <v>Low</v>
      </c>
      <c r="W87">
        <f t="shared" si="5"/>
        <v>613.13499999999999</v>
      </c>
      <c r="X87">
        <f t="shared" si="6"/>
        <v>1318.37</v>
      </c>
      <c r="Y87">
        <f t="shared" si="7"/>
        <v>2005.33</v>
      </c>
      <c r="Z87">
        <v>0.11799999999999999</v>
      </c>
      <c r="AA87" t="s">
        <v>1372</v>
      </c>
      <c r="AB87" s="1">
        <v>45499</v>
      </c>
      <c r="AC87">
        <v>27</v>
      </c>
      <c r="AD87" s="5">
        <f>Data3[[#This Row],[UnitPrice]]*Data3[[#This Row],[Quantity]]*(1-Data3[[#This Row],[DiscountPct]])</f>
        <v>34.689059999999998</v>
      </c>
      <c r="AE87" s="6">
        <f>Data3[[#This Row],[UnitPrice]]*Data3[[#This Row],[Quantity]]</f>
        <v>39.33</v>
      </c>
      <c r="AF87" s="6">
        <f>Data3[[#This Row],[GrossRevenue]]-(Data3[[#This Row],[Quantity]]*Data3[[#This Row],[UnitCost]])</f>
        <v>-13.550940000000004</v>
      </c>
      <c r="AG87" s="6" t="str">
        <f>TEXT(Data3[[#This Row],[OrderDate]], "mmm-yyyy")</f>
        <v>Jun-2024</v>
      </c>
      <c r="AH87" s="7">
        <f>IF(Data3[[#This Row],[GrossRevenue]]=0, 0,Data3[[#This Row],[GrossProfit]]/Data3[[#This Row],[GrossRevenue]])</f>
        <v>-0.39064016148030545</v>
      </c>
      <c r="AI87" s="5">
        <f t="shared" si="8"/>
        <v>34.689059999999998</v>
      </c>
    </row>
    <row r="88" spans="1:35" x14ac:dyDescent="0.35">
      <c r="A88" s="4" t="s">
        <v>330</v>
      </c>
      <c r="B88" s="2">
        <v>44987</v>
      </c>
      <c r="C88" s="2" t="str">
        <f>TEXT(Data3[[#This Row],[OrderDate]],"MMM-YYYY")</f>
        <v>Mar-2023</v>
      </c>
      <c r="D88" s="4" t="str">
        <f>"Q"&amp;INT((MONTH(Data3[[#This Row],[OrderDate]])-1)/3)+1&amp;"-"&amp;YEAR(Data3[[#This Row],[OrderDate]])</f>
        <v>Q1-2023</v>
      </c>
      <c r="E88" s="2">
        <v>44990</v>
      </c>
      <c r="F88" t="s">
        <v>52</v>
      </c>
      <c r="G88" t="s">
        <v>73</v>
      </c>
      <c r="H88" s="4" t="s">
        <v>87</v>
      </c>
      <c r="I88" t="s">
        <v>105</v>
      </c>
      <c r="J88" s="4" t="s">
        <v>98</v>
      </c>
      <c r="K88" s="4" t="s">
        <v>41</v>
      </c>
      <c r="L88" t="s">
        <v>64</v>
      </c>
      <c r="M88" s="4" t="s">
        <v>331</v>
      </c>
      <c r="N88" s="3">
        <v>1473.58</v>
      </c>
      <c r="O88" s="3">
        <v>3436.52</v>
      </c>
      <c r="P88" s="3">
        <v>0.108</v>
      </c>
      <c r="Q88" s="3">
        <v>8</v>
      </c>
      <c r="R88" t="s">
        <v>41</v>
      </c>
      <c r="S88" t="s">
        <v>87</v>
      </c>
      <c r="T88" t="s">
        <v>98</v>
      </c>
      <c r="U88">
        <v>3436.52</v>
      </c>
      <c r="V88" t="str" cm="1">
        <f t="array" ref="V88">_xlfn.IFS(Data3[[#This Row],[CorrectedUnitPriceCustom]]&lt;=$W$2, "Low",Data3[[#This Row],[CorrectedUnitPriceCustom]]&lt;=$Y$2, "Medium", TRUE, "High")</f>
        <v>High</v>
      </c>
      <c r="W88">
        <f t="shared" si="5"/>
        <v>619.88750000000005</v>
      </c>
      <c r="X88">
        <f t="shared" si="6"/>
        <v>1324.2199999999998</v>
      </c>
      <c r="Y88">
        <f t="shared" si="7"/>
        <v>2010.66</v>
      </c>
      <c r="Z88">
        <v>0.108</v>
      </c>
      <c r="AA88" t="s">
        <v>1372</v>
      </c>
      <c r="AB88" s="1">
        <v>44990</v>
      </c>
      <c r="AC88">
        <v>3</v>
      </c>
      <c r="AD88" s="5">
        <f>Data3[[#This Row],[UnitPrice]]*Data3[[#This Row],[Quantity]]*(1-Data3[[#This Row],[DiscountPct]])</f>
        <v>24523.006720000001</v>
      </c>
      <c r="AE88" s="6">
        <f>Data3[[#This Row],[UnitPrice]]*Data3[[#This Row],[Quantity]]</f>
        <v>27492.16</v>
      </c>
      <c r="AF88" s="6">
        <f>Data3[[#This Row],[GrossRevenue]]-(Data3[[#This Row],[Quantity]]*Data3[[#This Row],[UnitCost]])</f>
        <v>12734.366720000002</v>
      </c>
      <c r="AG88" s="6" t="str">
        <f>TEXT(Data3[[#This Row],[OrderDate]], "mmm-yyyy")</f>
        <v>Mar-2023</v>
      </c>
      <c r="AH88" s="7">
        <f>IF(Data3[[#This Row],[GrossRevenue]]=0, 0,Data3[[#This Row],[GrossProfit]]/Data3[[#This Row],[GrossRevenue]])</f>
        <v>0.51928243813652564</v>
      </c>
      <c r="AI88" s="5">
        <f t="shared" si="8"/>
        <v>24523.006720000001</v>
      </c>
    </row>
    <row r="89" spans="1:35" x14ac:dyDescent="0.35">
      <c r="A89" s="4" t="s">
        <v>332</v>
      </c>
      <c r="B89" s="2">
        <v>45811</v>
      </c>
      <c r="C89" s="2" t="str">
        <f>TEXT(Data3[[#This Row],[OrderDate]],"MMM-YYYY")</f>
        <v>Jun-2025</v>
      </c>
      <c r="D89" s="4" t="str">
        <f>"Q"&amp;INT((MONTH(Data3[[#This Row],[OrderDate]])-1)/3)+1&amp;"-"&amp;YEAR(Data3[[#This Row],[OrderDate]])</f>
        <v>Q2-2025</v>
      </c>
      <c r="E89" s="2">
        <v>45818</v>
      </c>
      <c r="F89" t="s">
        <v>52</v>
      </c>
      <c r="G89" t="s">
        <v>53</v>
      </c>
      <c r="H89" s="4" t="s">
        <v>54</v>
      </c>
      <c r="I89" t="s">
        <v>48</v>
      </c>
      <c r="J89" s="4" t="s">
        <v>55</v>
      </c>
      <c r="K89" s="4" t="s">
        <v>68</v>
      </c>
      <c r="L89" t="s">
        <v>30</v>
      </c>
      <c r="M89" s="4" t="s">
        <v>333</v>
      </c>
      <c r="N89" s="3">
        <v>75.180000000000007</v>
      </c>
      <c r="O89" s="3">
        <v>53.45</v>
      </c>
      <c r="P89" s="3">
        <v>0.157</v>
      </c>
      <c r="Q89" s="3">
        <v>17</v>
      </c>
      <c r="R89" t="s">
        <v>68</v>
      </c>
      <c r="S89" t="s">
        <v>54</v>
      </c>
      <c r="T89" t="s">
        <v>55</v>
      </c>
      <c r="U89">
        <v>53.45</v>
      </c>
      <c r="V89" t="str" cm="1">
        <f t="array" ref="V89">_xlfn.IFS(Data3[[#This Row],[CorrectedUnitPriceCustom]]&lt;=$W$2, "Low",Data3[[#This Row],[CorrectedUnitPriceCustom]]&lt;=$Y$2, "Medium", TRUE, "High")</f>
        <v>Low</v>
      </c>
      <c r="W89">
        <f t="shared" si="5"/>
        <v>619.51</v>
      </c>
      <c r="X89">
        <f t="shared" si="6"/>
        <v>1318.37</v>
      </c>
      <c r="Y89">
        <f t="shared" si="7"/>
        <v>1994.67</v>
      </c>
      <c r="Z89">
        <v>0.157</v>
      </c>
      <c r="AA89" t="s">
        <v>1372</v>
      </c>
      <c r="AB89" s="1">
        <v>45818</v>
      </c>
      <c r="AC89">
        <v>7</v>
      </c>
      <c r="AD89" s="5">
        <f>Data3[[#This Row],[UnitPrice]]*Data3[[#This Row],[Quantity]]*(1-Data3[[#This Row],[DiscountPct]])</f>
        <v>765.99195000000009</v>
      </c>
      <c r="AE89" s="6">
        <f>Data3[[#This Row],[UnitPrice]]*Data3[[#This Row],[Quantity]]</f>
        <v>908.65000000000009</v>
      </c>
      <c r="AF89" s="6">
        <f>Data3[[#This Row],[GrossRevenue]]-(Data3[[#This Row],[Quantity]]*Data3[[#This Row],[UnitCost]])</f>
        <v>-512.06805000000008</v>
      </c>
      <c r="AG89" s="6" t="str">
        <f>TEXT(Data3[[#This Row],[OrderDate]], "mmm-yyyy")</f>
        <v>Jun-2025</v>
      </c>
      <c r="AH89" s="7">
        <f>IF(Data3[[#This Row],[GrossRevenue]]=0, 0,Data3[[#This Row],[GrossProfit]]/Data3[[#This Row],[GrossRevenue]])</f>
        <v>-0.66850317421743144</v>
      </c>
      <c r="AI89" s="5">
        <f t="shared" si="8"/>
        <v>765.99195000000009</v>
      </c>
    </row>
    <row r="90" spans="1:35" x14ac:dyDescent="0.35">
      <c r="A90" s="4" t="s">
        <v>337</v>
      </c>
      <c r="B90" s="2">
        <v>45086</v>
      </c>
      <c r="C90" s="2" t="str">
        <f>TEXT(Data3[[#This Row],[OrderDate]],"MMM-YYYY")</f>
        <v>Jun-2023</v>
      </c>
      <c r="D90" s="4" t="str">
        <f>"Q"&amp;INT((MONTH(Data3[[#This Row],[OrderDate]])-1)/3)+1&amp;"-"&amp;YEAR(Data3[[#This Row],[OrderDate]])</f>
        <v>Q2-2023</v>
      </c>
      <c r="E90" s="2">
        <v>45096</v>
      </c>
      <c r="F90" t="s">
        <v>45</v>
      </c>
      <c r="G90" t="s">
        <v>116</v>
      </c>
      <c r="H90" s="4" t="s">
        <v>338</v>
      </c>
      <c r="I90" t="s">
        <v>105</v>
      </c>
      <c r="J90" s="4" t="s">
        <v>20</v>
      </c>
      <c r="K90" s="4" t="s">
        <v>84</v>
      </c>
      <c r="L90" t="s">
        <v>64</v>
      </c>
      <c r="M90" s="4" t="s">
        <v>339</v>
      </c>
      <c r="N90" s="3">
        <v>339.61</v>
      </c>
      <c r="O90" s="3">
        <v>621.02</v>
      </c>
      <c r="P90" s="3">
        <v>7.0999999999999994E-2</v>
      </c>
      <c r="Q90" s="3">
        <v>10</v>
      </c>
      <c r="R90" t="s">
        <v>84</v>
      </c>
      <c r="S90" t="s">
        <v>338</v>
      </c>
      <c r="T90" t="s">
        <v>20</v>
      </c>
      <c r="U90">
        <v>621.02</v>
      </c>
      <c r="V90" t="str" cm="1">
        <f t="array" ref="V90">_xlfn.IFS(Data3[[#This Row],[CorrectedUnitPriceCustom]]&lt;=$W$2, "Low",Data3[[#This Row],[CorrectedUnitPriceCustom]]&lt;=$Y$2, "Medium", TRUE, "High")</f>
        <v>Low</v>
      </c>
      <c r="W90">
        <f t="shared" si="5"/>
        <v>620.64249999999993</v>
      </c>
      <c r="X90">
        <f t="shared" si="6"/>
        <v>1324.2199999999998</v>
      </c>
      <c r="Y90">
        <f t="shared" si="7"/>
        <v>2000</v>
      </c>
      <c r="Z90">
        <v>7.0999999999999994E-2</v>
      </c>
      <c r="AA90" t="s">
        <v>1372</v>
      </c>
      <c r="AB90" s="1">
        <v>45096</v>
      </c>
      <c r="AC90">
        <v>10</v>
      </c>
      <c r="AD90" s="5">
        <f>Data3[[#This Row],[UnitPrice]]*Data3[[#This Row],[Quantity]]*(1-Data3[[#This Row],[DiscountPct]])</f>
        <v>5769.2758000000003</v>
      </c>
      <c r="AE90" s="6">
        <f>Data3[[#This Row],[UnitPrice]]*Data3[[#This Row],[Quantity]]</f>
        <v>6210.2</v>
      </c>
      <c r="AF90" s="6">
        <f>Data3[[#This Row],[GrossRevenue]]-(Data3[[#This Row],[Quantity]]*Data3[[#This Row],[UnitCost]])</f>
        <v>2373.1758</v>
      </c>
      <c r="AG90" s="6" t="str">
        <f>TEXT(Data3[[#This Row],[OrderDate]], "mmm-yyyy")</f>
        <v>Jun-2023</v>
      </c>
      <c r="AH90" s="7">
        <f>IF(Data3[[#This Row],[GrossRevenue]]=0, 0,Data3[[#This Row],[GrossProfit]]/Data3[[#This Row],[GrossRevenue]])</f>
        <v>0.41134726129750981</v>
      </c>
      <c r="AI90" s="5">
        <f t="shared" si="8"/>
        <v>5769.2758000000003</v>
      </c>
    </row>
    <row r="91" spans="1:35" x14ac:dyDescent="0.35">
      <c r="A91" s="4" t="s">
        <v>340</v>
      </c>
      <c r="B91" s="2">
        <v>45847</v>
      </c>
      <c r="C91" s="2" t="str">
        <f>TEXT(Data3[[#This Row],[OrderDate]],"MMM-YYYY")</f>
        <v>Jul-2025</v>
      </c>
      <c r="D91" s="4" t="str">
        <f>"Q"&amp;INT((MONTH(Data3[[#This Row],[OrderDate]])-1)/3)+1&amp;"-"&amp;YEAR(Data3[[#This Row],[OrderDate]])</f>
        <v>Q3-2025</v>
      </c>
      <c r="E91" s="2">
        <v>45856</v>
      </c>
      <c r="F91" t="s">
        <v>52</v>
      </c>
      <c r="G91" t="s">
        <v>53</v>
      </c>
      <c r="H91" s="4" t="s">
        <v>179</v>
      </c>
      <c r="I91" t="s">
        <v>27</v>
      </c>
      <c r="J91" s="4" t="s">
        <v>55</v>
      </c>
      <c r="K91" s="4" t="s">
        <v>34</v>
      </c>
      <c r="L91" t="s">
        <v>57</v>
      </c>
      <c r="M91" s="4" t="s">
        <v>341</v>
      </c>
      <c r="N91" s="3">
        <v>57.96</v>
      </c>
      <c r="O91" s="3">
        <v>88.51</v>
      </c>
      <c r="P91" s="3">
        <v>4.2999999999999997E-2</v>
      </c>
      <c r="Q91" s="3">
        <v>7</v>
      </c>
      <c r="R91" t="s">
        <v>34</v>
      </c>
      <c r="S91" t="s">
        <v>179</v>
      </c>
      <c r="T91" t="s">
        <v>55</v>
      </c>
      <c r="U91">
        <v>88.51</v>
      </c>
      <c r="V91" t="str" cm="1">
        <f t="array" ref="V91">_xlfn.IFS(Data3[[#This Row],[CorrectedUnitPriceCustom]]&lt;=$W$2, "Low",Data3[[#This Row],[CorrectedUnitPriceCustom]]&lt;=$Y$2, "Medium", TRUE, "High")</f>
        <v>Low</v>
      </c>
      <c r="W91">
        <f t="shared" si="5"/>
        <v>622.27499999999998</v>
      </c>
      <c r="X91">
        <f t="shared" si="6"/>
        <v>1330.07</v>
      </c>
      <c r="Y91">
        <f t="shared" si="7"/>
        <v>2005.33</v>
      </c>
      <c r="Z91">
        <v>4.2999999999999997E-2</v>
      </c>
      <c r="AA91" t="s">
        <v>1372</v>
      </c>
      <c r="AB91" s="1">
        <v>45856</v>
      </c>
      <c r="AC91">
        <v>9</v>
      </c>
      <c r="AD91" s="5">
        <f>Data3[[#This Row],[UnitPrice]]*Data3[[#This Row],[Quantity]]*(1-Data3[[#This Row],[DiscountPct]])</f>
        <v>592.92849000000001</v>
      </c>
      <c r="AE91" s="6">
        <f>Data3[[#This Row],[UnitPrice]]*Data3[[#This Row],[Quantity]]</f>
        <v>619.57000000000005</v>
      </c>
      <c r="AF91" s="6">
        <f>Data3[[#This Row],[GrossRevenue]]-(Data3[[#This Row],[Quantity]]*Data3[[#This Row],[UnitCost]])</f>
        <v>187.20848999999998</v>
      </c>
      <c r="AG91" s="6" t="str">
        <f>TEXT(Data3[[#This Row],[OrderDate]], "mmm-yyyy")</f>
        <v>Jul-2025</v>
      </c>
      <c r="AH91" s="7">
        <f>IF(Data3[[#This Row],[GrossRevenue]]=0, 0,Data3[[#This Row],[GrossProfit]]/Data3[[#This Row],[GrossRevenue]])</f>
        <v>0.3157353595877978</v>
      </c>
      <c r="AI91" s="5">
        <f t="shared" si="8"/>
        <v>592.92849000000001</v>
      </c>
    </row>
    <row r="92" spans="1:35" x14ac:dyDescent="0.35">
      <c r="A92" s="4" t="s">
        <v>344</v>
      </c>
      <c r="B92" s="2">
        <v>45249</v>
      </c>
      <c r="C92" s="2" t="str">
        <f>TEXT(Data3[[#This Row],[OrderDate]],"MMM-YYYY")</f>
        <v>Nov-2023</v>
      </c>
      <c r="D92" s="4" t="str">
        <f>"Q"&amp;INT((MONTH(Data3[[#This Row],[OrderDate]])-1)/3)+1&amp;"-"&amp;YEAR(Data3[[#This Row],[OrderDate]])</f>
        <v>Q4-2023</v>
      </c>
      <c r="E92" s="2">
        <v>45273</v>
      </c>
      <c r="F92" t="s">
        <v>78</v>
      </c>
      <c r="G92" t="s">
        <v>90</v>
      </c>
      <c r="H92" s="4" t="s">
        <v>138</v>
      </c>
      <c r="I92" t="s">
        <v>39</v>
      </c>
      <c r="J92" s="4" t="s">
        <v>98</v>
      </c>
      <c r="K92" s="4" t="s">
        <v>92</v>
      </c>
      <c r="L92" t="s">
        <v>64</v>
      </c>
      <c r="M92" s="4" t="s">
        <v>345</v>
      </c>
      <c r="N92" s="3">
        <v>1297.42</v>
      </c>
      <c r="O92" s="3">
        <v>2742.97</v>
      </c>
      <c r="P92" s="3">
        <v>6.9000000000000006E-2</v>
      </c>
      <c r="Q92" s="3">
        <v>9</v>
      </c>
      <c r="R92" t="s">
        <v>92</v>
      </c>
      <c r="S92" t="s">
        <v>138</v>
      </c>
      <c r="T92" t="s">
        <v>98</v>
      </c>
      <c r="U92">
        <v>2742.97</v>
      </c>
      <c r="V92" t="str" cm="1">
        <f t="array" ref="V92">_xlfn.IFS(Data3[[#This Row],[CorrectedUnitPriceCustom]]&lt;=$W$2, "Low",Data3[[#This Row],[CorrectedUnitPriceCustom]]&lt;=$Y$2, "Medium", TRUE, "High")</f>
        <v>High</v>
      </c>
      <c r="W92">
        <f t="shared" si="5"/>
        <v>625.91499999999996</v>
      </c>
      <c r="X92">
        <f t="shared" si="6"/>
        <v>1332.5450000000001</v>
      </c>
      <c r="Y92">
        <f t="shared" si="7"/>
        <v>2010.66</v>
      </c>
      <c r="Z92">
        <v>6.9000000000000006E-2</v>
      </c>
      <c r="AA92" t="s">
        <v>1372</v>
      </c>
      <c r="AB92" s="1">
        <v>45273</v>
      </c>
      <c r="AC92">
        <v>24</v>
      </c>
      <c r="AD92" s="5">
        <f>Data3[[#This Row],[UnitPrice]]*Data3[[#This Row],[Quantity]]*(1-Data3[[#This Row],[DiscountPct]])</f>
        <v>22983.34563</v>
      </c>
      <c r="AE92" s="6">
        <f>Data3[[#This Row],[UnitPrice]]*Data3[[#This Row],[Quantity]]</f>
        <v>24686.73</v>
      </c>
      <c r="AF92" s="6">
        <f>Data3[[#This Row],[GrossRevenue]]-(Data3[[#This Row],[Quantity]]*Data3[[#This Row],[UnitCost]])</f>
        <v>11306.565629999999</v>
      </c>
      <c r="AG92" s="6" t="str">
        <f>TEXT(Data3[[#This Row],[OrderDate]], "mmm-yyyy")</f>
        <v>Nov-2023</v>
      </c>
      <c r="AH92" s="7">
        <f>IF(Data3[[#This Row],[GrossRevenue]]=0, 0,Data3[[#This Row],[GrossProfit]]/Data3[[#This Row],[GrossRevenue]])</f>
        <v>0.49194602961727291</v>
      </c>
      <c r="AI92" s="5">
        <f t="shared" si="8"/>
        <v>22983.34563</v>
      </c>
    </row>
    <row r="93" spans="1:35" x14ac:dyDescent="0.35">
      <c r="A93" s="4" t="s">
        <v>346</v>
      </c>
      <c r="B93" s="2">
        <v>45289</v>
      </c>
      <c r="C93" s="2" t="str">
        <f>TEXT(Data3[[#This Row],[OrderDate]],"MMM-YYYY")</f>
        <v>Dec-2023</v>
      </c>
      <c r="D93" s="4" t="str">
        <f>"Q"&amp;INT((MONTH(Data3[[#This Row],[OrderDate]])-1)/3)+1&amp;"-"&amp;YEAR(Data3[[#This Row],[OrderDate]])</f>
        <v>Q4-2023</v>
      </c>
      <c r="E93" s="2">
        <v>45311</v>
      </c>
      <c r="F93" t="s">
        <v>16</v>
      </c>
      <c r="G93" t="s">
        <v>17</v>
      </c>
      <c r="H93" s="4" t="s">
        <v>18</v>
      </c>
      <c r="I93" t="s">
        <v>19</v>
      </c>
      <c r="J93" s="4" t="s">
        <v>98</v>
      </c>
      <c r="K93" s="4" t="s">
        <v>49</v>
      </c>
      <c r="L93" t="s">
        <v>42</v>
      </c>
      <c r="M93" s="4" t="s">
        <v>347</v>
      </c>
      <c r="N93" s="3">
        <v>1395.49</v>
      </c>
      <c r="O93" s="3">
        <v>1679.42</v>
      </c>
      <c r="P93" s="3">
        <v>0.20300000000000001</v>
      </c>
      <c r="Q93" s="3">
        <v>12</v>
      </c>
      <c r="R93" t="s">
        <v>49</v>
      </c>
      <c r="S93" t="s">
        <v>18</v>
      </c>
      <c r="T93" t="s">
        <v>98</v>
      </c>
      <c r="U93">
        <v>1679.42</v>
      </c>
      <c r="V93" t="str" cm="1">
        <f t="array" ref="V93">_xlfn.IFS(Data3[[#This Row],[CorrectedUnitPriceCustom]]&lt;=$W$2, "Low",Data3[[#This Row],[CorrectedUnitPriceCustom]]&lt;=$Y$2, "Medium", TRUE, "High")</f>
        <v>Medium</v>
      </c>
      <c r="W93">
        <f t="shared" si="5"/>
        <v>625.04</v>
      </c>
      <c r="X93">
        <f t="shared" si="6"/>
        <v>1330.07</v>
      </c>
      <c r="Y93">
        <f t="shared" si="7"/>
        <v>1994.67</v>
      </c>
      <c r="Z93">
        <v>0.20300000000000001</v>
      </c>
      <c r="AA93" t="s">
        <v>1372</v>
      </c>
      <c r="AB93" s="1">
        <v>45311</v>
      </c>
      <c r="AC93">
        <v>22</v>
      </c>
      <c r="AD93" s="5">
        <f>Data3[[#This Row],[UnitPrice]]*Data3[[#This Row],[Quantity]]*(1-Data3[[#This Row],[DiscountPct]])</f>
        <v>16061.972879999999</v>
      </c>
      <c r="AE93" s="6">
        <f>Data3[[#This Row],[UnitPrice]]*Data3[[#This Row],[Quantity]]</f>
        <v>20153.04</v>
      </c>
      <c r="AF93" s="6">
        <f>Data3[[#This Row],[GrossRevenue]]-(Data3[[#This Row],[Quantity]]*Data3[[#This Row],[UnitCost]])</f>
        <v>-683.90712000000167</v>
      </c>
      <c r="AG93" s="6" t="str">
        <f>TEXT(Data3[[#This Row],[OrderDate]], "mmm-yyyy")</f>
        <v>Dec-2023</v>
      </c>
      <c r="AH93" s="7">
        <f>IF(Data3[[#This Row],[GrossRevenue]]=0, 0,Data3[[#This Row],[GrossProfit]]/Data3[[#This Row],[GrossRevenue]])</f>
        <v>-4.2579272490964493E-2</v>
      </c>
      <c r="AI93" s="5">
        <f t="shared" si="8"/>
        <v>16061.972879999999</v>
      </c>
    </row>
    <row r="94" spans="1:35" x14ac:dyDescent="0.35">
      <c r="A94" s="4" t="s">
        <v>348</v>
      </c>
      <c r="B94" s="2">
        <v>45598</v>
      </c>
      <c r="C94" s="2" t="str">
        <f>TEXT(Data3[[#This Row],[OrderDate]],"MMM-YYYY")</f>
        <v>Nov-2024</v>
      </c>
      <c r="D94" s="4" t="str">
        <f>"Q"&amp;INT((MONTH(Data3[[#This Row],[OrderDate]])-1)/3)+1&amp;"-"&amp;YEAR(Data3[[#This Row],[OrderDate]])</f>
        <v>Q4-2024</v>
      </c>
      <c r="E94" s="2">
        <v>45625</v>
      </c>
      <c r="F94" t="s">
        <v>52</v>
      </c>
      <c r="G94" t="s">
        <v>73</v>
      </c>
      <c r="H94" s="4" t="s">
        <v>87</v>
      </c>
      <c r="I94" t="s">
        <v>62</v>
      </c>
      <c r="J94" s="4" t="s">
        <v>98</v>
      </c>
      <c r="K94" s="4" t="s">
        <v>34</v>
      </c>
      <c r="L94" t="s">
        <v>35</v>
      </c>
      <c r="M94" s="4" t="s">
        <v>349</v>
      </c>
      <c r="N94" s="3">
        <v>1363.51</v>
      </c>
      <c r="O94" s="3">
        <v>1433.9</v>
      </c>
      <c r="P94" s="3">
        <v>5.7000000000000002E-2</v>
      </c>
      <c r="Q94" s="3">
        <v>8</v>
      </c>
      <c r="R94" t="s">
        <v>34</v>
      </c>
      <c r="S94" t="s">
        <v>87</v>
      </c>
      <c r="T94" t="s">
        <v>98</v>
      </c>
      <c r="U94">
        <v>1433.9</v>
      </c>
      <c r="V94" t="str" cm="1">
        <f t="array" ref="V94">_xlfn.IFS(Data3[[#This Row],[CorrectedUnitPriceCustom]]&lt;=$W$2, "Low",Data3[[#This Row],[CorrectedUnitPriceCustom]]&lt;=$Y$2, "Medium", TRUE, "High")</f>
        <v>Medium</v>
      </c>
      <c r="W94">
        <f t="shared" si="5"/>
        <v>623.65750000000003</v>
      </c>
      <c r="X94">
        <f t="shared" si="6"/>
        <v>1324.2199999999998</v>
      </c>
      <c r="Y94">
        <f t="shared" si="7"/>
        <v>2000</v>
      </c>
      <c r="Z94">
        <v>5.7000000000000002E-2</v>
      </c>
      <c r="AA94" t="s">
        <v>1372</v>
      </c>
      <c r="AB94" s="1">
        <v>45625</v>
      </c>
      <c r="AC94">
        <v>27</v>
      </c>
      <c r="AD94" s="5">
        <f>Data3[[#This Row],[UnitPrice]]*Data3[[#This Row],[Quantity]]*(1-Data3[[#This Row],[DiscountPct]])</f>
        <v>10817.3416</v>
      </c>
      <c r="AE94" s="6">
        <f>Data3[[#This Row],[UnitPrice]]*Data3[[#This Row],[Quantity]]</f>
        <v>11471.2</v>
      </c>
      <c r="AF94" s="6">
        <f>Data3[[#This Row],[GrossRevenue]]-(Data3[[#This Row],[Quantity]]*Data3[[#This Row],[UnitCost]])</f>
        <v>-90.738400000000183</v>
      </c>
      <c r="AG94" s="6" t="str">
        <f>TEXT(Data3[[#This Row],[OrderDate]], "mmm-yyyy")</f>
        <v>Nov-2024</v>
      </c>
      <c r="AH94" s="7">
        <f>IF(Data3[[#This Row],[GrossRevenue]]=0, 0,Data3[[#This Row],[GrossProfit]]/Data3[[#This Row],[GrossRevenue]])</f>
        <v>-8.3882346842037592E-3</v>
      </c>
      <c r="AI94" s="5">
        <f t="shared" si="8"/>
        <v>10817.3416</v>
      </c>
    </row>
    <row r="95" spans="1:35" x14ac:dyDescent="0.35">
      <c r="A95" s="4" t="s">
        <v>354</v>
      </c>
      <c r="B95" s="2">
        <v>45450</v>
      </c>
      <c r="C95" s="2" t="str">
        <f>TEXT(Data3[[#This Row],[OrderDate]],"MMM-YYYY")</f>
        <v>Jun-2024</v>
      </c>
      <c r="D95" s="4" t="str">
        <f>"Q"&amp;INT((MONTH(Data3[[#This Row],[OrderDate]])-1)/3)+1&amp;"-"&amp;YEAR(Data3[[#This Row],[OrderDate]])</f>
        <v>Q2-2024</v>
      </c>
      <c r="E95" s="2">
        <v>45469</v>
      </c>
      <c r="F95" t="s">
        <v>78</v>
      </c>
      <c r="G95" t="s">
        <v>79</v>
      </c>
      <c r="H95" s="4" t="s">
        <v>80</v>
      </c>
      <c r="I95" t="s">
        <v>39</v>
      </c>
      <c r="J95" s="4" t="s">
        <v>40</v>
      </c>
      <c r="K95" s="4" t="s">
        <v>110</v>
      </c>
      <c r="L95" t="s">
        <v>22</v>
      </c>
      <c r="M95" s="4" t="s">
        <v>355</v>
      </c>
      <c r="N95" s="3">
        <v>1064.32</v>
      </c>
      <c r="O95" s="3">
        <v>1848.39</v>
      </c>
      <c r="P95" s="3">
        <v>7.2999999999999995E-2</v>
      </c>
      <c r="Q95" s="3">
        <v>38</v>
      </c>
      <c r="R95" t="s">
        <v>110</v>
      </c>
      <c r="S95" t="s">
        <v>80</v>
      </c>
      <c r="T95" t="s">
        <v>40</v>
      </c>
      <c r="U95">
        <v>1848.39</v>
      </c>
      <c r="V95" t="str" cm="1">
        <f t="array" ref="V95">_xlfn.IFS(Data3[[#This Row],[CorrectedUnitPriceCustom]]&lt;=$W$2, "Low",Data3[[#This Row],[CorrectedUnitPriceCustom]]&lt;=$Y$2, "Medium", TRUE, "High")</f>
        <v>Medium</v>
      </c>
      <c r="W95">
        <f t="shared" si="5"/>
        <v>622.27499999999998</v>
      </c>
      <c r="X95">
        <f t="shared" si="6"/>
        <v>1318.37</v>
      </c>
      <c r="Y95">
        <f t="shared" si="7"/>
        <v>2005.33</v>
      </c>
      <c r="Z95">
        <v>7.2999999999999995E-2</v>
      </c>
      <c r="AA95" t="s">
        <v>1372</v>
      </c>
      <c r="AB95" s="1">
        <v>45469</v>
      </c>
      <c r="AC95">
        <v>19</v>
      </c>
      <c r="AD95" s="5">
        <f>Data3[[#This Row],[UnitPrice]]*Data3[[#This Row],[Quantity]]*(1-Data3[[#This Row],[DiscountPct]])</f>
        <v>65111.38614000001</v>
      </c>
      <c r="AE95" s="6">
        <f>Data3[[#This Row],[UnitPrice]]*Data3[[#This Row],[Quantity]]</f>
        <v>70238.820000000007</v>
      </c>
      <c r="AF95" s="6">
        <f>Data3[[#This Row],[GrossRevenue]]-(Data3[[#This Row],[Quantity]]*Data3[[#This Row],[UnitCost]])</f>
        <v>24667.226140000013</v>
      </c>
      <c r="AG95" s="6" t="str">
        <f>TEXT(Data3[[#This Row],[OrderDate]], "mmm-yyyy")</f>
        <v>Jun-2024</v>
      </c>
      <c r="AH95" s="7">
        <f>IF(Data3[[#This Row],[GrossRevenue]]=0, 0,Data3[[#This Row],[GrossProfit]]/Data3[[#This Row],[GrossRevenue]])</f>
        <v>0.3788465827921631</v>
      </c>
      <c r="AI95" s="5">
        <f t="shared" si="8"/>
        <v>65111.38614000001</v>
      </c>
    </row>
    <row r="96" spans="1:35" x14ac:dyDescent="0.35">
      <c r="A96" s="4" t="s">
        <v>356</v>
      </c>
      <c r="B96" s="2">
        <v>45874</v>
      </c>
      <c r="C96" s="2" t="str">
        <f>TEXT(Data3[[#This Row],[OrderDate]],"MMM-YYYY")</f>
        <v>Aug-2025</v>
      </c>
      <c r="D96" s="4" t="str">
        <f>"Q"&amp;INT((MONTH(Data3[[#This Row],[OrderDate]])-1)/3)+1&amp;"-"&amp;YEAR(Data3[[#This Row],[OrderDate]])</f>
        <v>Q3-2025</v>
      </c>
      <c r="E96" s="2">
        <v>45883</v>
      </c>
      <c r="F96" t="s">
        <v>78</v>
      </c>
      <c r="G96" t="s">
        <v>108</v>
      </c>
      <c r="H96" s="4" t="s">
        <v>152</v>
      </c>
      <c r="I96" t="s">
        <v>39</v>
      </c>
      <c r="J96" s="4" t="s">
        <v>98</v>
      </c>
      <c r="K96" s="4" t="s">
        <v>63</v>
      </c>
      <c r="L96" t="s">
        <v>22</v>
      </c>
      <c r="M96" s="4" t="s">
        <v>357</v>
      </c>
      <c r="N96" s="3">
        <v>41.76</v>
      </c>
      <c r="O96" s="3">
        <v>45.19</v>
      </c>
      <c r="P96" s="3">
        <v>0.17899999999999999</v>
      </c>
      <c r="Q96" s="3">
        <v>23</v>
      </c>
      <c r="R96" t="s">
        <v>63</v>
      </c>
      <c r="S96" t="s">
        <v>152</v>
      </c>
      <c r="T96" t="s">
        <v>98</v>
      </c>
      <c r="U96">
        <v>45.19</v>
      </c>
      <c r="V96" t="str" cm="1">
        <f t="array" ref="V96">_xlfn.IFS(Data3[[#This Row],[CorrectedUnitPriceCustom]]&lt;=$W$2, "Low",Data3[[#This Row],[CorrectedUnitPriceCustom]]&lt;=$Y$2, "Medium", TRUE, "High")</f>
        <v>Low</v>
      </c>
      <c r="W96">
        <f t="shared" si="5"/>
        <v>620.89249999999993</v>
      </c>
      <c r="X96">
        <f t="shared" si="6"/>
        <v>1286.6599999999999</v>
      </c>
      <c r="Y96">
        <f t="shared" si="7"/>
        <v>2010.66</v>
      </c>
      <c r="Z96">
        <v>0.17899999999999999</v>
      </c>
      <c r="AA96" t="s">
        <v>1372</v>
      </c>
      <c r="AB96" s="1">
        <v>45883</v>
      </c>
      <c r="AC96">
        <v>9</v>
      </c>
      <c r="AD96" s="5">
        <f>Data3[[#This Row],[UnitPrice]]*Data3[[#This Row],[Quantity]]*(1-Data3[[#This Row],[DiscountPct]])</f>
        <v>853.32276999999988</v>
      </c>
      <c r="AE96" s="6">
        <f>Data3[[#This Row],[UnitPrice]]*Data3[[#This Row],[Quantity]]</f>
        <v>1039.3699999999999</v>
      </c>
      <c r="AF96" s="6">
        <f>Data3[[#This Row],[GrossRevenue]]-(Data3[[#This Row],[Quantity]]*Data3[[#This Row],[UnitCost]])</f>
        <v>-107.15723000000003</v>
      </c>
      <c r="AG96" s="6" t="str">
        <f>TEXT(Data3[[#This Row],[OrderDate]], "mmm-yyyy")</f>
        <v>Aug-2025</v>
      </c>
      <c r="AH96" s="7">
        <f>IF(Data3[[#This Row],[GrossRevenue]]=0, 0,Data3[[#This Row],[GrossProfit]]/Data3[[#This Row],[GrossRevenue]])</f>
        <v>-0.12557643340514638</v>
      </c>
      <c r="AI96" s="5">
        <f t="shared" si="8"/>
        <v>853.32276999999988</v>
      </c>
    </row>
    <row r="97" spans="1:35" x14ac:dyDescent="0.35">
      <c r="A97" s="4" t="s">
        <v>360</v>
      </c>
      <c r="B97" s="2">
        <v>44948</v>
      </c>
      <c r="C97" s="2" t="str">
        <f>TEXT(Data3[[#This Row],[OrderDate]],"MMM-YYYY")</f>
        <v>Jan-2023</v>
      </c>
      <c r="D97" s="4" t="str">
        <f>"Q"&amp;INT((MONTH(Data3[[#This Row],[OrderDate]])-1)/3)+1&amp;"-"&amp;YEAR(Data3[[#This Row],[OrderDate]])</f>
        <v>Q1-2023</v>
      </c>
      <c r="E97" s="2">
        <v>44956</v>
      </c>
      <c r="F97" t="s">
        <v>52</v>
      </c>
      <c r="G97" t="s">
        <v>122</v>
      </c>
      <c r="H97" s="4" t="s">
        <v>167</v>
      </c>
      <c r="I97" t="s">
        <v>62</v>
      </c>
      <c r="J97" s="4" t="s">
        <v>28</v>
      </c>
      <c r="K97" s="4" t="s">
        <v>75</v>
      </c>
      <c r="L97" t="s">
        <v>35</v>
      </c>
      <c r="M97" s="4" t="s">
        <v>361</v>
      </c>
      <c r="N97" s="3">
        <v>413.52</v>
      </c>
      <c r="O97" s="3">
        <v>1004.34</v>
      </c>
      <c r="P97" s="3">
        <v>0.111</v>
      </c>
      <c r="Q97" s="3">
        <v>18</v>
      </c>
      <c r="R97" t="s">
        <v>75</v>
      </c>
      <c r="S97" t="s">
        <v>167</v>
      </c>
      <c r="T97" t="s">
        <v>28</v>
      </c>
      <c r="U97">
        <v>1004.34</v>
      </c>
      <c r="V97" t="str" cm="1">
        <f t="array" ref="V97">_xlfn.IFS(Data3[[#This Row],[CorrectedUnitPriceCustom]]&lt;=$W$2, "Low",Data3[[#This Row],[CorrectedUnitPriceCustom]]&lt;=$Y$2, "Medium", TRUE, "High")</f>
        <v>Medium</v>
      </c>
      <c r="W97">
        <f t="shared" si="5"/>
        <v>625.04</v>
      </c>
      <c r="X97">
        <f t="shared" si="6"/>
        <v>1318.37</v>
      </c>
      <c r="Y97">
        <f t="shared" si="7"/>
        <v>2015.99</v>
      </c>
      <c r="Z97">
        <v>0.111</v>
      </c>
      <c r="AA97" t="s">
        <v>1372</v>
      </c>
      <c r="AB97" s="1">
        <v>44956</v>
      </c>
      <c r="AC97">
        <v>8</v>
      </c>
      <c r="AD97" s="5">
        <f>Data3[[#This Row],[UnitPrice]]*Data3[[#This Row],[Quantity]]*(1-Data3[[#This Row],[DiscountPct]])</f>
        <v>16071.44868</v>
      </c>
      <c r="AE97" s="6">
        <f>Data3[[#This Row],[UnitPrice]]*Data3[[#This Row],[Quantity]]</f>
        <v>18078.12</v>
      </c>
      <c r="AF97" s="6">
        <f>Data3[[#This Row],[GrossRevenue]]-(Data3[[#This Row],[Quantity]]*Data3[[#This Row],[UnitCost]])</f>
        <v>8628.0886800000007</v>
      </c>
      <c r="AG97" s="6" t="str">
        <f>TEXT(Data3[[#This Row],[OrderDate]], "mmm-yyyy")</f>
        <v>Jan-2023</v>
      </c>
      <c r="AH97" s="7">
        <f>IF(Data3[[#This Row],[GrossRevenue]]=0, 0,Data3[[#This Row],[GrossProfit]]/Data3[[#This Row],[GrossRevenue]])</f>
        <v>0.53685817948304593</v>
      </c>
      <c r="AI97" s="5">
        <f t="shared" si="8"/>
        <v>16071.44868</v>
      </c>
    </row>
    <row r="98" spans="1:35" x14ac:dyDescent="0.35">
      <c r="A98" s="4" t="s">
        <v>362</v>
      </c>
      <c r="B98" s="2">
        <v>45700</v>
      </c>
      <c r="C98" s="2" t="str">
        <f>TEXT(Data3[[#This Row],[OrderDate]],"MMM-YYYY")</f>
        <v>Feb-2025</v>
      </c>
      <c r="D98" s="4" t="str">
        <f>"Q"&amp;INT((MONTH(Data3[[#This Row],[OrderDate]])-1)/3)+1&amp;"-"&amp;YEAR(Data3[[#This Row],[OrderDate]])</f>
        <v>Q1-2025</v>
      </c>
      <c r="E98" s="2">
        <v>45716</v>
      </c>
      <c r="F98" t="s">
        <v>52</v>
      </c>
      <c r="G98" t="s">
        <v>73</v>
      </c>
      <c r="H98" s="4" t="s">
        <v>74</v>
      </c>
      <c r="I98" t="s">
        <v>39</v>
      </c>
      <c r="J98" s="4" t="s">
        <v>98</v>
      </c>
      <c r="K98" s="4" t="s">
        <v>56</v>
      </c>
      <c r="L98" t="s">
        <v>64</v>
      </c>
      <c r="M98" s="4" t="s">
        <v>363</v>
      </c>
      <c r="N98" s="3">
        <v>414.95</v>
      </c>
      <c r="O98" s="3">
        <v>1027.73</v>
      </c>
      <c r="P98" s="3">
        <v>6.3E-2</v>
      </c>
      <c r="Q98" s="3">
        <v>8</v>
      </c>
      <c r="R98" t="s">
        <v>56</v>
      </c>
      <c r="S98" t="s">
        <v>74</v>
      </c>
      <c r="T98" t="s">
        <v>98</v>
      </c>
      <c r="U98">
        <v>1027.73</v>
      </c>
      <c r="V98" t="str" cm="1">
        <f t="array" ref="V98">_xlfn.IFS(Data3[[#This Row],[CorrectedUnitPriceCustom]]&lt;=$W$2, "Low",Data3[[#This Row],[CorrectedUnitPriceCustom]]&lt;=$Y$2, "Medium", TRUE, "High")</f>
        <v>Medium</v>
      </c>
      <c r="W98">
        <f t="shared" si="5"/>
        <v>623.65750000000003</v>
      </c>
      <c r="X98">
        <f t="shared" si="6"/>
        <v>1324.2199999999998</v>
      </c>
      <c r="Y98">
        <f t="shared" si="7"/>
        <v>2024.71</v>
      </c>
      <c r="Z98">
        <v>6.3E-2</v>
      </c>
      <c r="AA98" t="s">
        <v>1372</v>
      </c>
      <c r="AB98" s="1">
        <v>45716</v>
      </c>
      <c r="AC98">
        <v>16</v>
      </c>
      <c r="AD98" s="5">
        <f>Data3[[#This Row],[UnitPrice]]*Data3[[#This Row],[Quantity]]*(1-Data3[[#This Row],[DiscountPct]])</f>
        <v>7703.8640800000003</v>
      </c>
      <c r="AE98" s="6">
        <f>Data3[[#This Row],[UnitPrice]]*Data3[[#This Row],[Quantity]]</f>
        <v>8221.84</v>
      </c>
      <c r="AF98" s="6">
        <f>Data3[[#This Row],[GrossRevenue]]-(Data3[[#This Row],[Quantity]]*Data3[[#This Row],[UnitCost]])</f>
        <v>4384.2640800000008</v>
      </c>
      <c r="AG98" s="6" t="str">
        <f>TEXT(Data3[[#This Row],[OrderDate]], "mmm-yyyy")</f>
        <v>Feb-2025</v>
      </c>
      <c r="AH98" s="7">
        <f>IF(Data3[[#This Row],[GrossRevenue]]=0, 0,Data3[[#This Row],[GrossProfit]]/Data3[[#This Row],[GrossRevenue]])</f>
        <v>0.56909935513815568</v>
      </c>
      <c r="AI98" s="5">
        <f t="shared" si="8"/>
        <v>7703.8640800000003</v>
      </c>
    </row>
    <row r="99" spans="1:35" x14ac:dyDescent="0.35">
      <c r="A99" s="4" t="s">
        <v>366</v>
      </c>
      <c r="B99" s="2">
        <v>44953</v>
      </c>
      <c r="C99" s="2" t="str">
        <f>TEXT(Data3[[#This Row],[OrderDate]],"MMM-YYYY")</f>
        <v>Jan-2023</v>
      </c>
      <c r="D99" s="4" t="str">
        <f>"Q"&amp;INT((MONTH(Data3[[#This Row],[OrderDate]])-1)/3)+1&amp;"-"&amp;YEAR(Data3[[#This Row],[OrderDate]])</f>
        <v>Q1-2023</v>
      </c>
      <c r="E99" s="2">
        <v>44957</v>
      </c>
      <c r="F99" t="s">
        <v>78</v>
      </c>
      <c r="G99" t="s">
        <v>108</v>
      </c>
      <c r="H99" s="4" t="s">
        <v>228</v>
      </c>
      <c r="I99" t="s">
        <v>105</v>
      </c>
      <c r="J99" s="4" t="s">
        <v>28</v>
      </c>
      <c r="K99" s="4" t="s">
        <v>126</v>
      </c>
      <c r="L99" t="s">
        <v>57</v>
      </c>
      <c r="M99" s="4" t="s">
        <v>367</v>
      </c>
      <c r="N99" s="3">
        <v>941.2</v>
      </c>
      <c r="O99" s="3">
        <v>668.02</v>
      </c>
      <c r="P99" s="3">
        <v>0.22</v>
      </c>
      <c r="Q99" s="3">
        <v>16</v>
      </c>
      <c r="R99" t="s">
        <v>126</v>
      </c>
      <c r="S99" t="s">
        <v>228</v>
      </c>
      <c r="T99" t="s">
        <v>28</v>
      </c>
      <c r="U99">
        <v>668.02</v>
      </c>
      <c r="V99" t="str" cm="1">
        <f t="array" ref="V99">_xlfn.IFS(Data3[[#This Row],[CorrectedUnitPriceCustom]]&lt;=$W$2, "Low",Data3[[#This Row],[CorrectedUnitPriceCustom]]&lt;=$Y$2, "Medium", TRUE, "High")</f>
        <v>Medium</v>
      </c>
      <c r="W99">
        <f t="shared" si="5"/>
        <v>622.27499999999998</v>
      </c>
      <c r="X99">
        <f t="shared" si="6"/>
        <v>1330.07</v>
      </c>
      <c r="Y99">
        <f t="shared" si="7"/>
        <v>2033.4299999999998</v>
      </c>
      <c r="Z99">
        <v>0.22</v>
      </c>
      <c r="AA99" t="s">
        <v>1372</v>
      </c>
      <c r="AB99" s="1">
        <v>44957</v>
      </c>
      <c r="AC99">
        <v>4</v>
      </c>
      <c r="AD99" s="5">
        <f>Data3[[#This Row],[UnitPrice]]*Data3[[#This Row],[Quantity]]*(1-Data3[[#This Row],[DiscountPct]])</f>
        <v>8336.8896000000004</v>
      </c>
      <c r="AE99" s="6">
        <f>Data3[[#This Row],[UnitPrice]]*Data3[[#This Row],[Quantity]]</f>
        <v>10688.32</v>
      </c>
      <c r="AF99" s="6">
        <f>Data3[[#This Row],[GrossRevenue]]-(Data3[[#This Row],[Quantity]]*Data3[[#This Row],[UnitCost]])</f>
        <v>-6722.3104000000003</v>
      </c>
      <c r="AG99" s="6" t="str">
        <f>TEXT(Data3[[#This Row],[OrderDate]], "mmm-yyyy")</f>
        <v>Jan-2023</v>
      </c>
      <c r="AH99" s="7">
        <f>IF(Data3[[#This Row],[GrossRevenue]]=0, 0,Data3[[#This Row],[GrossProfit]]/Data3[[#This Row],[GrossRevenue]])</f>
        <v>-0.80633314371825193</v>
      </c>
      <c r="AI99" s="5">
        <f t="shared" si="8"/>
        <v>8336.8896000000004</v>
      </c>
    </row>
    <row r="100" spans="1:35" x14ac:dyDescent="0.35">
      <c r="A100" s="4" t="s">
        <v>370</v>
      </c>
      <c r="B100" s="2">
        <v>45647</v>
      </c>
      <c r="C100" s="2" t="str">
        <f>TEXT(Data3[[#This Row],[OrderDate]],"MMM-YYYY")</f>
        <v>Dec-2024</v>
      </c>
      <c r="D100" s="4" t="str">
        <f>"Q"&amp;INT((MONTH(Data3[[#This Row],[OrderDate]])-1)/3)+1&amp;"-"&amp;YEAR(Data3[[#This Row],[OrderDate]])</f>
        <v>Q4-2024</v>
      </c>
      <c r="E100" s="2">
        <v>45652</v>
      </c>
      <c r="F100" t="s">
        <v>52</v>
      </c>
      <c r="G100" t="s">
        <v>122</v>
      </c>
      <c r="H100" s="4" t="s">
        <v>167</v>
      </c>
      <c r="I100" t="s">
        <v>48</v>
      </c>
      <c r="J100" s="4" t="s">
        <v>40</v>
      </c>
      <c r="K100" s="4" t="s">
        <v>110</v>
      </c>
      <c r="L100" t="s">
        <v>30</v>
      </c>
      <c r="M100" s="4" t="s">
        <v>371</v>
      </c>
      <c r="N100" s="3">
        <v>699.57</v>
      </c>
      <c r="O100" s="3">
        <v>572.71</v>
      </c>
      <c r="P100" s="3">
        <v>0.192</v>
      </c>
      <c r="Q100" s="3">
        <v>26</v>
      </c>
      <c r="R100" t="s">
        <v>110</v>
      </c>
      <c r="S100" t="s">
        <v>167</v>
      </c>
      <c r="T100" t="s">
        <v>40</v>
      </c>
      <c r="U100">
        <v>572.71</v>
      </c>
      <c r="V100" t="str" cm="1">
        <f t="array" ref="V100">_xlfn.IFS(Data3[[#This Row],[CorrectedUnitPriceCustom]]&lt;=$W$2, "Low",Data3[[#This Row],[CorrectedUnitPriceCustom]]&lt;=$Y$2, "Medium", TRUE, "High")</f>
        <v>Low</v>
      </c>
      <c r="W100">
        <f t="shared" si="5"/>
        <v>620.89249999999993</v>
      </c>
      <c r="X100">
        <f t="shared" si="6"/>
        <v>1332.5450000000001</v>
      </c>
      <c r="Y100">
        <f t="shared" si="7"/>
        <v>2042.1499999999999</v>
      </c>
      <c r="Z100">
        <v>0.192</v>
      </c>
      <c r="AA100" t="s">
        <v>1372</v>
      </c>
      <c r="AB100" s="1">
        <v>45652</v>
      </c>
      <c r="AC100">
        <v>5</v>
      </c>
      <c r="AD100" s="5">
        <f>Data3[[#This Row],[UnitPrice]]*Data3[[#This Row],[Quantity]]*(1-Data3[[#This Row],[DiscountPct]])</f>
        <v>12031.491680000001</v>
      </c>
      <c r="AE100" s="6">
        <f>Data3[[#This Row],[UnitPrice]]*Data3[[#This Row],[Quantity]]</f>
        <v>14890.460000000001</v>
      </c>
      <c r="AF100" s="6">
        <f>Data3[[#This Row],[GrossRevenue]]-(Data3[[#This Row],[Quantity]]*Data3[[#This Row],[UnitCost]])</f>
        <v>-6157.3283199999987</v>
      </c>
      <c r="AG100" s="6" t="str">
        <f>TEXT(Data3[[#This Row],[OrderDate]], "mmm-yyyy")</f>
        <v>Dec-2024</v>
      </c>
      <c r="AH100" s="7">
        <f>IF(Data3[[#This Row],[GrossRevenue]]=0, 0,Data3[[#This Row],[GrossProfit]]/Data3[[#This Row],[GrossRevenue]])</f>
        <v>-0.51176765805651114</v>
      </c>
      <c r="AI100" s="5">
        <f t="shared" si="8"/>
        <v>12031.491680000001</v>
      </c>
    </row>
    <row r="101" spans="1:35" x14ac:dyDescent="0.35">
      <c r="A101" s="4" t="s">
        <v>374</v>
      </c>
      <c r="B101" s="2">
        <v>45640</v>
      </c>
      <c r="C101" s="2" t="str">
        <f>TEXT(Data3[[#This Row],[OrderDate]],"MMM-YYYY")</f>
        <v>Dec-2024</v>
      </c>
      <c r="D101" s="4" t="str">
        <f>"Q"&amp;INT((MONTH(Data3[[#This Row],[OrderDate]])-1)/3)+1&amp;"-"&amp;YEAR(Data3[[#This Row],[OrderDate]])</f>
        <v>Q4-2024</v>
      </c>
      <c r="E101" s="2">
        <v>45669</v>
      </c>
      <c r="F101" t="s">
        <v>45</v>
      </c>
      <c r="G101" t="s">
        <v>116</v>
      </c>
      <c r="H101" s="4" t="s">
        <v>117</v>
      </c>
      <c r="I101" t="s">
        <v>27</v>
      </c>
      <c r="J101" s="4" t="s">
        <v>28</v>
      </c>
      <c r="K101" s="4" t="s">
        <v>29</v>
      </c>
      <c r="L101" t="s">
        <v>22</v>
      </c>
      <c r="M101" s="4" t="s">
        <v>375</v>
      </c>
      <c r="N101" s="3">
        <v>1412.15</v>
      </c>
      <c r="O101" s="3">
        <v>1631.04</v>
      </c>
      <c r="P101" s="3">
        <v>8.9999999999999993E-3</v>
      </c>
      <c r="Q101" s="3">
        <v>6</v>
      </c>
      <c r="R101" t="s">
        <v>29</v>
      </c>
      <c r="S101" t="s">
        <v>117</v>
      </c>
      <c r="T101" t="s">
        <v>28</v>
      </c>
      <c r="U101">
        <v>1631.04</v>
      </c>
      <c r="V101" t="str" cm="1">
        <f t="array" ref="V101">_xlfn.IFS(Data3[[#This Row],[CorrectedUnitPriceCustom]]&lt;=$W$2, "Low",Data3[[#This Row],[CorrectedUnitPriceCustom]]&lt;=$Y$2, "Medium", TRUE, "High")</f>
        <v>Medium</v>
      </c>
      <c r="W101">
        <f t="shared" si="5"/>
        <v>625.04</v>
      </c>
      <c r="X101">
        <f t="shared" si="6"/>
        <v>1335.02</v>
      </c>
      <c r="Y101">
        <f t="shared" si="7"/>
        <v>2050.87</v>
      </c>
      <c r="Z101">
        <v>8.9999999999999993E-3</v>
      </c>
      <c r="AA101" t="s">
        <v>1372</v>
      </c>
      <c r="AB101" s="1">
        <v>45669</v>
      </c>
      <c r="AC101">
        <v>29</v>
      </c>
      <c r="AD101" s="5">
        <f>Data3[[#This Row],[UnitPrice]]*Data3[[#This Row],[Quantity]]*(1-Data3[[#This Row],[DiscountPct]])</f>
        <v>9698.1638399999993</v>
      </c>
      <c r="AE101" s="6">
        <f>Data3[[#This Row],[UnitPrice]]*Data3[[#This Row],[Quantity]]</f>
        <v>9786.24</v>
      </c>
      <c r="AF101" s="6">
        <f>Data3[[#This Row],[GrossRevenue]]-(Data3[[#This Row],[Quantity]]*Data3[[#This Row],[UnitCost]])</f>
        <v>1225.2638399999978</v>
      </c>
      <c r="AG101" s="6" t="str">
        <f>TEXT(Data3[[#This Row],[OrderDate]], "mmm-yyyy")</f>
        <v>Dec-2024</v>
      </c>
      <c r="AH101" s="7">
        <f>IF(Data3[[#This Row],[GrossRevenue]]=0, 0,Data3[[#This Row],[GrossProfit]]/Data3[[#This Row],[GrossRevenue]])</f>
        <v>0.12633977526203535</v>
      </c>
      <c r="AI101" s="5">
        <f t="shared" si="8"/>
        <v>9698.1638399999993</v>
      </c>
    </row>
    <row r="102" spans="1:35" x14ac:dyDescent="0.35">
      <c r="A102" s="4" t="s">
        <v>376</v>
      </c>
      <c r="B102" s="2">
        <v>45016</v>
      </c>
      <c r="C102" s="2" t="str">
        <f>TEXT(Data3[[#This Row],[OrderDate]],"MMM-YYYY")</f>
        <v>Mar-2023</v>
      </c>
      <c r="D102" s="4" t="str">
        <f>"Q"&amp;INT((MONTH(Data3[[#This Row],[OrderDate]])-1)/3)+1&amp;"-"&amp;YEAR(Data3[[#This Row],[OrderDate]])</f>
        <v>Q1-2023</v>
      </c>
      <c r="E102" s="2">
        <v>45028</v>
      </c>
      <c r="F102" t="s">
        <v>16</v>
      </c>
      <c r="G102" t="s">
        <v>17</v>
      </c>
      <c r="H102" s="4" t="s">
        <v>113</v>
      </c>
      <c r="I102" t="s">
        <v>62</v>
      </c>
      <c r="J102" s="4" t="s">
        <v>28</v>
      </c>
      <c r="K102" s="4" t="s">
        <v>21</v>
      </c>
      <c r="L102" t="s">
        <v>42</v>
      </c>
      <c r="M102" s="4" t="s">
        <v>377</v>
      </c>
      <c r="N102" s="3">
        <v>304.22000000000003</v>
      </c>
      <c r="O102" s="3">
        <v>393.31</v>
      </c>
      <c r="P102" s="3">
        <v>0.26500000000000001</v>
      </c>
      <c r="Q102" s="3">
        <v>15</v>
      </c>
      <c r="R102" t="s">
        <v>21</v>
      </c>
      <c r="S102" t="s">
        <v>113</v>
      </c>
      <c r="T102" t="s">
        <v>28</v>
      </c>
      <c r="U102">
        <v>393.31</v>
      </c>
      <c r="V102" t="str" cm="1">
        <f t="array" ref="V102">_xlfn.IFS(Data3[[#This Row],[CorrectedUnitPriceCustom]]&lt;=$W$2, "Low",Data3[[#This Row],[CorrectedUnitPriceCustom]]&lt;=$Y$2, "Medium", TRUE, "High")</f>
        <v>Low</v>
      </c>
      <c r="W102">
        <f t="shared" si="5"/>
        <v>623.65750000000003</v>
      </c>
      <c r="X102">
        <f t="shared" si="6"/>
        <v>1332.5450000000001</v>
      </c>
      <c r="Y102">
        <f t="shared" si="7"/>
        <v>2051.9624999999996</v>
      </c>
      <c r="Z102">
        <v>0.26500000000000001</v>
      </c>
      <c r="AA102" t="s">
        <v>1372</v>
      </c>
      <c r="AB102" s="1">
        <v>45028</v>
      </c>
      <c r="AC102">
        <v>12</v>
      </c>
      <c r="AD102" s="5">
        <f>Data3[[#This Row],[UnitPrice]]*Data3[[#This Row],[Quantity]]*(1-Data3[[#This Row],[DiscountPct]])</f>
        <v>4336.2427499999994</v>
      </c>
      <c r="AE102" s="6">
        <f>Data3[[#This Row],[UnitPrice]]*Data3[[#This Row],[Quantity]]</f>
        <v>5899.65</v>
      </c>
      <c r="AF102" s="6">
        <f>Data3[[#This Row],[GrossRevenue]]-(Data3[[#This Row],[Quantity]]*Data3[[#This Row],[UnitCost]])</f>
        <v>-227.05725000000075</v>
      </c>
      <c r="AG102" s="6" t="str">
        <f>TEXT(Data3[[#This Row],[OrderDate]], "mmm-yyyy")</f>
        <v>Mar-2023</v>
      </c>
      <c r="AH102" s="7">
        <f>IF(Data3[[#This Row],[GrossRevenue]]=0, 0,Data3[[#This Row],[GrossProfit]]/Data3[[#This Row],[GrossRevenue]])</f>
        <v>-5.2362670424759034E-2</v>
      </c>
      <c r="AI102" s="5">
        <f t="shared" si="8"/>
        <v>4336.2427499999994</v>
      </c>
    </row>
    <row r="103" spans="1:35" x14ac:dyDescent="0.35">
      <c r="A103" s="4" t="s">
        <v>380</v>
      </c>
      <c r="B103" s="2">
        <v>45336</v>
      </c>
      <c r="C103" s="2" t="str">
        <f>TEXT(Data3[[#This Row],[OrderDate]],"MMM-YYYY")</f>
        <v>Feb-2024</v>
      </c>
      <c r="D103" s="4" t="str">
        <f>"Q"&amp;INT((MONTH(Data3[[#This Row],[OrderDate]])-1)/3)+1&amp;"-"&amp;YEAR(Data3[[#This Row],[OrderDate]])</f>
        <v>Q1-2024</v>
      </c>
      <c r="E103" s="2">
        <v>45336</v>
      </c>
      <c r="F103" t="s">
        <v>45</v>
      </c>
      <c r="G103" t="s">
        <v>116</v>
      </c>
      <c r="H103" s="4" t="s">
        <v>338</v>
      </c>
      <c r="I103" t="s">
        <v>19</v>
      </c>
      <c r="J103" s="4" t="s">
        <v>55</v>
      </c>
      <c r="K103" s="4" t="s">
        <v>49</v>
      </c>
      <c r="L103" t="s">
        <v>81</v>
      </c>
      <c r="M103" s="4" t="s">
        <v>381</v>
      </c>
      <c r="N103" s="3">
        <v>65.930000000000007</v>
      </c>
      <c r="O103" s="3">
        <v>84.9</v>
      </c>
      <c r="P103" s="3">
        <v>0.25900000000000001</v>
      </c>
      <c r="Q103" s="3">
        <v>23</v>
      </c>
      <c r="R103" t="s">
        <v>49</v>
      </c>
      <c r="S103" t="s">
        <v>338</v>
      </c>
      <c r="T103" t="s">
        <v>55</v>
      </c>
      <c r="U103">
        <v>84.9</v>
      </c>
      <c r="V103" t="str" cm="1">
        <f t="array" ref="V103">_xlfn.IFS(Data3[[#This Row],[CorrectedUnitPriceCustom]]&lt;=$W$2, "Low",Data3[[#This Row],[CorrectedUnitPriceCustom]]&lt;=$Y$2, "Medium", TRUE, "High")</f>
        <v>Low</v>
      </c>
      <c r="W103">
        <f t="shared" si="5"/>
        <v>626.79</v>
      </c>
      <c r="X103">
        <f t="shared" si="6"/>
        <v>1335.02</v>
      </c>
      <c r="Y103">
        <f t="shared" si="7"/>
        <v>2053.0549999999998</v>
      </c>
      <c r="Z103">
        <v>0.25900000000000001</v>
      </c>
      <c r="AA103" t="s">
        <v>1372</v>
      </c>
      <c r="AB103" s="1">
        <v>45336</v>
      </c>
      <c r="AC103">
        <v>0</v>
      </c>
      <c r="AD103" s="5">
        <f>Data3[[#This Row],[UnitPrice]]*Data3[[#This Row],[Quantity]]*(1-Data3[[#This Row],[DiscountPct]])</f>
        <v>1446.9507000000001</v>
      </c>
      <c r="AE103" s="6">
        <f>Data3[[#This Row],[UnitPrice]]*Data3[[#This Row],[Quantity]]</f>
        <v>1952.7</v>
      </c>
      <c r="AF103" s="6">
        <f>Data3[[#This Row],[GrossRevenue]]-(Data3[[#This Row],[Quantity]]*Data3[[#This Row],[UnitCost]])</f>
        <v>-69.439300000000003</v>
      </c>
      <c r="AG103" s="6" t="str">
        <f>TEXT(Data3[[#This Row],[OrderDate]], "mmm-yyyy")</f>
        <v>Feb-2024</v>
      </c>
      <c r="AH103" s="7">
        <f>IF(Data3[[#This Row],[GrossRevenue]]=0, 0,Data3[[#This Row],[GrossProfit]]/Data3[[#This Row],[GrossRevenue]])</f>
        <v>-4.7990093926489688E-2</v>
      </c>
      <c r="AI103" s="5">
        <f t="shared" si="8"/>
        <v>1446.9507000000001</v>
      </c>
    </row>
    <row r="104" spans="1:35" x14ac:dyDescent="0.35">
      <c r="A104" s="4" t="s">
        <v>386</v>
      </c>
      <c r="B104" s="2">
        <v>45133</v>
      </c>
      <c r="C104" s="2" t="str">
        <f>TEXT(Data3[[#This Row],[OrderDate]],"MMM-YYYY")</f>
        <v>Jul-2023</v>
      </c>
      <c r="D104" s="4" t="str">
        <f>"Q"&amp;INT((MONTH(Data3[[#This Row],[OrderDate]])-1)/3)+1&amp;"-"&amp;YEAR(Data3[[#This Row],[OrderDate]])</f>
        <v>Q3-2023</v>
      </c>
      <c r="E104" s="2">
        <v>45163</v>
      </c>
      <c r="F104" t="s">
        <v>52</v>
      </c>
      <c r="G104" t="s">
        <v>122</v>
      </c>
      <c r="H104" s="4" t="s">
        <v>387</v>
      </c>
      <c r="I104" t="s">
        <v>48</v>
      </c>
      <c r="J104" s="4" t="s">
        <v>20</v>
      </c>
      <c r="K104" s="4" t="s">
        <v>110</v>
      </c>
      <c r="L104" t="s">
        <v>81</v>
      </c>
      <c r="M104" s="4" t="s">
        <v>388</v>
      </c>
      <c r="N104" s="3">
        <v>1261.48</v>
      </c>
      <c r="O104" s="3">
        <v>1643.18</v>
      </c>
      <c r="P104" s="3">
        <v>0.151</v>
      </c>
      <c r="Q104" s="3">
        <v>23</v>
      </c>
      <c r="R104" t="s">
        <v>110</v>
      </c>
      <c r="S104" t="s">
        <v>387</v>
      </c>
      <c r="T104" t="s">
        <v>20</v>
      </c>
      <c r="U104">
        <v>1643.18</v>
      </c>
      <c r="V104" t="str" cm="1">
        <f t="array" ref="V104">_xlfn.IFS(Data3[[#This Row],[CorrectedUnitPriceCustom]]&lt;=$W$2, "Low",Data3[[#This Row],[CorrectedUnitPriceCustom]]&lt;=$Y$2, "Medium", TRUE, "High")</f>
        <v>Medium</v>
      </c>
      <c r="W104">
        <f t="shared" si="5"/>
        <v>629.08500000000004</v>
      </c>
      <c r="X104">
        <f t="shared" si="6"/>
        <v>1336.355</v>
      </c>
      <c r="Y104">
        <f t="shared" si="7"/>
        <v>2054.1475</v>
      </c>
      <c r="Z104">
        <v>0.151</v>
      </c>
      <c r="AA104" t="s">
        <v>1372</v>
      </c>
      <c r="AB104" s="1">
        <v>45163</v>
      </c>
      <c r="AC104">
        <v>30</v>
      </c>
      <c r="AD104" s="5">
        <f>Data3[[#This Row],[UnitPrice]]*Data3[[#This Row],[Quantity]]*(1-Data3[[#This Row],[DiscountPct]])</f>
        <v>32086.37586</v>
      </c>
      <c r="AE104" s="6">
        <f>Data3[[#This Row],[UnitPrice]]*Data3[[#This Row],[Quantity]]</f>
        <v>37793.14</v>
      </c>
      <c r="AF104" s="6">
        <f>Data3[[#This Row],[GrossRevenue]]-(Data3[[#This Row],[Quantity]]*Data3[[#This Row],[UnitCost]])</f>
        <v>3072.3358599999992</v>
      </c>
      <c r="AG104" s="6" t="str">
        <f>TEXT(Data3[[#This Row],[OrderDate]], "mmm-yyyy")</f>
        <v>Jul-2023</v>
      </c>
      <c r="AH104" s="7">
        <f>IF(Data3[[#This Row],[GrossRevenue]]=0, 0,Data3[[#This Row],[GrossProfit]]/Data3[[#This Row],[GrossRevenue]])</f>
        <v>9.5752037357079045E-2</v>
      </c>
      <c r="AI104" s="5">
        <f t="shared" si="8"/>
        <v>32086.37586</v>
      </c>
    </row>
    <row r="105" spans="1:35" x14ac:dyDescent="0.35">
      <c r="A105" s="4" t="s">
        <v>389</v>
      </c>
      <c r="B105" s="2">
        <v>45458</v>
      </c>
      <c r="C105" s="2" t="str">
        <f>TEXT(Data3[[#This Row],[OrderDate]],"MMM-YYYY")</f>
        <v>Jun-2024</v>
      </c>
      <c r="D105" s="4" t="str">
        <f>"Q"&amp;INT((MONTH(Data3[[#This Row],[OrderDate]])-1)/3)+1&amp;"-"&amp;YEAR(Data3[[#This Row],[OrderDate]])</f>
        <v>Q2-2024</v>
      </c>
      <c r="E105" s="2">
        <v>45479</v>
      </c>
      <c r="F105" t="s">
        <v>52</v>
      </c>
      <c r="G105" t="s">
        <v>53</v>
      </c>
      <c r="H105" s="4" t="s">
        <v>54</v>
      </c>
      <c r="I105" t="s">
        <v>105</v>
      </c>
      <c r="J105" s="4" t="s">
        <v>55</v>
      </c>
      <c r="K105" s="4" t="s">
        <v>49</v>
      </c>
      <c r="L105" t="s">
        <v>30</v>
      </c>
      <c r="M105" s="4" t="s">
        <v>390</v>
      </c>
      <c r="N105" s="3">
        <v>817.23</v>
      </c>
      <c r="O105" s="3">
        <v>1467.17</v>
      </c>
      <c r="P105" s="3">
        <v>0.245</v>
      </c>
      <c r="Q105" s="3">
        <v>9</v>
      </c>
      <c r="R105" t="s">
        <v>49</v>
      </c>
      <c r="S105" t="s">
        <v>54</v>
      </c>
      <c r="T105" t="s">
        <v>55</v>
      </c>
      <c r="U105">
        <v>1467.17</v>
      </c>
      <c r="V105" t="str" cm="1">
        <f t="array" ref="V105">_xlfn.IFS(Data3[[#This Row],[CorrectedUnitPriceCustom]]&lt;=$W$2, "Low",Data3[[#This Row],[CorrectedUnitPriceCustom]]&lt;=$Y$2, "Medium", TRUE, "High")</f>
        <v>Medium</v>
      </c>
      <c r="W105">
        <f t="shared" si="5"/>
        <v>628.54</v>
      </c>
      <c r="X105">
        <f t="shared" si="6"/>
        <v>1335.02</v>
      </c>
      <c r="Y105">
        <f t="shared" si="7"/>
        <v>2055.2399999999998</v>
      </c>
      <c r="Z105">
        <v>0.245</v>
      </c>
      <c r="AA105" t="s">
        <v>1372</v>
      </c>
      <c r="AB105" s="1">
        <v>45479</v>
      </c>
      <c r="AC105">
        <v>21</v>
      </c>
      <c r="AD105" s="5">
        <f>Data3[[#This Row],[UnitPrice]]*Data3[[#This Row],[Quantity]]*(1-Data3[[#This Row],[DiscountPct]])</f>
        <v>9969.4201499999999</v>
      </c>
      <c r="AE105" s="6">
        <f>Data3[[#This Row],[UnitPrice]]*Data3[[#This Row],[Quantity]]</f>
        <v>13204.53</v>
      </c>
      <c r="AF105" s="6">
        <f>Data3[[#This Row],[GrossRevenue]]-(Data3[[#This Row],[Quantity]]*Data3[[#This Row],[UnitCost]])</f>
        <v>2614.3501500000002</v>
      </c>
      <c r="AG105" s="6" t="str">
        <f>TEXT(Data3[[#This Row],[OrderDate]], "mmm-yyyy")</f>
        <v>Jun-2024</v>
      </c>
      <c r="AH105" s="7">
        <f>IF(Data3[[#This Row],[GrossRevenue]]=0, 0,Data3[[#This Row],[GrossProfit]]/Data3[[#This Row],[GrossRevenue]])</f>
        <v>0.26223693160328893</v>
      </c>
      <c r="AI105" s="5">
        <f t="shared" si="8"/>
        <v>9969.4201499999999</v>
      </c>
    </row>
    <row r="106" spans="1:35" x14ac:dyDescent="0.35">
      <c r="A106" s="4" t="s">
        <v>391</v>
      </c>
      <c r="B106" s="2">
        <v>45112</v>
      </c>
      <c r="C106" s="2" t="str">
        <f>TEXT(Data3[[#This Row],[OrderDate]],"MMM-YYYY")</f>
        <v>Jul-2023</v>
      </c>
      <c r="D106" s="4" t="str">
        <f>"Q"&amp;INT((MONTH(Data3[[#This Row],[OrderDate]])-1)/3)+1&amp;"-"&amp;YEAR(Data3[[#This Row],[OrderDate]])</f>
        <v>Q3-2023</v>
      </c>
      <c r="E106" s="2">
        <v>45121</v>
      </c>
      <c r="F106" t="s">
        <v>52</v>
      </c>
      <c r="G106" t="s">
        <v>73</v>
      </c>
      <c r="H106" s="4" t="s">
        <v>87</v>
      </c>
      <c r="I106" t="s">
        <v>105</v>
      </c>
      <c r="J106" s="4" t="s">
        <v>98</v>
      </c>
      <c r="K106" s="4" t="s">
        <v>56</v>
      </c>
      <c r="L106" t="s">
        <v>35</v>
      </c>
      <c r="M106" s="4" t="s">
        <v>392</v>
      </c>
      <c r="N106" s="3">
        <v>578.85</v>
      </c>
      <c r="O106" s="3">
        <v>998.76</v>
      </c>
      <c r="P106" s="3">
        <v>8.2000000000000003E-2</v>
      </c>
      <c r="Q106" s="3">
        <v>28</v>
      </c>
      <c r="R106" t="s">
        <v>56</v>
      </c>
      <c r="S106" t="s">
        <v>87</v>
      </c>
      <c r="T106" t="s">
        <v>98</v>
      </c>
      <c r="U106">
        <v>998.76</v>
      </c>
      <c r="V106" t="str" cm="1">
        <f t="array" ref="V106">_xlfn.IFS(Data3[[#This Row],[CorrectedUnitPriceCustom]]&lt;=$W$2, "Low",Data3[[#This Row],[CorrectedUnitPriceCustom]]&lt;=$Y$2, "Medium", TRUE, "High")</f>
        <v>Medium</v>
      </c>
      <c r="W106">
        <f t="shared" si="5"/>
        <v>627.66499999999996</v>
      </c>
      <c r="X106">
        <f t="shared" si="6"/>
        <v>1332.5450000000001</v>
      </c>
      <c r="Y106">
        <f t="shared" si="7"/>
        <v>2058.1174999999998</v>
      </c>
      <c r="Z106">
        <v>8.2000000000000003E-2</v>
      </c>
      <c r="AA106" t="s">
        <v>1372</v>
      </c>
      <c r="AB106" s="1">
        <v>45121</v>
      </c>
      <c r="AC106">
        <v>9</v>
      </c>
      <c r="AD106" s="5">
        <f>Data3[[#This Row],[UnitPrice]]*Data3[[#This Row],[Quantity]]*(1-Data3[[#This Row],[DiscountPct]])</f>
        <v>25672.127039999999</v>
      </c>
      <c r="AE106" s="6">
        <f>Data3[[#This Row],[UnitPrice]]*Data3[[#This Row],[Quantity]]</f>
        <v>27965.279999999999</v>
      </c>
      <c r="AF106" s="6">
        <f>Data3[[#This Row],[GrossRevenue]]-(Data3[[#This Row],[Quantity]]*Data3[[#This Row],[UnitCost]])</f>
        <v>9464.3270399999983</v>
      </c>
      <c r="AG106" s="6" t="str">
        <f>TEXT(Data3[[#This Row],[OrderDate]], "mmm-yyyy")</f>
        <v>Jul-2023</v>
      </c>
      <c r="AH106" s="7">
        <f>IF(Data3[[#This Row],[GrossRevenue]]=0, 0,Data3[[#This Row],[GrossProfit]]/Data3[[#This Row],[GrossRevenue]])</f>
        <v>0.36866158480960831</v>
      </c>
      <c r="AI106" s="5">
        <f t="shared" si="8"/>
        <v>25672.127039999999</v>
      </c>
    </row>
    <row r="107" spans="1:35" x14ac:dyDescent="0.35">
      <c r="A107" s="4" t="s">
        <v>393</v>
      </c>
      <c r="B107" s="2">
        <v>45260</v>
      </c>
      <c r="C107" s="2" t="str">
        <f>TEXT(Data3[[#This Row],[OrderDate]],"MMM-YYYY")</f>
        <v>Nov-2023</v>
      </c>
      <c r="D107" s="4" t="str">
        <f>"Q"&amp;INT((MONTH(Data3[[#This Row],[OrderDate]])-1)/3)+1&amp;"-"&amp;YEAR(Data3[[#This Row],[OrderDate]])</f>
        <v>Q4-2023</v>
      </c>
      <c r="E107" s="2">
        <v>45259</v>
      </c>
      <c r="F107" t="s">
        <v>16</v>
      </c>
      <c r="G107" t="s">
        <v>148</v>
      </c>
      <c r="H107" s="4" t="s">
        <v>172</v>
      </c>
      <c r="I107" t="s">
        <v>62</v>
      </c>
      <c r="J107" s="4" t="s">
        <v>40</v>
      </c>
      <c r="K107" s="4" t="s">
        <v>63</v>
      </c>
      <c r="L107" t="s">
        <v>57</v>
      </c>
      <c r="M107" s="4" t="s">
        <v>394</v>
      </c>
      <c r="N107" s="3">
        <v>275.56</v>
      </c>
      <c r="O107" s="3">
        <v>630.72</v>
      </c>
      <c r="P107" s="3">
        <v>0.107</v>
      </c>
      <c r="Q107" s="3">
        <v>23</v>
      </c>
      <c r="R107" t="s">
        <v>63</v>
      </c>
      <c r="S107" t="s">
        <v>172</v>
      </c>
      <c r="T107" t="s">
        <v>40</v>
      </c>
      <c r="U107">
        <v>630.72</v>
      </c>
      <c r="V107" t="str" cm="1">
        <f t="array" ref="V107">_xlfn.IFS(Data3[[#This Row],[CorrectedUnitPriceCustom]]&lt;=$W$2, "Low",Data3[[#This Row],[CorrectedUnitPriceCustom]]&lt;=$Y$2, "Medium", TRUE, "High")</f>
        <v>Medium</v>
      </c>
      <c r="W107">
        <f t="shared" si="5"/>
        <v>626.79</v>
      </c>
      <c r="X107">
        <f t="shared" si="6"/>
        <v>1335.02</v>
      </c>
      <c r="Y107">
        <f t="shared" si="7"/>
        <v>2060.9949999999999</v>
      </c>
      <c r="Z107">
        <v>0.107</v>
      </c>
      <c r="AA107" t="s">
        <v>1372</v>
      </c>
      <c r="AB107" s="1">
        <v>45267</v>
      </c>
      <c r="AC107">
        <v>7</v>
      </c>
      <c r="AD107" s="5">
        <f>Data3[[#This Row],[UnitPrice]]*Data3[[#This Row],[Quantity]]*(1-Data3[[#This Row],[DiscountPct]])</f>
        <v>12954.358080000002</v>
      </c>
      <c r="AE107" s="6">
        <f>Data3[[#This Row],[UnitPrice]]*Data3[[#This Row],[Quantity]]</f>
        <v>14506.560000000001</v>
      </c>
      <c r="AF107" s="6">
        <f>Data3[[#This Row],[GrossRevenue]]-(Data3[[#This Row],[Quantity]]*Data3[[#This Row],[UnitCost]])</f>
        <v>6616.4780800000017</v>
      </c>
      <c r="AG107" s="6" t="str">
        <f>TEXT(Data3[[#This Row],[OrderDate]], "mmm-yyyy")</f>
        <v>Nov-2023</v>
      </c>
      <c r="AH107" s="7">
        <f>IF(Data3[[#This Row],[GrossRevenue]]=0, 0,Data3[[#This Row],[GrossProfit]]/Data3[[#This Row],[GrossRevenue]])</f>
        <v>0.5107530638831933</v>
      </c>
      <c r="AI107" s="5">
        <f t="shared" si="8"/>
        <v>12954.358080000002</v>
      </c>
    </row>
    <row r="108" spans="1:35" x14ac:dyDescent="0.35">
      <c r="A108" s="4" t="s">
        <v>401</v>
      </c>
      <c r="B108" s="2">
        <v>45558</v>
      </c>
      <c r="C108" s="2" t="str">
        <f>TEXT(Data3[[#This Row],[OrderDate]],"MMM-YYYY")</f>
        <v>Sep-2024</v>
      </c>
      <c r="D108" s="4" t="str">
        <f>"Q"&amp;INT((MONTH(Data3[[#This Row],[OrderDate]])-1)/3)+1&amp;"-"&amp;YEAR(Data3[[#This Row],[OrderDate]])</f>
        <v>Q3-2024</v>
      </c>
      <c r="E108" s="2">
        <v>45583</v>
      </c>
      <c r="F108" t="s">
        <v>52</v>
      </c>
      <c r="G108" t="s">
        <v>53</v>
      </c>
      <c r="H108" s="4" t="s">
        <v>179</v>
      </c>
      <c r="I108" t="s">
        <v>62</v>
      </c>
      <c r="J108" s="4" t="s">
        <v>28</v>
      </c>
      <c r="K108" s="4" t="s">
        <v>126</v>
      </c>
      <c r="L108" t="s">
        <v>42</v>
      </c>
      <c r="M108" s="4" t="s">
        <v>402</v>
      </c>
      <c r="N108" s="3">
        <v>1297</v>
      </c>
      <c r="O108" s="3">
        <v>2411.52</v>
      </c>
      <c r="P108" s="3">
        <v>2.1000000000000001E-2</v>
      </c>
      <c r="Q108" s="3">
        <v>18</v>
      </c>
      <c r="R108" t="s">
        <v>126</v>
      </c>
      <c r="S108" t="s">
        <v>179</v>
      </c>
      <c r="T108" t="s">
        <v>28</v>
      </c>
      <c r="U108">
        <v>2411.52</v>
      </c>
      <c r="V108" t="str" cm="1">
        <f t="array" ref="V108">_xlfn.IFS(Data3[[#This Row],[CorrectedUnitPriceCustom]]&lt;=$W$2, "Low",Data3[[#This Row],[CorrectedUnitPriceCustom]]&lt;=$Y$2, "Medium", TRUE, "High")</f>
        <v>High</v>
      </c>
      <c r="W108">
        <f t="shared" si="5"/>
        <v>625.91499999999996</v>
      </c>
      <c r="X108">
        <f t="shared" si="6"/>
        <v>1336.355</v>
      </c>
      <c r="Y108">
        <f t="shared" si="7"/>
        <v>2063.8724999999999</v>
      </c>
      <c r="Z108">
        <v>2.1000000000000001E-2</v>
      </c>
      <c r="AA108" t="s">
        <v>1372</v>
      </c>
      <c r="AB108" s="1">
        <v>45583</v>
      </c>
      <c r="AC108">
        <v>25</v>
      </c>
      <c r="AD108" s="5">
        <f>Data3[[#This Row],[UnitPrice]]*Data3[[#This Row],[Quantity]]*(1-Data3[[#This Row],[DiscountPct]])</f>
        <v>42495.805439999996</v>
      </c>
      <c r="AE108" s="6">
        <f>Data3[[#This Row],[UnitPrice]]*Data3[[#This Row],[Quantity]]</f>
        <v>43407.360000000001</v>
      </c>
      <c r="AF108" s="6">
        <f>Data3[[#This Row],[GrossRevenue]]-(Data3[[#This Row],[Quantity]]*Data3[[#This Row],[UnitCost]])</f>
        <v>19149.805439999996</v>
      </c>
      <c r="AG108" s="6" t="str">
        <f>TEXT(Data3[[#This Row],[OrderDate]], "mmm-yyyy")</f>
        <v>Sep-2024</v>
      </c>
      <c r="AH108" s="7">
        <f>IF(Data3[[#This Row],[GrossRevenue]]=0, 0,Data3[[#This Row],[GrossProfit]]/Data3[[#This Row],[GrossRevenue]])</f>
        <v>0.45062813239385913</v>
      </c>
      <c r="AI108" s="5">
        <f t="shared" si="8"/>
        <v>42495.805439999996</v>
      </c>
    </row>
    <row r="109" spans="1:35" x14ac:dyDescent="0.35">
      <c r="A109" s="4" t="s">
        <v>405</v>
      </c>
      <c r="B109" s="2">
        <v>45110</v>
      </c>
      <c r="C109" s="2" t="str">
        <f>TEXT(Data3[[#This Row],[OrderDate]],"MMM-YYYY")</f>
        <v>Jul-2023</v>
      </c>
      <c r="D109" s="4" t="str">
        <f>"Q"&amp;INT((MONTH(Data3[[#This Row],[OrderDate]])-1)/3)+1&amp;"-"&amp;YEAR(Data3[[#This Row],[OrderDate]])</f>
        <v>Q3-2023</v>
      </c>
      <c r="E109" s="2">
        <v>45130</v>
      </c>
      <c r="F109" t="s">
        <v>16</v>
      </c>
      <c r="G109" t="s">
        <v>148</v>
      </c>
      <c r="H109" s="4" t="s">
        <v>149</v>
      </c>
      <c r="I109" t="s">
        <v>62</v>
      </c>
      <c r="J109" s="4" t="s">
        <v>55</v>
      </c>
      <c r="K109" s="4" t="s">
        <v>84</v>
      </c>
      <c r="L109" t="s">
        <v>57</v>
      </c>
      <c r="M109" s="4" t="s">
        <v>406</v>
      </c>
      <c r="N109" s="3">
        <v>1001.96</v>
      </c>
      <c r="O109" s="3">
        <v>1254.95</v>
      </c>
      <c r="P109" s="3">
        <v>4.4999999999999998E-2</v>
      </c>
      <c r="Q109" s="3">
        <v>18</v>
      </c>
      <c r="R109" t="s">
        <v>84</v>
      </c>
      <c r="S109" t="s">
        <v>149</v>
      </c>
      <c r="T109" t="s">
        <v>55</v>
      </c>
      <c r="U109">
        <v>1254.95</v>
      </c>
      <c r="V109" t="str" cm="1">
        <f t="array" ref="V109">_xlfn.IFS(Data3[[#This Row],[CorrectedUnitPriceCustom]]&lt;=$W$2, "Low",Data3[[#This Row],[CorrectedUnitPriceCustom]]&lt;=$Y$2, "Medium", TRUE, "High")</f>
        <v>Medium</v>
      </c>
      <c r="W109">
        <f t="shared" si="5"/>
        <v>625.04</v>
      </c>
      <c r="X109">
        <f t="shared" si="6"/>
        <v>1335.02</v>
      </c>
      <c r="Y109">
        <f t="shared" si="7"/>
        <v>2055.2399999999998</v>
      </c>
      <c r="Z109">
        <v>4.4999999999999998E-2</v>
      </c>
      <c r="AA109" t="s">
        <v>1372</v>
      </c>
      <c r="AB109" s="1">
        <v>45130</v>
      </c>
      <c r="AC109">
        <v>20</v>
      </c>
      <c r="AD109" s="5">
        <f>Data3[[#This Row],[UnitPrice]]*Data3[[#This Row],[Quantity]]*(1-Data3[[#This Row],[DiscountPct]])</f>
        <v>21572.590500000002</v>
      </c>
      <c r="AE109" s="6">
        <f>Data3[[#This Row],[UnitPrice]]*Data3[[#This Row],[Quantity]]</f>
        <v>22589.100000000002</v>
      </c>
      <c r="AF109" s="6">
        <f>Data3[[#This Row],[GrossRevenue]]-(Data3[[#This Row],[Quantity]]*Data3[[#This Row],[UnitCost]])</f>
        <v>3537.3105000000032</v>
      </c>
      <c r="AG109" s="6" t="str">
        <f>TEXT(Data3[[#This Row],[OrderDate]], "mmm-yyyy")</f>
        <v>Jul-2023</v>
      </c>
      <c r="AH109" s="7">
        <f>IF(Data3[[#This Row],[GrossRevenue]]=0, 0,Data3[[#This Row],[GrossProfit]]/Data3[[#This Row],[GrossRevenue]])</f>
        <v>0.16397244920585699</v>
      </c>
      <c r="AI109" s="5">
        <f t="shared" si="8"/>
        <v>21572.590500000002</v>
      </c>
    </row>
    <row r="110" spans="1:35" x14ac:dyDescent="0.35">
      <c r="A110" s="4" t="s">
        <v>415</v>
      </c>
      <c r="B110" s="2">
        <v>45323</v>
      </c>
      <c r="C110" s="2" t="str">
        <f>TEXT(Data3[[#This Row],[OrderDate]],"MMM-YYYY")</f>
        <v>Feb-2024</v>
      </c>
      <c r="D110" s="4" t="str">
        <f>"Q"&amp;INT((MONTH(Data3[[#This Row],[OrderDate]])-1)/3)+1&amp;"-"&amp;YEAR(Data3[[#This Row],[OrderDate]])</f>
        <v>Q1-2024</v>
      </c>
      <c r="E110" s="2">
        <v>45343</v>
      </c>
      <c r="F110" t="s">
        <v>78</v>
      </c>
      <c r="G110" t="s">
        <v>90</v>
      </c>
      <c r="H110" s="4" t="s">
        <v>217</v>
      </c>
      <c r="I110" t="s">
        <v>62</v>
      </c>
      <c r="J110" s="4" t="s">
        <v>40</v>
      </c>
      <c r="K110" s="4" t="s">
        <v>75</v>
      </c>
      <c r="L110" t="s">
        <v>35</v>
      </c>
      <c r="M110" s="4" t="s">
        <v>416</v>
      </c>
      <c r="N110" s="3">
        <v>656.2</v>
      </c>
      <c r="O110" s="3">
        <v>1467.17</v>
      </c>
      <c r="P110" s="3">
        <v>1.7999999999999999E-2</v>
      </c>
      <c r="Q110" s="3">
        <v>5</v>
      </c>
      <c r="R110" t="s">
        <v>75</v>
      </c>
      <c r="S110" t="s">
        <v>217</v>
      </c>
      <c r="T110" t="s">
        <v>40</v>
      </c>
      <c r="U110">
        <v>1467.17</v>
      </c>
      <c r="V110" t="str" cm="1">
        <f t="array" ref="V110">_xlfn.IFS(Data3[[#This Row],[CorrectedUnitPriceCustom]]&lt;=$W$2, "Low",Data3[[#This Row],[CorrectedUnitPriceCustom]]&lt;=$Y$2, "Medium", TRUE, "High")</f>
        <v>Medium</v>
      </c>
      <c r="W110">
        <f t="shared" si="5"/>
        <v>623.65750000000003</v>
      </c>
      <c r="X110">
        <f t="shared" si="6"/>
        <v>1336.355</v>
      </c>
      <c r="Y110">
        <f t="shared" si="7"/>
        <v>2058.1174999999998</v>
      </c>
      <c r="Z110">
        <v>1.7999999999999999E-2</v>
      </c>
      <c r="AA110" t="s">
        <v>1372</v>
      </c>
      <c r="AB110" s="1">
        <v>45343</v>
      </c>
      <c r="AC110">
        <v>20</v>
      </c>
      <c r="AD110" s="5">
        <f>Data3[[#This Row],[UnitPrice]]*Data3[[#This Row],[Quantity]]*(1-Data3[[#This Row],[DiscountPct]])</f>
        <v>7203.8047000000006</v>
      </c>
      <c r="AE110" s="6">
        <f>Data3[[#This Row],[UnitPrice]]*Data3[[#This Row],[Quantity]]</f>
        <v>7335.85</v>
      </c>
      <c r="AF110" s="6">
        <f>Data3[[#This Row],[GrossRevenue]]-(Data3[[#This Row],[Quantity]]*Data3[[#This Row],[UnitCost]])</f>
        <v>3922.8047000000006</v>
      </c>
      <c r="AG110" s="6" t="str">
        <f>TEXT(Data3[[#This Row],[OrderDate]], "mmm-yyyy")</f>
        <v>Feb-2024</v>
      </c>
      <c r="AH110" s="7">
        <f>IF(Data3[[#This Row],[GrossRevenue]]=0, 0,Data3[[#This Row],[GrossProfit]]/Data3[[#This Row],[GrossRevenue]])</f>
        <v>0.54454623124360946</v>
      </c>
      <c r="AI110" s="5">
        <f t="shared" si="8"/>
        <v>7203.8047000000006</v>
      </c>
    </row>
    <row r="111" spans="1:35" x14ac:dyDescent="0.35">
      <c r="A111" s="4" t="s">
        <v>417</v>
      </c>
      <c r="B111" s="2">
        <v>45531</v>
      </c>
      <c r="C111" s="2" t="str">
        <f>TEXT(Data3[[#This Row],[OrderDate]],"MMM-YYYY")</f>
        <v>Aug-2024</v>
      </c>
      <c r="D111" s="4" t="str">
        <f>"Q"&amp;INT((MONTH(Data3[[#This Row],[OrderDate]])-1)/3)+1&amp;"-"&amp;YEAR(Data3[[#This Row],[OrderDate]])</f>
        <v>Q3-2024</v>
      </c>
      <c r="E111" s="2">
        <v>45553</v>
      </c>
      <c r="F111" t="s">
        <v>45</v>
      </c>
      <c r="G111" t="s">
        <v>60</v>
      </c>
      <c r="H111" s="4" t="s">
        <v>141</v>
      </c>
      <c r="I111" t="s">
        <v>48</v>
      </c>
      <c r="J111" s="4" t="s">
        <v>98</v>
      </c>
      <c r="K111" s="4" t="s">
        <v>56</v>
      </c>
      <c r="L111" t="s">
        <v>22</v>
      </c>
      <c r="M111" s="4" t="s">
        <v>418</v>
      </c>
      <c r="N111" s="3">
        <v>896.75</v>
      </c>
      <c r="O111" s="3">
        <v>1651.14</v>
      </c>
      <c r="P111" s="3">
        <v>2.5000000000000001E-2</v>
      </c>
      <c r="Q111" s="3">
        <v>15</v>
      </c>
      <c r="R111" t="s">
        <v>56</v>
      </c>
      <c r="S111" t="s">
        <v>141</v>
      </c>
      <c r="T111" t="s">
        <v>98</v>
      </c>
      <c r="U111">
        <v>1651.14</v>
      </c>
      <c r="V111" t="str" cm="1">
        <f t="array" ref="V111">_xlfn.IFS(Data3[[#This Row],[CorrectedUnitPriceCustom]]&lt;=$W$2, "Low",Data3[[#This Row],[CorrectedUnitPriceCustom]]&lt;=$Y$2, "Medium", TRUE, "High")</f>
        <v>Medium</v>
      </c>
      <c r="W111">
        <f t="shared" si="5"/>
        <v>622.27499999999998</v>
      </c>
      <c r="X111">
        <f t="shared" si="6"/>
        <v>1335.02</v>
      </c>
      <c r="Y111">
        <f t="shared" si="7"/>
        <v>2060.9949999999999</v>
      </c>
      <c r="Z111">
        <v>2.5000000000000001E-2</v>
      </c>
      <c r="AA111" t="s">
        <v>1372</v>
      </c>
      <c r="AB111" s="1">
        <v>45553</v>
      </c>
      <c r="AC111">
        <v>22</v>
      </c>
      <c r="AD111" s="5">
        <f>Data3[[#This Row],[UnitPrice]]*Data3[[#This Row],[Quantity]]*(1-Data3[[#This Row],[DiscountPct]])</f>
        <v>24147.922500000001</v>
      </c>
      <c r="AE111" s="6">
        <f>Data3[[#This Row],[UnitPrice]]*Data3[[#This Row],[Quantity]]</f>
        <v>24767.100000000002</v>
      </c>
      <c r="AF111" s="6">
        <f>Data3[[#This Row],[GrossRevenue]]-(Data3[[#This Row],[Quantity]]*Data3[[#This Row],[UnitCost]])</f>
        <v>10696.672500000001</v>
      </c>
      <c r="AG111" s="6" t="str">
        <f>TEXT(Data3[[#This Row],[OrderDate]], "mmm-yyyy")</f>
        <v>Aug-2024</v>
      </c>
      <c r="AH111" s="7">
        <f>IF(Data3[[#This Row],[GrossRevenue]]=0, 0,Data3[[#This Row],[GrossProfit]]/Data3[[#This Row],[GrossRevenue]])</f>
        <v>0.44296450346815552</v>
      </c>
      <c r="AI111" s="5">
        <f t="shared" si="8"/>
        <v>24147.922500000001</v>
      </c>
    </row>
    <row r="112" spans="1:35" x14ac:dyDescent="0.35">
      <c r="A112" s="4" t="s">
        <v>419</v>
      </c>
      <c r="B112" s="2">
        <v>45703</v>
      </c>
      <c r="C112" s="2" t="str">
        <f>TEXT(Data3[[#This Row],[OrderDate]],"MMM-YYYY")</f>
        <v>Feb-2025</v>
      </c>
      <c r="D112" s="4" t="str">
        <f>"Q"&amp;INT((MONTH(Data3[[#This Row],[OrderDate]])-1)/3)+1&amp;"-"&amp;YEAR(Data3[[#This Row],[OrderDate]])</f>
        <v>Q1-2025</v>
      </c>
      <c r="E112" s="2">
        <v>45703</v>
      </c>
      <c r="F112" t="s">
        <v>78</v>
      </c>
      <c r="G112" t="s">
        <v>79</v>
      </c>
      <c r="H112" s="4" t="s">
        <v>335</v>
      </c>
      <c r="I112" t="s">
        <v>62</v>
      </c>
      <c r="J112" s="4" t="s">
        <v>40</v>
      </c>
      <c r="K112" s="4" t="s">
        <v>49</v>
      </c>
      <c r="L112" t="s">
        <v>81</v>
      </c>
      <c r="M112" s="4" t="s">
        <v>420</v>
      </c>
      <c r="N112" s="3">
        <v>815.83</v>
      </c>
      <c r="O112" s="3">
        <v>1982.18</v>
      </c>
      <c r="P112" s="3">
        <v>0.127</v>
      </c>
      <c r="Q112" s="3">
        <v>6</v>
      </c>
      <c r="R112" t="s">
        <v>49</v>
      </c>
      <c r="S112" t="s">
        <v>335</v>
      </c>
      <c r="T112" t="s">
        <v>40</v>
      </c>
      <c r="U112">
        <v>1982.18</v>
      </c>
      <c r="V112" t="str" cm="1">
        <f t="array" ref="V112">_xlfn.IFS(Data3[[#This Row],[CorrectedUnitPriceCustom]]&lt;=$W$2, "Low",Data3[[#This Row],[CorrectedUnitPriceCustom]]&lt;=$Y$2, "Medium", TRUE, "High")</f>
        <v>High</v>
      </c>
      <c r="W112">
        <f t="shared" si="5"/>
        <v>620.89249999999993</v>
      </c>
      <c r="X112">
        <f t="shared" si="6"/>
        <v>1332.5450000000001</v>
      </c>
      <c r="Y112">
        <f t="shared" si="7"/>
        <v>2063.8724999999999</v>
      </c>
      <c r="Z112">
        <v>0.127</v>
      </c>
      <c r="AA112" t="s">
        <v>1372</v>
      </c>
      <c r="AB112" s="1">
        <v>45703</v>
      </c>
      <c r="AC112">
        <v>0</v>
      </c>
      <c r="AD112" s="5">
        <f>Data3[[#This Row],[UnitPrice]]*Data3[[#This Row],[Quantity]]*(1-Data3[[#This Row],[DiscountPct]])</f>
        <v>10382.65884</v>
      </c>
      <c r="AE112" s="6">
        <f>Data3[[#This Row],[UnitPrice]]*Data3[[#This Row],[Quantity]]</f>
        <v>11893.08</v>
      </c>
      <c r="AF112" s="6">
        <f>Data3[[#This Row],[GrossRevenue]]-(Data3[[#This Row],[Quantity]]*Data3[[#This Row],[UnitCost]])</f>
        <v>5487.6788399999996</v>
      </c>
      <c r="AG112" s="6" t="str">
        <f>TEXT(Data3[[#This Row],[OrderDate]], "mmm-yyyy")</f>
        <v>Feb-2025</v>
      </c>
      <c r="AH112" s="7">
        <f>IF(Data3[[#This Row],[GrossRevenue]]=0, 0,Data3[[#This Row],[GrossProfit]]/Data3[[#This Row],[GrossRevenue]])</f>
        <v>0.52854272923408507</v>
      </c>
      <c r="AI112" s="5">
        <f t="shared" si="8"/>
        <v>10382.65884</v>
      </c>
    </row>
    <row r="113" spans="1:35" x14ac:dyDescent="0.35">
      <c r="A113" s="4" t="s">
        <v>421</v>
      </c>
      <c r="B113" s="2">
        <v>45870</v>
      </c>
      <c r="C113" s="2" t="str">
        <f>TEXT(Data3[[#This Row],[OrderDate]],"MMM-YYYY")</f>
        <v>Aug-2025</v>
      </c>
      <c r="D113" s="4" t="str">
        <f>"Q"&amp;INT((MONTH(Data3[[#This Row],[OrderDate]])-1)/3)+1&amp;"-"&amp;YEAR(Data3[[#This Row],[OrderDate]])</f>
        <v>Q3-2025</v>
      </c>
      <c r="E113" s="2">
        <v>45890</v>
      </c>
      <c r="F113" t="s">
        <v>45</v>
      </c>
      <c r="G113" t="s">
        <v>116</v>
      </c>
      <c r="H113" s="4" t="s">
        <v>162</v>
      </c>
      <c r="I113" t="s">
        <v>19</v>
      </c>
      <c r="J113" s="4" t="s">
        <v>98</v>
      </c>
      <c r="K113" s="4" t="s">
        <v>34</v>
      </c>
      <c r="L113" t="s">
        <v>42</v>
      </c>
      <c r="M113" s="4" t="s">
        <v>422</v>
      </c>
      <c r="N113" s="3">
        <v>1220.4100000000001</v>
      </c>
      <c r="O113" s="3">
        <v>2552.2199999999998</v>
      </c>
      <c r="P113" s="3">
        <v>0.18099999999999999</v>
      </c>
      <c r="Q113" s="3">
        <v>14</v>
      </c>
      <c r="R113" t="s">
        <v>34</v>
      </c>
      <c r="S113" t="s">
        <v>162</v>
      </c>
      <c r="T113" t="s">
        <v>98</v>
      </c>
      <c r="U113">
        <v>2552.2199999999998</v>
      </c>
      <c r="V113" t="str" cm="1">
        <f t="array" ref="V113">_xlfn.IFS(Data3[[#This Row],[CorrectedUnitPriceCustom]]&lt;=$W$2, "Low",Data3[[#This Row],[CorrectedUnitPriceCustom]]&lt;=$Y$2, "Medium", TRUE, "High")</f>
        <v>High</v>
      </c>
      <c r="W113">
        <f t="shared" si="5"/>
        <v>619.51</v>
      </c>
      <c r="X113">
        <f t="shared" si="6"/>
        <v>1330.07</v>
      </c>
      <c r="Y113">
        <f t="shared" si="7"/>
        <v>2066.75</v>
      </c>
      <c r="Z113">
        <v>0.18099999999999999</v>
      </c>
      <c r="AA113" t="s">
        <v>1372</v>
      </c>
      <c r="AB113" s="1">
        <v>45890</v>
      </c>
      <c r="AC113">
        <v>20</v>
      </c>
      <c r="AD113" s="5">
        <f>Data3[[#This Row],[UnitPrice]]*Data3[[#This Row],[Quantity]]*(1-Data3[[#This Row],[DiscountPct]])</f>
        <v>29263.754519999995</v>
      </c>
      <c r="AE113" s="6">
        <f>Data3[[#This Row],[UnitPrice]]*Data3[[#This Row],[Quantity]]</f>
        <v>35731.079999999994</v>
      </c>
      <c r="AF113" s="6">
        <f>Data3[[#This Row],[GrossRevenue]]-(Data3[[#This Row],[Quantity]]*Data3[[#This Row],[UnitCost]])</f>
        <v>12178.014519999993</v>
      </c>
      <c r="AG113" s="6" t="str">
        <f>TEXT(Data3[[#This Row],[OrderDate]], "mmm-yyyy")</f>
        <v>Aug-2025</v>
      </c>
      <c r="AH113" s="7">
        <f>IF(Data3[[#This Row],[GrossRevenue]]=0, 0,Data3[[#This Row],[GrossProfit]]/Data3[[#This Row],[GrossRevenue]])</f>
        <v>0.41614668793360271</v>
      </c>
      <c r="AI113" s="5">
        <f t="shared" si="8"/>
        <v>29263.754519999995</v>
      </c>
    </row>
    <row r="114" spans="1:35" x14ac:dyDescent="0.35">
      <c r="A114" s="4" t="s">
        <v>427</v>
      </c>
      <c r="B114" s="2">
        <v>45385</v>
      </c>
      <c r="C114" s="2" t="str">
        <f>TEXT(Data3[[#This Row],[OrderDate]],"MMM-YYYY")</f>
        <v>Apr-2024</v>
      </c>
      <c r="D114" s="4" t="str">
        <f>"Q"&amp;INT((MONTH(Data3[[#This Row],[OrderDate]])-1)/3)+1&amp;"-"&amp;YEAR(Data3[[#This Row],[OrderDate]])</f>
        <v>Q2-2024</v>
      </c>
      <c r="E114" s="2">
        <v>45389</v>
      </c>
      <c r="F114" t="s">
        <v>52</v>
      </c>
      <c r="G114" t="s">
        <v>73</v>
      </c>
      <c r="H114" s="4" t="s">
        <v>87</v>
      </c>
      <c r="I114" t="s">
        <v>39</v>
      </c>
      <c r="J114" s="4" t="s">
        <v>98</v>
      </c>
      <c r="K114" s="4" t="s">
        <v>126</v>
      </c>
      <c r="L114" t="s">
        <v>42</v>
      </c>
      <c r="M114" s="4" t="s">
        <v>428</v>
      </c>
      <c r="N114" s="3">
        <v>1023.27</v>
      </c>
      <c r="O114" s="3">
        <v>1343.64</v>
      </c>
      <c r="P114" s="3">
        <v>0.13300000000000001</v>
      </c>
      <c r="Q114" s="3">
        <v>7</v>
      </c>
      <c r="R114" t="s">
        <v>126</v>
      </c>
      <c r="S114" t="s">
        <v>87</v>
      </c>
      <c r="T114" t="s">
        <v>98</v>
      </c>
      <c r="U114">
        <v>1343.64</v>
      </c>
      <c r="V114" t="str" cm="1">
        <f t="array" ref="V114">_xlfn.IFS(Data3[[#This Row],[CorrectedUnitPriceCustom]]&lt;=$W$2, "Low",Data3[[#This Row],[CorrectedUnitPriceCustom]]&lt;=$Y$2, "Medium", TRUE, "High")</f>
        <v>Medium</v>
      </c>
      <c r="W114">
        <f t="shared" si="5"/>
        <v>616.32249999999999</v>
      </c>
      <c r="X114">
        <f t="shared" si="6"/>
        <v>1324.2199999999998</v>
      </c>
      <c r="Y114">
        <f t="shared" si="7"/>
        <v>2058.1174999999998</v>
      </c>
      <c r="Z114">
        <v>0.13300000000000001</v>
      </c>
      <c r="AA114" t="s">
        <v>1372</v>
      </c>
      <c r="AB114" s="1">
        <v>45389</v>
      </c>
      <c r="AC114">
        <v>4</v>
      </c>
      <c r="AD114" s="5">
        <f>Data3[[#This Row],[UnitPrice]]*Data3[[#This Row],[Quantity]]*(1-Data3[[#This Row],[DiscountPct]])</f>
        <v>8154.5511600000009</v>
      </c>
      <c r="AE114" s="6">
        <f>Data3[[#This Row],[UnitPrice]]*Data3[[#This Row],[Quantity]]</f>
        <v>9405.4800000000014</v>
      </c>
      <c r="AF114" s="6">
        <f>Data3[[#This Row],[GrossRevenue]]-(Data3[[#This Row],[Quantity]]*Data3[[#This Row],[UnitCost]])</f>
        <v>991.66116000000147</v>
      </c>
      <c r="AG114" s="6" t="str">
        <f>TEXT(Data3[[#This Row],[OrderDate]], "mmm-yyyy")</f>
        <v>Apr-2024</v>
      </c>
      <c r="AH114" s="7">
        <f>IF(Data3[[#This Row],[GrossRevenue]]=0, 0,Data3[[#This Row],[GrossProfit]]/Data3[[#This Row],[GrossRevenue]])</f>
        <v>0.12160830688810116</v>
      </c>
      <c r="AI114" s="5">
        <f t="shared" si="8"/>
        <v>8154.5511600000009</v>
      </c>
    </row>
    <row r="115" spans="1:35" x14ac:dyDescent="0.35">
      <c r="A115" s="4" t="s">
        <v>431</v>
      </c>
      <c r="B115" s="2">
        <v>45447</v>
      </c>
      <c r="C115" s="2" t="str">
        <f>TEXT(Data3[[#This Row],[OrderDate]],"MMM-YYYY")</f>
        <v>Jun-2024</v>
      </c>
      <c r="D115" s="4" t="str">
        <f>"Q"&amp;INT((MONTH(Data3[[#This Row],[OrderDate]])-1)/3)+1&amp;"-"&amp;YEAR(Data3[[#This Row],[OrderDate]])</f>
        <v>Q2-2024</v>
      </c>
      <c r="E115" s="2">
        <v>45459</v>
      </c>
      <c r="F115" t="s">
        <v>45</v>
      </c>
      <c r="G115" t="s">
        <v>116</v>
      </c>
      <c r="H115" s="4" t="s">
        <v>162</v>
      </c>
      <c r="I115" t="s">
        <v>19</v>
      </c>
      <c r="J115" s="4" t="s">
        <v>20</v>
      </c>
      <c r="K115" s="4" t="s">
        <v>29</v>
      </c>
      <c r="L115" t="s">
        <v>30</v>
      </c>
      <c r="M115" s="4" t="s">
        <v>432</v>
      </c>
      <c r="N115" s="3">
        <v>918.42</v>
      </c>
      <c r="O115" s="3">
        <v>1511.71</v>
      </c>
      <c r="P115" s="3">
        <v>0.02</v>
      </c>
      <c r="Q115" s="3">
        <v>8</v>
      </c>
      <c r="R115" t="s">
        <v>29</v>
      </c>
      <c r="S115" t="s">
        <v>162</v>
      </c>
      <c r="T115" t="s">
        <v>20</v>
      </c>
      <c r="U115">
        <v>1511.71</v>
      </c>
      <c r="V115" t="str" cm="1">
        <f t="array" ref="V115">_xlfn.IFS(Data3[[#This Row],[CorrectedUnitPriceCustom]]&lt;=$W$2, "Low",Data3[[#This Row],[CorrectedUnitPriceCustom]]&lt;=$Y$2, "Medium", TRUE, "High")</f>
        <v>Medium</v>
      </c>
      <c r="W115">
        <f t="shared" si="5"/>
        <v>613.13499999999999</v>
      </c>
      <c r="X115">
        <f t="shared" si="6"/>
        <v>1318.37</v>
      </c>
      <c r="Y115">
        <f t="shared" si="7"/>
        <v>2060.9949999999999</v>
      </c>
      <c r="Z115">
        <v>0.02</v>
      </c>
      <c r="AA115" t="s">
        <v>1372</v>
      </c>
      <c r="AB115" s="1">
        <v>45459</v>
      </c>
      <c r="AC115">
        <v>12</v>
      </c>
      <c r="AD115" s="5">
        <f>Data3[[#This Row],[UnitPrice]]*Data3[[#This Row],[Quantity]]*(1-Data3[[#This Row],[DiscountPct]])</f>
        <v>11851.806399999999</v>
      </c>
      <c r="AE115" s="6">
        <f>Data3[[#This Row],[UnitPrice]]*Data3[[#This Row],[Quantity]]</f>
        <v>12093.68</v>
      </c>
      <c r="AF115" s="6">
        <f>Data3[[#This Row],[GrossRevenue]]-(Data3[[#This Row],[Quantity]]*Data3[[#This Row],[UnitCost]])</f>
        <v>4504.4463999999998</v>
      </c>
      <c r="AG115" s="6" t="str">
        <f>TEXT(Data3[[#This Row],[OrderDate]], "mmm-yyyy")</f>
        <v>Jun-2024</v>
      </c>
      <c r="AH115" s="7">
        <f>IF(Data3[[#This Row],[GrossRevenue]]=0, 0,Data3[[#This Row],[GrossProfit]]/Data3[[#This Row],[GrossRevenue]])</f>
        <v>0.38006412254590999</v>
      </c>
      <c r="AI115" s="5">
        <f t="shared" si="8"/>
        <v>11851.806399999999</v>
      </c>
    </row>
    <row r="116" spans="1:35" x14ac:dyDescent="0.35">
      <c r="A116" s="4" t="s">
        <v>433</v>
      </c>
      <c r="B116" s="2">
        <v>44976</v>
      </c>
      <c r="C116" s="2" t="str">
        <f>TEXT(Data3[[#This Row],[OrderDate]],"MMM-YYYY")</f>
        <v>Feb-2023</v>
      </c>
      <c r="D116" s="4" t="str">
        <f>"Q"&amp;INT((MONTH(Data3[[#This Row],[OrderDate]])-1)/3)+1&amp;"-"&amp;YEAR(Data3[[#This Row],[OrderDate]])</f>
        <v>Q1-2023</v>
      </c>
      <c r="E116" s="2">
        <v>44997</v>
      </c>
      <c r="F116" t="s">
        <v>78</v>
      </c>
      <c r="G116" t="s">
        <v>79</v>
      </c>
      <c r="H116" s="4" t="s">
        <v>80</v>
      </c>
      <c r="I116" t="s">
        <v>62</v>
      </c>
      <c r="J116" s="4" t="s">
        <v>98</v>
      </c>
      <c r="K116" s="4" t="s">
        <v>49</v>
      </c>
      <c r="L116" t="s">
        <v>64</v>
      </c>
      <c r="M116" s="4" t="s">
        <v>434</v>
      </c>
      <c r="N116" s="3">
        <v>1234.81</v>
      </c>
      <c r="O116" s="3">
        <v>2055.2399999999998</v>
      </c>
      <c r="P116" s="3">
        <v>5.2999999999999999E-2</v>
      </c>
      <c r="Q116" s="3">
        <v>44</v>
      </c>
      <c r="R116" t="s">
        <v>49</v>
      </c>
      <c r="S116" t="s">
        <v>80</v>
      </c>
      <c r="T116" t="s">
        <v>98</v>
      </c>
      <c r="U116">
        <v>2055.2399999999998</v>
      </c>
      <c r="V116" t="str" cm="1">
        <f t="array" ref="V116">_xlfn.IFS(Data3[[#This Row],[CorrectedUnitPriceCustom]]&lt;=$W$2, "Low",Data3[[#This Row],[CorrectedUnitPriceCustom]]&lt;=$Y$2, "Medium", TRUE, "High")</f>
        <v>High</v>
      </c>
      <c r="W116">
        <f t="shared" si="5"/>
        <v>609.94749999999999</v>
      </c>
      <c r="X116">
        <f t="shared" si="6"/>
        <v>1282.3899999999999</v>
      </c>
      <c r="Y116">
        <f t="shared" si="7"/>
        <v>2063.8724999999999</v>
      </c>
      <c r="Z116">
        <v>5.2999999999999999E-2</v>
      </c>
      <c r="AA116" t="s">
        <v>1372</v>
      </c>
      <c r="AB116" s="1">
        <v>44997</v>
      </c>
      <c r="AC116">
        <v>21</v>
      </c>
      <c r="AD116" s="5">
        <f>Data3[[#This Row],[UnitPrice]]*Data3[[#This Row],[Quantity]]*(1-Data3[[#This Row],[DiscountPct]])</f>
        <v>85637.740319999997</v>
      </c>
      <c r="AE116" s="6">
        <f>Data3[[#This Row],[UnitPrice]]*Data3[[#This Row],[Quantity]]</f>
        <v>90430.56</v>
      </c>
      <c r="AF116" s="6">
        <f>Data3[[#This Row],[GrossRevenue]]-(Data3[[#This Row],[Quantity]]*Data3[[#This Row],[UnitCost]])</f>
        <v>31306.100319999998</v>
      </c>
      <c r="AG116" s="6" t="str">
        <f>TEXT(Data3[[#This Row],[OrderDate]], "mmm-yyyy")</f>
        <v>Feb-2023</v>
      </c>
      <c r="AH116" s="7">
        <f>IF(Data3[[#This Row],[GrossRevenue]]=0, 0,Data3[[#This Row],[GrossProfit]]/Data3[[#This Row],[GrossRevenue]])</f>
        <v>0.36556429680441616</v>
      </c>
      <c r="AI116" s="5">
        <f t="shared" si="8"/>
        <v>85637.740319999997</v>
      </c>
    </row>
    <row r="117" spans="1:35" x14ac:dyDescent="0.35">
      <c r="A117" s="4" t="s">
        <v>435</v>
      </c>
      <c r="B117" s="2">
        <v>45034</v>
      </c>
      <c r="C117" s="2" t="str">
        <f>TEXT(Data3[[#This Row],[OrderDate]],"MMM-YYYY")</f>
        <v>Apr-2023</v>
      </c>
      <c r="D117" s="4" t="str">
        <f>"Q"&amp;INT((MONTH(Data3[[#This Row],[OrderDate]])-1)/3)+1&amp;"-"&amp;YEAR(Data3[[#This Row],[OrderDate]])</f>
        <v>Q2-2023</v>
      </c>
      <c r="E117" s="2">
        <v>45064</v>
      </c>
      <c r="F117" t="s">
        <v>45</v>
      </c>
      <c r="G117" t="s">
        <v>116</v>
      </c>
      <c r="H117" s="4" t="s">
        <v>117</v>
      </c>
      <c r="I117" t="s">
        <v>39</v>
      </c>
      <c r="J117" s="4" t="s">
        <v>20</v>
      </c>
      <c r="K117" s="4" t="s">
        <v>92</v>
      </c>
      <c r="L117" t="s">
        <v>57</v>
      </c>
      <c r="M117" s="4" t="s">
        <v>436</v>
      </c>
      <c r="N117" s="3">
        <v>329.03</v>
      </c>
      <c r="O117" s="3">
        <v>391.15</v>
      </c>
      <c r="P117" s="3">
        <v>0.19700000000000001</v>
      </c>
      <c r="Q117" s="3">
        <v>46</v>
      </c>
      <c r="R117" t="s">
        <v>92</v>
      </c>
      <c r="S117" t="s">
        <v>117</v>
      </c>
      <c r="T117" t="s">
        <v>20</v>
      </c>
      <c r="U117">
        <v>391.15</v>
      </c>
      <c r="V117" t="str" cm="1">
        <f t="array" ref="V117">_xlfn.IFS(Data3[[#This Row],[CorrectedUnitPriceCustom]]&lt;=$W$2, "Low",Data3[[#This Row],[CorrectedUnitPriceCustom]]&lt;=$Y$2, "Medium", TRUE, "High")</f>
        <v>Low</v>
      </c>
      <c r="W117">
        <f t="shared" si="5"/>
        <v>606.76</v>
      </c>
      <c r="X117">
        <f t="shared" si="6"/>
        <v>1246.4100000000001</v>
      </c>
      <c r="Y117">
        <f t="shared" si="7"/>
        <v>2066.75</v>
      </c>
      <c r="Z117">
        <v>0.19700000000000001</v>
      </c>
      <c r="AA117" t="s">
        <v>1372</v>
      </c>
      <c r="AB117" s="1">
        <v>45064</v>
      </c>
      <c r="AC117">
        <v>30</v>
      </c>
      <c r="AD117" s="5">
        <f>Data3[[#This Row],[UnitPrice]]*Data3[[#This Row],[Quantity]]*(1-Data3[[#This Row],[DiscountPct]])</f>
        <v>14448.298699999998</v>
      </c>
      <c r="AE117" s="6">
        <f>Data3[[#This Row],[UnitPrice]]*Data3[[#This Row],[Quantity]]</f>
        <v>17992.899999999998</v>
      </c>
      <c r="AF117" s="6">
        <f>Data3[[#This Row],[GrossRevenue]]-(Data3[[#This Row],[Quantity]]*Data3[[#This Row],[UnitCost]])</f>
        <v>-687.08130000000165</v>
      </c>
      <c r="AG117" s="6" t="str">
        <f>TEXT(Data3[[#This Row],[OrderDate]], "mmm-yyyy")</f>
        <v>Apr-2023</v>
      </c>
      <c r="AH117" s="7">
        <f>IF(Data3[[#This Row],[GrossRevenue]]=0, 0,Data3[[#This Row],[GrossProfit]]/Data3[[#This Row],[GrossRevenue]])</f>
        <v>-4.7554477815440081E-2</v>
      </c>
      <c r="AI117" s="5">
        <f t="shared" si="8"/>
        <v>14448.298699999998</v>
      </c>
    </row>
    <row r="118" spans="1:35" x14ac:dyDescent="0.35">
      <c r="A118" s="4" t="s">
        <v>437</v>
      </c>
      <c r="B118" s="2">
        <v>45435</v>
      </c>
      <c r="C118" s="2" t="str">
        <f>TEXT(Data3[[#This Row],[OrderDate]],"MMM-YYYY")</f>
        <v>May-2024</v>
      </c>
      <c r="D118" s="4" t="str">
        <f>"Q"&amp;INT((MONTH(Data3[[#This Row],[OrderDate]])-1)/3)+1&amp;"-"&amp;YEAR(Data3[[#This Row],[OrderDate]])</f>
        <v>Q2-2024</v>
      </c>
      <c r="E118" s="2">
        <v>45457</v>
      </c>
      <c r="F118" t="s">
        <v>78</v>
      </c>
      <c r="G118" t="s">
        <v>90</v>
      </c>
      <c r="H118" s="4" t="s">
        <v>91</v>
      </c>
      <c r="I118" t="s">
        <v>62</v>
      </c>
      <c r="J118" s="4" t="s">
        <v>28</v>
      </c>
      <c r="K118" s="4" t="s">
        <v>126</v>
      </c>
      <c r="L118" t="s">
        <v>64</v>
      </c>
      <c r="M118" s="4" t="s">
        <v>438</v>
      </c>
      <c r="N118" s="3">
        <v>1481.74</v>
      </c>
      <c r="O118" s="3">
        <v>1848.97</v>
      </c>
      <c r="P118" s="3">
        <v>0.254</v>
      </c>
      <c r="Q118" s="3">
        <v>9</v>
      </c>
      <c r="R118" t="s">
        <v>126</v>
      </c>
      <c r="S118" t="s">
        <v>91</v>
      </c>
      <c r="T118" t="s">
        <v>28</v>
      </c>
      <c r="U118">
        <v>1848.97</v>
      </c>
      <c r="V118" t="str" cm="1">
        <f t="array" ref="V118">_xlfn.IFS(Data3[[#This Row],[CorrectedUnitPriceCustom]]&lt;=$W$2, "Low",Data3[[#This Row],[CorrectedUnitPriceCustom]]&lt;=$Y$2, "Medium", TRUE, "High")</f>
        <v>Medium</v>
      </c>
      <c r="W118">
        <f t="shared" si="5"/>
        <v>616.32249999999999</v>
      </c>
      <c r="X118">
        <f t="shared" si="6"/>
        <v>1282.3899999999999</v>
      </c>
      <c r="Y118">
        <f t="shared" si="7"/>
        <v>2076.4450000000002</v>
      </c>
      <c r="Z118">
        <v>0.254</v>
      </c>
      <c r="AA118" t="s">
        <v>1372</v>
      </c>
      <c r="AB118" s="1">
        <v>45457</v>
      </c>
      <c r="AC118">
        <v>22</v>
      </c>
      <c r="AD118" s="5">
        <f>Data3[[#This Row],[UnitPrice]]*Data3[[#This Row],[Quantity]]*(1-Data3[[#This Row],[DiscountPct]])</f>
        <v>12413.98458</v>
      </c>
      <c r="AE118" s="6">
        <f>Data3[[#This Row],[UnitPrice]]*Data3[[#This Row],[Quantity]]</f>
        <v>16640.73</v>
      </c>
      <c r="AF118" s="6">
        <f>Data3[[#This Row],[GrossRevenue]]-(Data3[[#This Row],[Quantity]]*Data3[[#This Row],[UnitCost]])</f>
        <v>-921.67541999999958</v>
      </c>
      <c r="AG118" s="6" t="str">
        <f>TEXT(Data3[[#This Row],[OrderDate]], "mmm-yyyy")</f>
        <v>May-2024</v>
      </c>
      <c r="AH118" s="7">
        <f>IF(Data3[[#This Row],[GrossRevenue]]=0, 0,Data3[[#This Row],[GrossProfit]]/Data3[[#This Row],[GrossRevenue]])</f>
        <v>-7.4244930309072407E-2</v>
      </c>
      <c r="AI118" s="5">
        <f t="shared" si="8"/>
        <v>12413.98458</v>
      </c>
    </row>
    <row r="119" spans="1:35" x14ac:dyDescent="0.35">
      <c r="A119" s="4" t="s">
        <v>449</v>
      </c>
      <c r="B119" s="2">
        <v>45798</v>
      </c>
      <c r="C119" s="2" t="str">
        <f>TEXT(Data3[[#This Row],[OrderDate]],"MMM-YYYY")</f>
        <v>May-2025</v>
      </c>
      <c r="D119" s="4" t="str">
        <f>"Q"&amp;INT((MONTH(Data3[[#This Row],[OrderDate]])-1)/3)+1&amp;"-"&amp;YEAR(Data3[[#This Row],[OrderDate]])</f>
        <v>Q2-2025</v>
      </c>
      <c r="E119" s="2">
        <v>45796</v>
      </c>
      <c r="F119" t="s">
        <v>16</v>
      </c>
      <c r="G119" t="s">
        <v>148</v>
      </c>
      <c r="H119" s="4" t="s">
        <v>149</v>
      </c>
      <c r="I119" t="s">
        <v>39</v>
      </c>
      <c r="J119" s="4" t="s">
        <v>55</v>
      </c>
      <c r="K119" s="4" t="s">
        <v>68</v>
      </c>
      <c r="L119" t="s">
        <v>57</v>
      </c>
      <c r="M119" s="4" t="s">
        <v>450</v>
      </c>
      <c r="N119" s="3">
        <v>1263.8399999999999</v>
      </c>
      <c r="O119" s="3">
        <v>2281.7199999999998</v>
      </c>
      <c r="P119" s="3">
        <v>7.8E-2</v>
      </c>
      <c r="Q119" s="3">
        <v>15</v>
      </c>
      <c r="R119" t="s">
        <v>68</v>
      </c>
      <c r="S119" t="s">
        <v>149</v>
      </c>
      <c r="T119" t="s">
        <v>55</v>
      </c>
      <c r="U119">
        <v>2281.7199999999998</v>
      </c>
      <c r="V119" t="str" cm="1">
        <f t="array" ref="V119">_xlfn.IFS(Data3[[#This Row],[CorrectedUnitPriceCustom]]&lt;=$W$2, "Low",Data3[[#This Row],[CorrectedUnitPriceCustom]]&lt;=$Y$2, "Medium", TRUE, "High")</f>
        <v>High</v>
      </c>
      <c r="W119">
        <f t="shared" si="5"/>
        <v>613.13499999999999</v>
      </c>
      <c r="X119">
        <f t="shared" si="6"/>
        <v>1246.4100000000001</v>
      </c>
      <c r="Y119">
        <f t="shared" si="7"/>
        <v>2086.1400000000003</v>
      </c>
      <c r="Z119">
        <v>7.8E-2</v>
      </c>
      <c r="AA119" t="s">
        <v>1372</v>
      </c>
      <c r="AB119" s="1">
        <v>45805</v>
      </c>
      <c r="AC119">
        <v>7</v>
      </c>
      <c r="AD119" s="5">
        <f>Data3[[#This Row],[UnitPrice]]*Data3[[#This Row],[Quantity]]*(1-Data3[[#This Row],[DiscountPct]])</f>
        <v>31556.187599999997</v>
      </c>
      <c r="AE119" s="6">
        <f>Data3[[#This Row],[UnitPrice]]*Data3[[#This Row],[Quantity]]</f>
        <v>34225.799999999996</v>
      </c>
      <c r="AF119" s="6">
        <f>Data3[[#This Row],[GrossRevenue]]-(Data3[[#This Row],[Quantity]]*Data3[[#This Row],[UnitCost]])</f>
        <v>12598.587599999999</v>
      </c>
      <c r="AG119" s="6" t="str">
        <f>TEXT(Data3[[#This Row],[OrderDate]], "mmm-yyyy")</f>
        <v>May-2025</v>
      </c>
      <c r="AH119" s="7">
        <f>IF(Data3[[#This Row],[GrossRevenue]]=0, 0,Data3[[#This Row],[GrossProfit]]/Data3[[#This Row],[GrossRevenue]])</f>
        <v>0.39924301882398494</v>
      </c>
      <c r="AI119" s="5">
        <f t="shared" si="8"/>
        <v>31556.187599999997</v>
      </c>
    </row>
    <row r="120" spans="1:35" x14ac:dyDescent="0.35">
      <c r="A120" s="4" t="s">
        <v>451</v>
      </c>
      <c r="B120" s="2">
        <v>45435</v>
      </c>
      <c r="C120" s="2" t="str">
        <f>TEXT(Data3[[#This Row],[OrderDate]],"MMM-YYYY")</f>
        <v>May-2024</v>
      </c>
      <c r="D120" s="4" t="str">
        <f>"Q"&amp;INT((MONTH(Data3[[#This Row],[OrderDate]])-1)/3)+1&amp;"-"&amp;YEAR(Data3[[#This Row],[OrderDate]])</f>
        <v>Q2-2024</v>
      </c>
      <c r="E120" s="2">
        <v>45446</v>
      </c>
      <c r="F120" t="s">
        <v>16</v>
      </c>
      <c r="G120" t="s">
        <v>148</v>
      </c>
      <c r="H120" s="4" t="s">
        <v>149</v>
      </c>
      <c r="I120" t="s">
        <v>62</v>
      </c>
      <c r="J120" s="4" t="s">
        <v>55</v>
      </c>
      <c r="K120" s="4" t="s">
        <v>84</v>
      </c>
      <c r="L120" t="s">
        <v>30</v>
      </c>
      <c r="M120" s="4" t="s">
        <v>452</v>
      </c>
      <c r="N120" s="3">
        <v>180.89</v>
      </c>
      <c r="O120" s="3">
        <v>249.57</v>
      </c>
      <c r="P120" s="3">
        <v>2.1999999999999999E-2</v>
      </c>
      <c r="Q120" s="3">
        <v>8</v>
      </c>
      <c r="R120" t="s">
        <v>84</v>
      </c>
      <c r="S120" t="s">
        <v>149</v>
      </c>
      <c r="T120" t="s">
        <v>55</v>
      </c>
      <c r="U120">
        <v>249.57</v>
      </c>
      <c r="V120" t="str" cm="1">
        <f t="array" ref="V120">_xlfn.IFS(Data3[[#This Row],[CorrectedUnitPriceCustom]]&lt;=$W$2, "Low",Data3[[#This Row],[CorrectedUnitPriceCustom]]&lt;=$Y$2, "Medium", TRUE, "High")</f>
        <v>Low</v>
      </c>
      <c r="W120">
        <f t="shared" si="5"/>
        <v>609.94749999999999</v>
      </c>
      <c r="X120">
        <f t="shared" si="6"/>
        <v>1200.375</v>
      </c>
      <c r="Y120">
        <f t="shared" si="7"/>
        <v>2062.7799999999997</v>
      </c>
      <c r="Z120">
        <v>2.1999999999999999E-2</v>
      </c>
      <c r="AA120" t="s">
        <v>1372</v>
      </c>
      <c r="AB120" s="1">
        <v>45446</v>
      </c>
      <c r="AC120">
        <v>11</v>
      </c>
      <c r="AD120" s="5">
        <f>Data3[[#This Row],[UnitPrice]]*Data3[[#This Row],[Quantity]]*(1-Data3[[#This Row],[DiscountPct]])</f>
        <v>1952.6356799999999</v>
      </c>
      <c r="AE120" s="6">
        <f>Data3[[#This Row],[UnitPrice]]*Data3[[#This Row],[Quantity]]</f>
        <v>1996.56</v>
      </c>
      <c r="AF120" s="6">
        <f>Data3[[#This Row],[GrossRevenue]]-(Data3[[#This Row],[Quantity]]*Data3[[#This Row],[UnitCost]])</f>
        <v>505.51567999999997</v>
      </c>
      <c r="AG120" s="6" t="str">
        <f>TEXT(Data3[[#This Row],[OrderDate]], "mmm-yyyy")</f>
        <v>May-2024</v>
      </c>
      <c r="AH120" s="7">
        <f>IF(Data3[[#This Row],[GrossRevenue]]=0, 0,Data3[[#This Row],[GrossProfit]]/Data3[[#This Row],[GrossRevenue]])</f>
        <v>0.25888888806948362</v>
      </c>
      <c r="AI120" s="5">
        <f t="shared" si="8"/>
        <v>1952.6356799999999</v>
      </c>
    </row>
    <row r="121" spans="1:35" x14ac:dyDescent="0.35">
      <c r="A121" s="4" t="s">
        <v>455</v>
      </c>
      <c r="B121" s="2">
        <v>45165</v>
      </c>
      <c r="C121" s="2" t="str">
        <f>TEXT(Data3[[#This Row],[OrderDate]],"MMM-YYYY")</f>
        <v>Aug-2023</v>
      </c>
      <c r="D121" s="4" t="str">
        <f>"Q"&amp;INT((MONTH(Data3[[#This Row],[OrderDate]])-1)/3)+1&amp;"-"&amp;YEAR(Data3[[#This Row],[OrderDate]])</f>
        <v>Q3-2023</v>
      </c>
      <c r="E121" s="2">
        <v>45180</v>
      </c>
      <c r="F121" t="s">
        <v>78</v>
      </c>
      <c r="G121" t="s">
        <v>108</v>
      </c>
      <c r="H121" s="4" t="s">
        <v>152</v>
      </c>
      <c r="I121" t="s">
        <v>48</v>
      </c>
      <c r="J121" s="4" t="s">
        <v>40</v>
      </c>
      <c r="K121" s="4" t="s">
        <v>126</v>
      </c>
      <c r="L121" t="s">
        <v>30</v>
      </c>
      <c r="M121" s="4" t="s">
        <v>456</v>
      </c>
      <c r="N121" s="3">
        <v>943.79</v>
      </c>
      <c r="O121" s="3">
        <v>1913.76</v>
      </c>
      <c r="P121" s="3">
        <v>9.0999999999999998E-2</v>
      </c>
      <c r="Q121" s="3">
        <v>9</v>
      </c>
      <c r="R121" t="s">
        <v>126</v>
      </c>
      <c r="S121" t="s">
        <v>152</v>
      </c>
      <c r="T121" t="s">
        <v>40</v>
      </c>
      <c r="U121">
        <v>1913.76</v>
      </c>
      <c r="V121" t="str" cm="1">
        <f t="array" ref="V121">_xlfn.IFS(Data3[[#This Row],[CorrectedUnitPriceCustom]]&lt;=$W$2, "Low",Data3[[#This Row],[CorrectedUnitPriceCustom]]&lt;=$Y$2, "Medium", TRUE, "High")</f>
        <v>Medium</v>
      </c>
      <c r="W121">
        <f t="shared" si="5"/>
        <v>619.51</v>
      </c>
      <c r="X121">
        <f t="shared" si="6"/>
        <v>1246.4100000000001</v>
      </c>
      <c r="Y121">
        <f t="shared" si="7"/>
        <v>2066.75</v>
      </c>
      <c r="Z121">
        <v>9.0999999999999998E-2</v>
      </c>
      <c r="AA121" t="s">
        <v>1372</v>
      </c>
      <c r="AB121" s="1">
        <v>45180</v>
      </c>
      <c r="AC121">
        <v>15</v>
      </c>
      <c r="AD121" s="5">
        <f>Data3[[#This Row],[UnitPrice]]*Data3[[#This Row],[Quantity]]*(1-Data3[[#This Row],[DiscountPct]])</f>
        <v>15656.47056</v>
      </c>
      <c r="AE121" s="6">
        <f>Data3[[#This Row],[UnitPrice]]*Data3[[#This Row],[Quantity]]</f>
        <v>17223.84</v>
      </c>
      <c r="AF121" s="6">
        <f>Data3[[#This Row],[GrossRevenue]]-(Data3[[#This Row],[Quantity]]*Data3[[#This Row],[UnitCost]])</f>
        <v>7162.3605599999992</v>
      </c>
      <c r="AG121" s="6" t="str">
        <f>TEXT(Data3[[#This Row],[OrderDate]], "mmm-yyyy")</f>
        <v>Aug-2023</v>
      </c>
      <c r="AH121" s="7">
        <f>IF(Data3[[#This Row],[GrossRevenue]]=0, 0,Data3[[#This Row],[GrossProfit]]/Data3[[#This Row],[GrossRevenue]])</f>
        <v>0.45746967891338081</v>
      </c>
      <c r="AI121" s="5">
        <f t="shared" si="8"/>
        <v>15656.47056</v>
      </c>
    </row>
    <row r="122" spans="1:35" x14ac:dyDescent="0.35">
      <c r="A122" s="4" t="s">
        <v>457</v>
      </c>
      <c r="B122" s="2">
        <v>45325</v>
      </c>
      <c r="C122" s="2" t="str">
        <f>TEXT(Data3[[#This Row],[OrderDate]],"MMM-YYYY")</f>
        <v>Feb-2024</v>
      </c>
      <c r="D122" s="4" t="str">
        <f>"Q"&amp;INT((MONTH(Data3[[#This Row],[OrderDate]])-1)/3)+1&amp;"-"&amp;YEAR(Data3[[#This Row],[OrderDate]])</f>
        <v>Q1-2024</v>
      </c>
      <c r="E122" s="2">
        <v>45343</v>
      </c>
      <c r="F122" t="s">
        <v>78</v>
      </c>
      <c r="G122" t="s">
        <v>79</v>
      </c>
      <c r="H122" s="4" t="s">
        <v>335</v>
      </c>
      <c r="I122" t="s">
        <v>19</v>
      </c>
      <c r="J122" s="4" t="s">
        <v>20</v>
      </c>
      <c r="K122" s="4" t="s">
        <v>92</v>
      </c>
      <c r="L122" t="s">
        <v>22</v>
      </c>
      <c r="M122" s="4" t="s">
        <v>458</v>
      </c>
      <c r="N122" s="3">
        <v>39.229999999999997</v>
      </c>
      <c r="O122" s="3">
        <v>30.09</v>
      </c>
      <c r="P122" s="3">
        <v>0.17699999999999999</v>
      </c>
      <c r="Q122" s="3">
        <v>13</v>
      </c>
      <c r="R122" t="s">
        <v>92</v>
      </c>
      <c r="S122" t="s">
        <v>335</v>
      </c>
      <c r="T122" t="s">
        <v>20</v>
      </c>
      <c r="U122">
        <v>30.09</v>
      </c>
      <c r="V122" t="str" cm="1">
        <f t="array" ref="V122">_xlfn.IFS(Data3[[#This Row],[CorrectedUnitPriceCustom]]&lt;=$W$2, "Low",Data3[[#This Row],[CorrectedUnitPriceCustom]]&lt;=$Y$2, "Medium", TRUE, "High")</f>
        <v>Low</v>
      </c>
      <c r="W122">
        <f t="shared" si="5"/>
        <v>616.32249999999999</v>
      </c>
      <c r="X122">
        <f t="shared" si="6"/>
        <v>1200.375</v>
      </c>
      <c r="Y122">
        <f t="shared" si="7"/>
        <v>2076.4450000000002</v>
      </c>
      <c r="Z122">
        <v>0.17699999999999999</v>
      </c>
      <c r="AA122" t="s">
        <v>1372</v>
      </c>
      <c r="AB122" s="1">
        <v>45343</v>
      </c>
      <c r="AC122">
        <v>18</v>
      </c>
      <c r="AD122" s="5">
        <f>Data3[[#This Row],[UnitPrice]]*Data3[[#This Row],[Quantity]]*(1-Data3[[#This Row],[DiscountPct]])</f>
        <v>321.93290999999999</v>
      </c>
      <c r="AE122" s="6">
        <f>Data3[[#This Row],[UnitPrice]]*Data3[[#This Row],[Quantity]]</f>
        <v>391.17</v>
      </c>
      <c r="AF122" s="6">
        <f>Data3[[#This Row],[GrossRevenue]]-(Data3[[#This Row],[Quantity]]*Data3[[#This Row],[UnitCost]])</f>
        <v>-188.05708999999996</v>
      </c>
      <c r="AG122" s="6" t="str">
        <f>TEXT(Data3[[#This Row],[OrderDate]], "mmm-yyyy")</f>
        <v>Feb-2024</v>
      </c>
      <c r="AH122" s="7">
        <f>IF(Data3[[#This Row],[GrossRevenue]]=0, 0,Data3[[#This Row],[GrossProfit]]/Data3[[#This Row],[GrossRevenue]])</f>
        <v>-0.58414993981199359</v>
      </c>
      <c r="AI122" s="5">
        <f t="shared" si="8"/>
        <v>321.93290999999999</v>
      </c>
    </row>
    <row r="123" spans="1:35" x14ac:dyDescent="0.35">
      <c r="A123" s="4" t="s">
        <v>459</v>
      </c>
      <c r="B123" s="2">
        <v>45021</v>
      </c>
      <c r="C123" s="2" t="str">
        <f>TEXT(Data3[[#This Row],[OrderDate]],"MMM-YYYY")</f>
        <v>Apr-2023</v>
      </c>
      <c r="D123" s="4" t="str">
        <f>"Q"&amp;INT((MONTH(Data3[[#This Row],[OrderDate]])-1)/3)+1&amp;"-"&amp;YEAR(Data3[[#This Row],[OrderDate]])</f>
        <v>Q2-2023</v>
      </c>
      <c r="E123" s="2">
        <v>45032</v>
      </c>
      <c r="F123" t="s">
        <v>52</v>
      </c>
      <c r="G123" t="s">
        <v>53</v>
      </c>
      <c r="H123" s="4" t="s">
        <v>179</v>
      </c>
      <c r="I123" t="s">
        <v>39</v>
      </c>
      <c r="J123" s="4" t="s">
        <v>28</v>
      </c>
      <c r="K123" s="4" t="s">
        <v>68</v>
      </c>
      <c r="L123" t="s">
        <v>64</v>
      </c>
      <c r="M123" s="4" t="s">
        <v>460</v>
      </c>
      <c r="N123" s="3">
        <v>213.1</v>
      </c>
      <c r="O123" s="3">
        <v>501.31</v>
      </c>
      <c r="P123" s="3">
        <v>5.6000000000000001E-2</v>
      </c>
      <c r="Q123" s="3">
        <v>15</v>
      </c>
      <c r="R123" t="s">
        <v>68</v>
      </c>
      <c r="S123" t="s">
        <v>179</v>
      </c>
      <c r="T123" t="s">
        <v>28</v>
      </c>
      <c r="U123">
        <v>501.31</v>
      </c>
      <c r="V123" t="str" cm="1">
        <f t="array" ref="V123">_xlfn.IFS(Data3[[#This Row],[CorrectedUnitPriceCustom]]&lt;=$W$2, "Low",Data3[[#This Row],[CorrectedUnitPriceCustom]]&lt;=$Y$2, "Medium", TRUE, "High")</f>
        <v>Low</v>
      </c>
      <c r="W123">
        <f t="shared" si="5"/>
        <v>622.27499999999998</v>
      </c>
      <c r="X123">
        <f t="shared" si="6"/>
        <v>1246.4100000000001</v>
      </c>
      <c r="Y123">
        <f t="shared" si="7"/>
        <v>2086.1400000000003</v>
      </c>
      <c r="Z123">
        <v>5.6000000000000001E-2</v>
      </c>
      <c r="AA123" t="s">
        <v>1372</v>
      </c>
      <c r="AB123" s="1">
        <v>45032</v>
      </c>
      <c r="AC123">
        <v>11</v>
      </c>
      <c r="AD123" s="5">
        <f>Data3[[#This Row],[UnitPrice]]*Data3[[#This Row],[Quantity]]*(1-Data3[[#This Row],[DiscountPct]])</f>
        <v>7098.5495999999994</v>
      </c>
      <c r="AE123" s="6">
        <f>Data3[[#This Row],[UnitPrice]]*Data3[[#This Row],[Quantity]]</f>
        <v>7519.65</v>
      </c>
      <c r="AF123" s="6">
        <f>Data3[[#This Row],[GrossRevenue]]-(Data3[[#This Row],[Quantity]]*Data3[[#This Row],[UnitCost]])</f>
        <v>3902.0495999999994</v>
      </c>
      <c r="AG123" s="6" t="str">
        <f>TEXT(Data3[[#This Row],[OrderDate]], "mmm-yyyy")</f>
        <v>Apr-2023</v>
      </c>
      <c r="AH123" s="7">
        <f>IF(Data3[[#This Row],[GrossRevenue]]=0, 0,Data3[[#This Row],[GrossProfit]]/Data3[[#This Row],[GrossRevenue]])</f>
        <v>0.54969674368409005</v>
      </c>
      <c r="AI123" s="5">
        <f t="shared" si="8"/>
        <v>7098.5495999999994</v>
      </c>
    </row>
    <row r="124" spans="1:35" x14ac:dyDescent="0.35">
      <c r="A124" s="4" t="s">
        <v>461</v>
      </c>
      <c r="B124" s="2">
        <v>45890</v>
      </c>
      <c r="C124" s="2" t="str">
        <f>TEXT(Data3[[#This Row],[OrderDate]],"MMM-YYYY")</f>
        <v>Aug-2025</v>
      </c>
      <c r="D124" s="4" t="str">
        <f>"Q"&amp;INT((MONTH(Data3[[#This Row],[OrderDate]])-1)/3)+1&amp;"-"&amp;YEAR(Data3[[#This Row],[OrderDate]])</f>
        <v>Q3-2025</v>
      </c>
      <c r="E124" s="2">
        <v>45912</v>
      </c>
      <c r="F124" t="s">
        <v>45</v>
      </c>
      <c r="G124" t="s">
        <v>116</v>
      </c>
      <c r="H124" s="4" t="s">
        <v>117</v>
      </c>
      <c r="I124" t="s">
        <v>27</v>
      </c>
      <c r="J124" s="4" t="s">
        <v>20</v>
      </c>
      <c r="K124" s="4" t="s">
        <v>56</v>
      </c>
      <c r="L124" t="s">
        <v>30</v>
      </c>
      <c r="M124" s="4" t="s">
        <v>462</v>
      </c>
      <c r="N124" s="3">
        <v>352.66</v>
      </c>
      <c r="O124" s="3">
        <v>411.18</v>
      </c>
      <c r="P124" s="3">
        <v>0.17299999999999999</v>
      </c>
      <c r="Q124" s="3">
        <v>13</v>
      </c>
      <c r="R124" t="s">
        <v>56</v>
      </c>
      <c r="S124" t="s">
        <v>117</v>
      </c>
      <c r="T124" t="s">
        <v>20</v>
      </c>
      <c r="U124">
        <v>411.18</v>
      </c>
      <c r="V124" t="str" cm="1">
        <f t="array" ref="V124">_xlfn.IFS(Data3[[#This Row],[CorrectedUnitPriceCustom]]&lt;=$W$2, "Low",Data3[[#This Row],[CorrectedUnitPriceCustom]]&lt;=$Y$2, "Medium", TRUE, "High")</f>
        <v>Low</v>
      </c>
      <c r="W124">
        <f t="shared" si="5"/>
        <v>625.91499999999996</v>
      </c>
      <c r="X124">
        <f t="shared" si="6"/>
        <v>1282.3899999999999</v>
      </c>
      <c r="Y124">
        <f t="shared" si="7"/>
        <v>2095.835</v>
      </c>
      <c r="Z124">
        <v>0.17299999999999999</v>
      </c>
      <c r="AA124" t="s">
        <v>1372</v>
      </c>
      <c r="AB124" s="1">
        <v>45912</v>
      </c>
      <c r="AC124">
        <v>22</v>
      </c>
      <c r="AD124" s="5">
        <f>Data3[[#This Row],[UnitPrice]]*Data3[[#This Row],[Quantity]]*(1-Data3[[#This Row],[DiscountPct]])</f>
        <v>4420.5961799999995</v>
      </c>
      <c r="AE124" s="6">
        <f>Data3[[#This Row],[UnitPrice]]*Data3[[#This Row],[Quantity]]</f>
        <v>5345.34</v>
      </c>
      <c r="AF124" s="6">
        <f>Data3[[#This Row],[GrossRevenue]]-(Data3[[#This Row],[Quantity]]*Data3[[#This Row],[UnitCost]])</f>
        <v>-163.98382000000038</v>
      </c>
      <c r="AG124" s="6" t="str">
        <f>TEXT(Data3[[#This Row],[OrderDate]], "mmm-yyyy")</f>
        <v>Aug-2025</v>
      </c>
      <c r="AH124" s="7">
        <f>IF(Data3[[#This Row],[GrossRevenue]]=0, 0,Data3[[#This Row],[GrossProfit]]/Data3[[#This Row],[GrossRevenue]])</f>
        <v>-3.7095408248758066E-2</v>
      </c>
      <c r="AI124" s="5">
        <f t="shared" si="8"/>
        <v>4420.5961799999995</v>
      </c>
    </row>
    <row r="125" spans="1:35" x14ac:dyDescent="0.35">
      <c r="A125" s="4" t="s">
        <v>463</v>
      </c>
      <c r="B125" s="2">
        <v>45915</v>
      </c>
      <c r="C125" s="2" t="str">
        <f>TEXT(Data3[[#This Row],[OrderDate]],"MMM-YYYY")</f>
        <v>Sep-2025</v>
      </c>
      <c r="D125" s="4" t="str">
        <f>"Q"&amp;INT((MONTH(Data3[[#This Row],[OrderDate]])-1)/3)+1&amp;"-"&amp;YEAR(Data3[[#This Row],[OrderDate]])</f>
        <v>Q3-2025</v>
      </c>
      <c r="E125" s="2">
        <v>45918</v>
      </c>
      <c r="F125" t="s">
        <v>52</v>
      </c>
      <c r="G125" t="s">
        <v>73</v>
      </c>
      <c r="H125" s="4" t="s">
        <v>225</v>
      </c>
      <c r="I125" t="s">
        <v>39</v>
      </c>
      <c r="J125" s="4" t="s">
        <v>98</v>
      </c>
      <c r="K125" s="4" t="s">
        <v>49</v>
      </c>
      <c r="L125" t="s">
        <v>81</v>
      </c>
      <c r="M125" s="4" t="s">
        <v>464</v>
      </c>
      <c r="N125" s="3">
        <v>5.5</v>
      </c>
      <c r="O125" s="3">
        <v>5.92</v>
      </c>
      <c r="P125" s="3">
        <v>0.21199999999999999</v>
      </c>
      <c r="Q125" s="3">
        <v>4</v>
      </c>
      <c r="R125" t="s">
        <v>49</v>
      </c>
      <c r="S125" t="s">
        <v>225</v>
      </c>
      <c r="T125" t="s">
        <v>98</v>
      </c>
      <c r="U125">
        <v>5.92</v>
      </c>
      <c r="V125" t="str" cm="1">
        <f t="array" ref="V125">_xlfn.IFS(Data3[[#This Row],[CorrectedUnitPriceCustom]]&lt;=$W$2, "Low",Data3[[#This Row],[CorrectedUnitPriceCustom]]&lt;=$Y$2, "Medium", TRUE, "High")</f>
        <v>Low</v>
      </c>
      <c r="W125">
        <f t="shared" si="5"/>
        <v>628.54</v>
      </c>
      <c r="X125">
        <f t="shared" si="6"/>
        <v>1318.37</v>
      </c>
      <c r="Y125">
        <f t="shared" si="7"/>
        <v>2105.5300000000002</v>
      </c>
      <c r="Z125">
        <v>0.21199999999999999</v>
      </c>
      <c r="AA125" t="s">
        <v>1372</v>
      </c>
      <c r="AB125" s="1">
        <v>45918</v>
      </c>
      <c r="AC125">
        <v>3</v>
      </c>
      <c r="AD125" s="5">
        <f>Data3[[#This Row],[UnitPrice]]*Data3[[#This Row],[Quantity]]*(1-Data3[[#This Row],[DiscountPct]])</f>
        <v>18.659839999999999</v>
      </c>
      <c r="AE125" s="6">
        <f>Data3[[#This Row],[UnitPrice]]*Data3[[#This Row],[Quantity]]</f>
        <v>23.68</v>
      </c>
      <c r="AF125" s="6">
        <f>Data3[[#This Row],[GrossRevenue]]-(Data3[[#This Row],[Quantity]]*Data3[[#This Row],[UnitCost]])</f>
        <v>-3.3401600000000009</v>
      </c>
      <c r="AG125" s="6" t="str">
        <f>TEXT(Data3[[#This Row],[OrderDate]], "mmm-yyyy")</f>
        <v>Sep-2025</v>
      </c>
      <c r="AH125" s="7">
        <f>IF(Data3[[#This Row],[GrossRevenue]]=0, 0,Data3[[#This Row],[GrossProfit]]/Data3[[#This Row],[GrossRevenue]])</f>
        <v>-0.17900260666758133</v>
      </c>
      <c r="AI125" s="5">
        <f t="shared" si="8"/>
        <v>18.659839999999999</v>
      </c>
    </row>
    <row r="126" spans="1:35" x14ac:dyDescent="0.35">
      <c r="A126" s="4" t="s">
        <v>467</v>
      </c>
      <c r="B126" s="2">
        <v>45690</v>
      </c>
      <c r="C126" s="2" t="str">
        <f>TEXT(Data3[[#This Row],[OrderDate]],"MMM-YYYY")</f>
        <v>Feb-2025</v>
      </c>
      <c r="D126" s="4" t="str">
        <f>"Q"&amp;INT((MONTH(Data3[[#This Row],[OrderDate]])-1)/3)+1&amp;"-"&amp;YEAR(Data3[[#This Row],[OrderDate]])</f>
        <v>Q1-2025</v>
      </c>
      <c r="E126" s="2">
        <v>45720</v>
      </c>
      <c r="F126" t="s">
        <v>45</v>
      </c>
      <c r="G126" t="s">
        <v>46</v>
      </c>
      <c r="H126" s="4" t="s">
        <v>47</v>
      </c>
      <c r="I126" t="s">
        <v>27</v>
      </c>
      <c r="J126" s="4" t="s">
        <v>55</v>
      </c>
      <c r="K126" s="4" t="s">
        <v>49</v>
      </c>
      <c r="L126" t="s">
        <v>81</v>
      </c>
      <c r="M126" s="4" t="s">
        <v>468</v>
      </c>
      <c r="N126" s="3">
        <v>766.59</v>
      </c>
      <c r="O126" s="3">
        <v>1912.8</v>
      </c>
      <c r="P126" s="3">
        <v>0.19600000000000001</v>
      </c>
      <c r="Q126" s="3">
        <v>5</v>
      </c>
      <c r="R126" t="s">
        <v>49</v>
      </c>
      <c r="S126" t="s">
        <v>47</v>
      </c>
      <c r="T126" t="s">
        <v>55</v>
      </c>
      <c r="U126">
        <v>1912.8</v>
      </c>
      <c r="V126" t="str" cm="1">
        <f t="array" ref="V126">_xlfn.IFS(Data3[[#This Row],[CorrectedUnitPriceCustom]]&lt;=$W$2, "Low",Data3[[#This Row],[CorrectedUnitPriceCustom]]&lt;=$Y$2, "Medium", TRUE, "High")</f>
        <v>Medium</v>
      </c>
      <c r="W126">
        <f t="shared" si="5"/>
        <v>705.60249999999996</v>
      </c>
      <c r="X126">
        <f t="shared" si="6"/>
        <v>1324.2199999999998</v>
      </c>
      <c r="Y126">
        <f t="shared" si="7"/>
        <v>2112.1950000000002</v>
      </c>
      <c r="Z126">
        <v>0.19600000000000001</v>
      </c>
      <c r="AA126" t="s">
        <v>1372</v>
      </c>
      <c r="AB126" s="1">
        <v>45720</v>
      </c>
      <c r="AC126">
        <v>30</v>
      </c>
      <c r="AD126" s="5">
        <f>Data3[[#This Row],[UnitPrice]]*Data3[[#This Row],[Quantity]]*(1-Data3[[#This Row],[DiscountPct]])</f>
        <v>7689.4560000000001</v>
      </c>
      <c r="AE126" s="6">
        <f>Data3[[#This Row],[UnitPrice]]*Data3[[#This Row],[Quantity]]</f>
        <v>9564</v>
      </c>
      <c r="AF126" s="6">
        <f>Data3[[#This Row],[GrossRevenue]]-(Data3[[#This Row],[Quantity]]*Data3[[#This Row],[UnitCost]])</f>
        <v>3856.5059999999999</v>
      </c>
      <c r="AG126" s="6" t="str">
        <f>TEXT(Data3[[#This Row],[OrderDate]], "mmm-yyyy")</f>
        <v>Feb-2025</v>
      </c>
      <c r="AH126" s="7">
        <f>IF(Data3[[#This Row],[GrossRevenue]]=0, 0,Data3[[#This Row],[GrossProfit]]/Data3[[#This Row],[GrossRevenue]])</f>
        <v>0.50153170783472845</v>
      </c>
      <c r="AI126" s="5">
        <f t="shared" si="8"/>
        <v>7689.4560000000001</v>
      </c>
    </row>
    <row r="127" spans="1:35" x14ac:dyDescent="0.35">
      <c r="A127" s="4" t="s">
        <v>471</v>
      </c>
      <c r="B127" s="2">
        <v>45587</v>
      </c>
      <c r="C127" s="2" t="str">
        <f>TEXT(Data3[[#This Row],[OrderDate]],"MMM-YYYY")</f>
        <v>Oct-2024</v>
      </c>
      <c r="D127" s="4" t="str">
        <f>"Q"&amp;INT((MONTH(Data3[[#This Row],[OrderDate]])-1)/3)+1&amp;"-"&amp;YEAR(Data3[[#This Row],[OrderDate]])</f>
        <v>Q4-2024</v>
      </c>
      <c r="E127" s="2">
        <v>45594</v>
      </c>
      <c r="F127" t="s">
        <v>16</v>
      </c>
      <c r="G127" t="s">
        <v>25</v>
      </c>
      <c r="H127" s="4" t="s">
        <v>26</v>
      </c>
      <c r="I127" t="s">
        <v>105</v>
      </c>
      <c r="J127" s="4" t="s">
        <v>55</v>
      </c>
      <c r="K127" s="4" t="s">
        <v>110</v>
      </c>
      <c r="L127" t="s">
        <v>64</v>
      </c>
      <c r="M127" s="4" t="s">
        <v>472</v>
      </c>
      <c r="N127" s="3">
        <v>1023.06</v>
      </c>
      <c r="O127" s="3">
        <v>1355.61</v>
      </c>
      <c r="P127" s="3">
        <v>0.153</v>
      </c>
      <c r="Q127" s="3">
        <v>23</v>
      </c>
      <c r="R127" t="s">
        <v>110</v>
      </c>
      <c r="S127" t="s">
        <v>26</v>
      </c>
      <c r="T127" t="s">
        <v>55</v>
      </c>
      <c r="U127">
        <v>1355.61</v>
      </c>
      <c r="V127" t="str" cm="1">
        <f t="array" ref="V127">_xlfn.IFS(Data3[[#This Row],[CorrectedUnitPriceCustom]]&lt;=$W$2, "Low",Data3[[#This Row],[CorrectedUnitPriceCustom]]&lt;=$Y$2, "Medium", TRUE, "High")</f>
        <v>Medium</v>
      </c>
      <c r="W127">
        <f t="shared" si="5"/>
        <v>679.91499999999996</v>
      </c>
      <c r="X127">
        <f t="shared" si="6"/>
        <v>1318.37</v>
      </c>
      <c r="Y127">
        <f t="shared" si="7"/>
        <v>2118.86</v>
      </c>
      <c r="Z127">
        <v>0.153</v>
      </c>
      <c r="AA127" t="s">
        <v>1372</v>
      </c>
      <c r="AB127" s="1">
        <v>45594</v>
      </c>
      <c r="AC127">
        <v>7</v>
      </c>
      <c r="AD127" s="5">
        <f>Data3[[#This Row],[UnitPrice]]*Data3[[#This Row],[Quantity]]*(1-Data3[[#This Row],[DiscountPct]])</f>
        <v>26408.63841</v>
      </c>
      <c r="AE127" s="6">
        <f>Data3[[#This Row],[UnitPrice]]*Data3[[#This Row],[Quantity]]</f>
        <v>31179.03</v>
      </c>
      <c r="AF127" s="6">
        <f>Data3[[#This Row],[GrossRevenue]]-(Data3[[#This Row],[Quantity]]*Data3[[#This Row],[UnitCost]])</f>
        <v>2878.2584100000022</v>
      </c>
      <c r="AG127" s="6" t="str">
        <f>TEXT(Data3[[#This Row],[OrderDate]], "mmm-yyyy")</f>
        <v>Oct-2024</v>
      </c>
      <c r="AH127" s="7">
        <f>IF(Data3[[#This Row],[GrossRevenue]]=0, 0,Data3[[#This Row],[GrossProfit]]/Data3[[#This Row],[GrossRevenue]])</f>
        <v>0.10898927711888809</v>
      </c>
      <c r="AI127" s="5">
        <f t="shared" si="8"/>
        <v>26408.63841</v>
      </c>
    </row>
    <row r="128" spans="1:35" x14ac:dyDescent="0.35">
      <c r="A128" s="4" t="s">
        <v>475</v>
      </c>
      <c r="B128" s="2">
        <v>45670</v>
      </c>
      <c r="C128" s="2" t="str">
        <f>TEXT(Data3[[#This Row],[OrderDate]],"MMM-YYYY")</f>
        <v>Jan-2025</v>
      </c>
      <c r="D128" s="4" t="str">
        <f>"Q"&amp;INT((MONTH(Data3[[#This Row],[OrderDate]])-1)/3)+1&amp;"-"&amp;YEAR(Data3[[#This Row],[OrderDate]])</f>
        <v>Q1-2025</v>
      </c>
      <c r="E128" s="2">
        <v>45696</v>
      </c>
      <c r="F128" t="s">
        <v>78</v>
      </c>
      <c r="G128" t="s">
        <v>90</v>
      </c>
      <c r="H128" s="4" t="s">
        <v>217</v>
      </c>
      <c r="I128" t="s">
        <v>39</v>
      </c>
      <c r="K128" s="4" t="s">
        <v>63</v>
      </c>
      <c r="L128" t="s">
        <v>64</v>
      </c>
      <c r="M128" s="4" t="s">
        <v>476</v>
      </c>
      <c r="N128" s="3">
        <v>594.74</v>
      </c>
      <c r="O128" s="3">
        <v>1020.69</v>
      </c>
      <c r="P128" s="3">
        <v>0.21099999999999999</v>
      </c>
      <c r="Q128" s="3">
        <v>6</v>
      </c>
      <c r="R128" t="s">
        <v>63</v>
      </c>
      <c r="S128" t="s">
        <v>217</v>
      </c>
      <c r="T128" t="s">
        <v>1375</v>
      </c>
      <c r="U128">
        <v>1020.69</v>
      </c>
      <c r="V128" t="str" cm="1">
        <f t="array" ref="V128">_xlfn.IFS(Data3[[#This Row],[CorrectedUnitPriceCustom]]&lt;=$W$2, "Low",Data3[[#This Row],[CorrectedUnitPriceCustom]]&lt;=$Y$2, "Medium", TRUE, "High")</f>
        <v>Medium</v>
      </c>
      <c r="W128">
        <f t="shared" si="5"/>
        <v>654.22749999999996</v>
      </c>
      <c r="X128">
        <f t="shared" si="6"/>
        <v>1282.3899999999999</v>
      </c>
      <c r="Y128">
        <f t="shared" si="7"/>
        <v>2125.5250000000001</v>
      </c>
      <c r="Z128">
        <v>0.21099999999999999</v>
      </c>
      <c r="AA128" t="s">
        <v>1372</v>
      </c>
      <c r="AB128" s="1">
        <v>45696</v>
      </c>
      <c r="AC128">
        <v>26</v>
      </c>
      <c r="AD128" s="5">
        <f>Data3[[#This Row],[UnitPrice]]*Data3[[#This Row],[Quantity]]*(1-Data3[[#This Row],[DiscountPct]])</f>
        <v>4831.9464600000001</v>
      </c>
      <c r="AE128" s="6">
        <f>Data3[[#This Row],[UnitPrice]]*Data3[[#This Row],[Quantity]]</f>
        <v>6124.14</v>
      </c>
      <c r="AF128" s="6">
        <f>Data3[[#This Row],[GrossRevenue]]-(Data3[[#This Row],[Quantity]]*Data3[[#This Row],[UnitCost]])</f>
        <v>1263.5064600000001</v>
      </c>
      <c r="AG128" s="6" t="str">
        <f>TEXT(Data3[[#This Row],[OrderDate]], "mmm-yyyy")</f>
        <v>Jan-2025</v>
      </c>
      <c r="AH128" s="7">
        <f>IF(Data3[[#This Row],[GrossRevenue]]=0, 0,Data3[[#This Row],[GrossProfit]]/Data3[[#This Row],[GrossRevenue]])</f>
        <v>0.26149016146176424</v>
      </c>
      <c r="AI128" s="5">
        <f t="shared" si="8"/>
        <v>4831.9464600000001</v>
      </c>
    </row>
    <row r="129" spans="1:35" x14ac:dyDescent="0.35">
      <c r="A129" s="4" t="s">
        <v>360</v>
      </c>
      <c r="B129" s="2">
        <v>44955</v>
      </c>
      <c r="C129" s="2" t="str">
        <f>TEXT(Data3[[#This Row],[OrderDate]],"MMM-YYYY")</f>
        <v>Jan-2023</v>
      </c>
      <c r="D129" s="4" t="str">
        <f>"Q"&amp;INT((MONTH(Data3[[#This Row],[OrderDate]])-1)/3)+1&amp;"-"&amp;YEAR(Data3[[#This Row],[OrderDate]])</f>
        <v>Q1-2023</v>
      </c>
      <c r="E129" s="2">
        <v>44985</v>
      </c>
      <c r="F129" t="s">
        <v>45</v>
      </c>
      <c r="G129" t="s">
        <v>60</v>
      </c>
      <c r="H129" s="4" t="s">
        <v>61</v>
      </c>
      <c r="I129" t="s">
        <v>39</v>
      </c>
      <c r="J129" s="4" t="s">
        <v>20</v>
      </c>
      <c r="K129" s="4" t="s">
        <v>56</v>
      </c>
      <c r="L129" t="s">
        <v>81</v>
      </c>
      <c r="M129" s="4" t="s">
        <v>477</v>
      </c>
      <c r="N129" s="3">
        <v>1262.0999999999999</v>
      </c>
      <c r="O129" s="3">
        <v>1395.53</v>
      </c>
      <c r="P129" s="3">
        <v>0.23300000000000001</v>
      </c>
      <c r="Q129" s="3">
        <v>25</v>
      </c>
      <c r="R129" t="s">
        <v>56</v>
      </c>
      <c r="S129" t="s">
        <v>61</v>
      </c>
      <c r="T129" t="s">
        <v>20</v>
      </c>
      <c r="U129">
        <v>1395.53</v>
      </c>
      <c r="V129" t="str" cm="1">
        <f t="array" ref="V129">_xlfn.IFS(Data3[[#This Row],[CorrectedUnitPriceCustom]]&lt;=$W$2, "Low",Data3[[#This Row],[CorrectedUnitPriceCustom]]&lt;=$Y$2, "Medium", TRUE, "High")</f>
        <v>Medium</v>
      </c>
      <c r="W129">
        <f t="shared" si="5"/>
        <v>628.54</v>
      </c>
      <c r="X129">
        <f t="shared" si="6"/>
        <v>1318.37</v>
      </c>
      <c r="Y129">
        <f t="shared" si="7"/>
        <v>2132.19</v>
      </c>
      <c r="Z129">
        <v>0.23300000000000001</v>
      </c>
      <c r="AA129" t="s">
        <v>1372</v>
      </c>
      <c r="AB129" s="1">
        <v>44985</v>
      </c>
      <c r="AC129">
        <v>30</v>
      </c>
      <c r="AD129" s="5">
        <f>Data3[[#This Row],[UnitPrice]]*Data3[[#This Row],[Quantity]]*(1-Data3[[#This Row],[DiscountPct]])</f>
        <v>26759.28775</v>
      </c>
      <c r="AE129" s="6">
        <f>Data3[[#This Row],[UnitPrice]]*Data3[[#This Row],[Quantity]]</f>
        <v>34888.25</v>
      </c>
      <c r="AF129" s="6">
        <f>Data3[[#This Row],[GrossRevenue]]-(Data3[[#This Row],[Quantity]]*Data3[[#This Row],[UnitCost]])</f>
        <v>-4793.2122499999969</v>
      </c>
      <c r="AG129" s="6" t="str">
        <f>TEXT(Data3[[#This Row],[OrderDate]], "mmm-yyyy")</f>
        <v>Jan-2023</v>
      </c>
      <c r="AH129" s="7">
        <f>IF(Data3[[#This Row],[GrossRevenue]]=0, 0,Data3[[#This Row],[GrossProfit]]/Data3[[#This Row],[GrossRevenue]])</f>
        <v>-0.17912331205452198</v>
      </c>
      <c r="AI129" s="5">
        <f t="shared" si="8"/>
        <v>26759.28775</v>
      </c>
    </row>
    <row r="130" spans="1:35" x14ac:dyDescent="0.35">
      <c r="A130" s="4" t="s">
        <v>486</v>
      </c>
      <c r="B130" s="2">
        <v>45516</v>
      </c>
      <c r="C130" s="2" t="str">
        <f>TEXT(Data3[[#This Row],[OrderDate]],"MMM-YYYY")</f>
        <v>Aug-2024</v>
      </c>
      <c r="D130" s="4" t="str">
        <f>"Q"&amp;INT((MONTH(Data3[[#This Row],[OrderDate]])-1)/3)+1&amp;"-"&amp;YEAR(Data3[[#This Row],[OrderDate]])</f>
        <v>Q3-2024</v>
      </c>
      <c r="E130" s="2">
        <v>45538</v>
      </c>
      <c r="F130" t="s">
        <v>52</v>
      </c>
      <c r="G130" t="s">
        <v>122</v>
      </c>
      <c r="H130" s="4" t="s">
        <v>326</v>
      </c>
      <c r="I130" t="s">
        <v>48</v>
      </c>
      <c r="J130" s="4" t="s">
        <v>55</v>
      </c>
      <c r="K130" s="4" t="s">
        <v>34</v>
      </c>
      <c r="L130" t="s">
        <v>57</v>
      </c>
      <c r="M130" s="4" t="s">
        <v>487</v>
      </c>
      <c r="N130" s="3">
        <v>797.8</v>
      </c>
      <c r="O130" s="3">
        <v>886.22</v>
      </c>
      <c r="P130" s="3">
        <v>0.23599999999999999</v>
      </c>
      <c r="Q130" s="3">
        <v>36</v>
      </c>
      <c r="R130" t="s">
        <v>34</v>
      </c>
      <c r="S130" t="s">
        <v>326</v>
      </c>
      <c r="T130" t="s">
        <v>55</v>
      </c>
      <c r="U130">
        <v>886.22</v>
      </c>
      <c r="V130" t="str" cm="1">
        <f t="array" ref="V130">_xlfn.IFS(Data3[[#This Row],[CorrectedUnitPriceCustom]]&lt;=$W$2, "Low",Data3[[#This Row],[CorrectedUnitPriceCustom]]&lt;=$Y$2, "Medium", TRUE, "High")</f>
        <v>Medium</v>
      </c>
      <c r="W130">
        <f t="shared" ref="W130:W193" si="9">_xlfn.PERCENTILE.INC(U130:U357,0.25)</f>
        <v>627.66499999999996</v>
      </c>
      <c r="X130">
        <f t="shared" ref="X130:X193" si="10">_xlfn.PERCENTILE.INC(U130:U357,0.5)</f>
        <v>1282.3899999999999</v>
      </c>
      <c r="Y130">
        <f t="shared" ref="Y130:Y193" si="11">_xlfn.PERCENTILE.INC(U130:U357,0.75)</f>
        <v>2133.4450000000002</v>
      </c>
      <c r="Z130">
        <v>0.23599999999999999</v>
      </c>
      <c r="AA130" t="s">
        <v>1372</v>
      </c>
      <c r="AB130" s="1">
        <v>45538</v>
      </c>
      <c r="AC130">
        <v>22</v>
      </c>
      <c r="AD130" s="5">
        <f>Data3[[#This Row],[UnitPrice]]*Data3[[#This Row],[Quantity]]*(1-Data3[[#This Row],[DiscountPct]])</f>
        <v>24374.594880000001</v>
      </c>
      <c r="AE130" s="6">
        <f>Data3[[#This Row],[UnitPrice]]*Data3[[#This Row],[Quantity]]</f>
        <v>31903.920000000002</v>
      </c>
      <c r="AF130" s="6">
        <f>Data3[[#This Row],[GrossRevenue]]-(Data3[[#This Row],[Quantity]]*Data3[[#This Row],[UnitCost]])</f>
        <v>-4346.2051199999987</v>
      </c>
      <c r="AG130" s="6" t="str">
        <f>TEXT(Data3[[#This Row],[OrderDate]], "mmm-yyyy")</f>
        <v>Aug-2024</v>
      </c>
      <c r="AH130" s="7">
        <f>IF(Data3[[#This Row],[GrossRevenue]]=0, 0,Data3[[#This Row],[GrossProfit]]/Data3[[#This Row],[GrossRevenue]])</f>
        <v>-0.17830881462428633</v>
      </c>
      <c r="AI130" s="5">
        <f t="shared" ref="AI130:AI193" si="12">AD130</f>
        <v>24374.594880000001</v>
      </c>
    </row>
    <row r="131" spans="1:35" x14ac:dyDescent="0.35">
      <c r="A131" s="4" t="s">
        <v>492</v>
      </c>
      <c r="B131" s="2">
        <v>45557</v>
      </c>
      <c r="C131" s="2" t="str">
        <f>TEXT(Data3[[#This Row],[OrderDate]],"MMM-YYYY")</f>
        <v>Sep-2024</v>
      </c>
      <c r="D131" s="4" t="str">
        <f>"Q"&amp;INT((MONTH(Data3[[#This Row],[OrderDate]])-1)/3)+1&amp;"-"&amp;YEAR(Data3[[#This Row],[OrderDate]])</f>
        <v>Q3-2024</v>
      </c>
      <c r="E131" s="2">
        <v>45566</v>
      </c>
      <c r="F131" t="s">
        <v>52</v>
      </c>
      <c r="G131" t="s">
        <v>73</v>
      </c>
      <c r="H131" s="4" t="s">
        <v>74</v>
      </c>
      <c r="I131" t="s">
        <v>39</v>
      </c>
      <c r="J131" s="4" t="s">
        <v>28</v>
      </c>
      <c r="K131" s="4" t="s">
        <v>95</v>
      </c>
      <c r="L131" t="s">
        <v>64</v>
      </c>
      <c r="M131" s="4" t="s">
        <v>493</v>
      </c>
      <c r="N131" s="3">
        <v>1378.8</v>
      </c>
      <c r="O131" s="3">
        <v>1952.04</v>
      </c>
      <c r="P131" s="3">
        <v>0.159</v>
      </c>
      <c r="Q131" s="3">
        <v>19</v>
      </c>
      <c r="R131" t="s">
        <v>95</v>
      </c>
      <c r="S131" t="s">
        <v>74</v>
      </c>
      <c r="T131" t="s">
        <v>28</v>
      </c>
      <c r="U131">
        <v>1952.04</v>
      </c>
      <c r="V131" t="str" cm="1">
        <f t="array" ref="V131">_xlfn.IFS(Data3[[#This Row],[CorrectedUnitPriceCustom]]&lt;=$W$2, "Low",Data3[[#This Row],[CorrectedUnitPriceCustom]]&lt;=$Y$2, "Medium", TRUE, "High")</f>
        <v>Medium</v>
      </c>
      <c r="W131">
        <f t="shared" si="9"/>
        <v>626.79</v>
      </c>
      <c r="X131">
        <f t="shared" si="10"/>
        <v>1318.37</v>
      </c>
      <c r="Y131">
        <f t="shared" si="11"/>
        <v>2134.6999999999998</v>
      </c>
      <c r="Z131">
        <v>0.159</v>
      </c>
      <c r="AA131" t="s">
        <v>1372</v>
      </c>
      <c r="AB131" s="1">
        <v>45566</v>
      </c>
      <c r="AC131">
        <v>9</v>
      </c>
      <c r="AD131" s="5">
        <f>Data3[[#This Row],[UnitPrice]]*Data3[[#This Row],[Quantity]]*(1-Data3[[#This Row],[DiscountPct]])</f>
        <v>31191.64716</v>
      </c>
      <c r="AE131" s="6">
        <f>Data3[[#This Row],[UnitPrice]]*Data3[[#This Row],[Quantity]]</f>
        <v>37088.76</v>
      </c>
      <c r="AF131" s="6">
        <f>Data3[[#This Row],[GrossRevenue]]-(Data3[[#This Row],[Quantity]]*Data3[[#This Row],[UnitCost]])</f>
        <v>4994.4471599999997</v>
      </c>
      <c r="AG131" s="6" t="str">
        <f>TEXT(Data3[[#This Row],[OrderDate]], "mmm-yyyy")</f>
        <v>Sep-2024</v>
      </c>
      <c r="AH131" s="7">
        <f>IF(Data3[[#This Row],[GrossRevenue]]=0, 0,Data3[[#This Row],[GrossProfit]]/Data3[[#This Row],[GrossRevenue]])</f>
        <v>0.16012130216723058</v>
      </c>
      <c r="AI131" s="5">
        <f t="shared" si="12"/>
        <v>31191.64716</v>
      </c>
    </row>
    <row r="132" spans="1:35" x14ac:dyDescent="0.35">
      <c r="A132" s="4" t="s">
        <v>496</v>
      </c>
      <c r="B132" s="2">
        <v>45333</v>
      </c>
      <c r="C132" s="2" t="str">
        <f>TEXT(Data3[[#This Row],[OrderDate]],"MMM-YYYY")</f>
        <v>Feb-2024</v>
      </c>
      <c r="D132" s="4" t="str">
        <f>"Q"&amp;INT((MONTH(Data3[[#This Row],[OrderDate]])-1)/3)+1&amp;"-"&amp;YEAR(Data3[[#This Row],[OrderDate]])</f>
        <v>Q1-2024</v>
      </c>
      <c r="E132" s="2">
        <v>45354</v>
      </c>
      <c r="F132" t="s">
        <v>16</v>
      </c>
      <c r="G132" t="s">
        <v>17</v>
      </c>
      <c r="H132" s="4" t="s">
        <v>18</v>
      </c>
      <c r="I132" t="s">
        <v>105</v>
      </c>
      <c r="J132" s="4" t="s">
        <v>28</v>
      </c>
      <c r="K132" s="4" t="s">
        <v>56</v>
      </c>
      <c r="L132" t="s">
        <v>42</v>
      </c>
      <c r="M132" s="4" t="s">
        <v>497</v>
      </c>
      <c r="N132" s="3">
        <v>516.86</v>
      </c>
      <c r="O132" s="3">
        <v>852.54</v>
      </c>
      <c r="P132" s="3">
        <v>5.0999999999999997E-2</v>
      </c>
      <c r="Q132" s="3">
        <v>14</v>
      </c>
      <c r="R132" t="s">
        <v>56</v>
      </c>
      <c r="S132" t="s">
        <v>18</v>
      </c>
      <c r="T132" t="s">
        <v>28</v>
      </c>
      <c r="U132">
        <v>852.54</v>
      </c>
      <c r="V132" t="str" cm="1">
        <f t="array" ref="V132">_xlfn.IFS(Data3[[#This Row],[CorrectedUnitPriceCustom]]&lt;=$W$2, "Low",Data3[[#This Row],[CorrectedUnitPriceCustom]]&lt;=$Y$2, "Medium", TRUE, "High")</f>
        <v>Medium</v>
      </c>
      <c r="W132">
        <f t="shared" si="9"/>
        <v>625.91499999999996</v>
      </c>
      <c r="X132">
        <f t="shared" si="10"/>
        <v>1282.3899999999999</v>
      </c>
      <c r="Y132">
        <f t="shared" si="11"/>
        <v>2135.9549999999999</v>
      </c>
      <c r="Z132">
        <v>5.0999999999999997E-2</v>
      </c>
      <c r="AA132" t="s">
        <v>1372</v>
      </c>
      <c r="AB132" s="1">
        <v>45354</v>
      </c>
      <c r="AC132">
        <v>21</v>
      </c>
      <c r="AD132" s="5">
        <f>Data3[[#This Row],[UnitPrice]]*Data3[[#This Row],[Quantity]]*(1-Data3[[#This Row],[DiscountPct]])</f>
        <v>11326.846439999999</v>
      </c>
      <c r="AE132" s="6">
        <f>Data3[[#This Row],[UnitPrice]]*Data3[[#This Row],[Quantity]]</f>
        <v>11935.56</v>
      </c>
      <c r="AF132" s="6">
        <f>Data3[[#This Row],[GrossRevenue]]-(Data3[[#This Row],[Quantity]]*Data3[[#This Row],[UnitCost]])</f>
        <v>4090.8064399999994</v>
      </c>
      <c r="AG132" s="6" t="str">
        <f>TEXT(Data3[[#This Row],[OrderDate]], "mmm-yyyy")</f>
        <v>Feb-2024</v>
      </c>
      <c r="AH132" s="7">
        <f>IF(Data3[[#This Row],[GrossRevenue]]=0, 0,Data3[[#This Row],[GrossProfit]]/Data3[[#This Row],[GrossRevenue]])</f>
        <v>0.36116022775355994</v>
      </c>
      <c r="AI132" s="5">
        <f t="shared" si="12"/>
        <v>11326.846439999999</v>
      </c>
    </row>
    <row r="133" spans="1:35" x14ac:dyDescent="0.35">
      <c r="A133" s="4" t="s">
        <v>500</v>
      </c>
      <c r="B133" s="2">
        <v>45030</v>
      </c>
      <c r="C133" s="2" t="str">
        <f>TEXT(Data3[[#This Row],[OrderDate]],"MMM-YYYY")</f>
        <v>Apr-2023</v>
      </c>
      <c r="D133" s="4" t="str">
        <f>"Q"&amp;INT((MONTH(Data3[[#This Row],[OrderDate]])-1)/3)+1&amp;"-"&amp;YEAR(Data3[[#This Row],[OrderDate]])</f>
        <v>Q2-2023</v>
      </c>
      <c r="E133" s="2">
        <v>45059</v>
      </c>
      <c r="F133" t="s">
        <v>78</v>
      </c>
      <c r="G133" t="s">
        <v>79</v>
      </c>
      <c r="H133" s="4" t="s">
        <v>335</v>
      </c>
      <c r="I133" t="s">
        <v>48</v>
      </c>
      <c r="J133" s="4" t="s">
        <v>98</v>
      </c>
      <c r="K133" s="4" t="s">
        <v>29</v>
      </c>
      <c r="L133" t="s">
        <v>30</v>
      </c>
      <c r="M133" s="4" t="s">
        <v>501</v>
      </c>
      <c r="N133" s="3">
        <v>1320.33</v>
      </c>
      <c r="O133" s="3">
        <v>2645.23</v>
      </c>
      <c r="P133" s="3">
        <v>0.155</v>
      </c>
      <c r="Q133" s="3">
        <v>25</v>
      </c>
      <c r="R133" t="s">
        <v>29</v>
      </c>
      <c r="S133" t="s">
        <v>335</v>
      </c>
      <c r="T133" t="s">
        <v>98</v>
      </c>
      <c r="U133">
        <v>2645.23</v>
      </c>
      <c r="V133" t="str" cm="1">
        <f t="array" ref="V133">_xlfn.IFS(Data3[[#This Row],[CorrectedUnitPriceCustom]]&lt;=$W$2, "Low",Data3[[#This Row],[CorrectedUnitPriceCustom]]&lt;=$Y$2, "Medium", TRUE, "High")</f>
        <v>High</v>
      </c>
      <c r="W133">
        <f t="shared" si="9"/>
        <v>625.04</v>
      </c>
      <c r="X133">
        <f t="shared" si="10"/>
        <v>1318.37</v>
      </c>
      <c r="Y133">
        <f t="shared" si="11"/>
        <v>2137.21</v>
      </c>
      <c r="Z133">
        <v>0.155</v>
      </c>
      <c r="AA133" t="s">
        <v>1372</v>
      </c>
      <c r="AB133" s="1">
        <v>45059</v>
      </c>
      <c r="AC133">
        <v>29</v>
      </c>
      <c r="AD133" s="5">
        <f>Data3[[#This Row],[UnitPrice]]*Data3[[#This Row],[Quantity]]*(1-Data3[[#This Row],[DiscountPct]])</f>
        <v>55880.483749999999</v>
      </c>
      <c r="AE133" s="6">
        <f>Data3[[#This Row],[UnitPrice]]*Data3[[#This Row],[Quantity]]</f>
        <v>66130.75</v>
      </c>
      <c r="AF133" s="6">
        <f>Data3[[#This Row],[GrossRevenue]]-(Data3[[#This Row],[Quantity]]*Data3[[#This Row],[UnitCost]])</f>
        <v>22872.233749999999</v>
      </c>
      <c r="AG133" s="6" t="str">
        <f>TEXT(Data3[[#This Row],[OrderDate]], "mmm-yyyy")</f>
        <v>Apr-2023</v>
      </c>
      <c r="AH133" s="7">
        <f>IF(Data3[[#This Row],[GrossRevenue]]=0, 0,Data3[[#This Row],[GrossProfit]]/Data3[[#This Row],[GrossRevenue]])</f>
        <v>0.40930629470436536</v>
      </c>
      <c r="AI133" s="5">
        <f t="shared" si="12"/>
        <v>55880.483749999999</v>
      </c>
    </row>
    <row r="134" spans="1:35" x14ac:dyDescent="0.35">
      <c r="A134" s="4" t="s">
        <v>504</v>
      </c>
      <c r="B134" s="2">
        <v>45303</v>
      </c>
      <c r="C134" s="2" t="str">
        <f>TEXT(Data3[[#This Row],[OrderDate]],"MMM-YYYY")</f>
        <v>Jan-2024</v>
      </c>
      <c r="D134" s="4" t="str">
        <f>"Q"&amp;INT((MONTH(Data3[[#This Row],[OrderDate]])-1)/3)+1&amp;"-"&amp;YEAR(Data3[[#This Row],[OrderDate]])</f>
        <v>Q1-2024</v>
      </c>
      <c r="E134" s="2">
        <v>45320</v>
      </c>
      <c r="F134" t="s">
        <v>52</v>
      </c>
      <c r="G134" t="s">
        <v>122</v>
      </c>
      <c r="H134" s="4" t="s">
        <v>123</v>
      </c>
      <c r="I134" t="s">
        <v>27</v>
      </c>
      <c r="J134" s="4" t="s">
        <v>55</v>
      </c>
      <c r="K134" s="4" t="s">
        <v>75</v>
      </c>
      <c r="L134" t="s">
        <v>30</v>
      </c>
      <c r="M134" s="4" t="s">
        <v>505</v>
      </c>
      <c r="N134" s="3">
        <v>493.76</v>
      </c>
      <c r="O134" s="3">
        <v>625.04</v>
      </c>
      <c r="P134" s="3">
        <v>0.25800000000000001</v>
      </c>
      <c r="Q134" s="3">
        <v>10</v>
      </c>
      <c r="R134" t="s">
        <v>75</v>
      </c>
      <c r="S134" t="s">
        <v>123</v>
      </c>
      <c r="T134" t="s">
        <v>55</v>
      </c>
      <c r="U134">
        <v>625.04</v>
      </c>
      <c r="V134" t="str" cm="1">
        <f t="array" ref="V134">_xlfn.IFS(Data3[[#This Row],[CorrectedUnitPriceCustom]]&lt;=$W$2, "Low",Data3[[#This Row],[CorrectedUnitPriceCustom]]&lt;=$Y$2, "Medium", TRUE, "High")</f>
        <v>Medium</v>
      </c>
      <c r="W134">
        <f t="shared" si="9"/>
        <v>623.65750000000003</v>
      </c>
      <c r="X134">
        <f t="shared" si="10"/>
        <v>1282.3899999999999</v>
      </c>
      <c r="Y134">
        <f t="shared" si="11"/>
        <v>2133.4450000000002</v>
      </c>
      <c r="Z134">
        <v>0.25800000000000001</v>
      </c>
      <c r="AA134" t="s">
        <v>1372</v>
      </c>
      <c r="AB134" s="1">
        <v>45320</v>
      </c>
      <c r="AC134">
        <v>17</v>
      </c>
      <c r="AD134" s="5">
        <f>Data3[[#This Row],[UnitPrice]]*Data3[[#This Row],[Quantity]]*(1-Data3[[#This Row],[DiscountPct]])</f>
        <v>4637.7968000000001</v>
      </c>
      <c r="AE134" s="6">
        <f>Data3[[#This Row],[UnitPrice]]*Data3[[#This Row],[Quantity]]</f>
        <v>6250.4</v>
      </c>
      <c r="AF134" s="6">
        <f>Data3[[#This Row],[GrossRevenue]]-(Data3[[#This Row],[Quantity]]*Data3[[#This Row],[UnitCost]])</f>
        <v>-299.80320000000029</v>
      </c>
      <c r="AG134" s="6" t="str">
        <f>TEXT(Data3[[#This Row],[OrderDate]], "mmm-yyyy")</f>
        <v>Jan-2024</v>
      </c>
      <c r="AH134" s="7">
        <f>IF(Data3[[#This Row],[GrossRevenue]]=0, 0,Data3[[#This Row],[GrossProfit]]/Data3[[#This Row],[GrossRevenue]])</f>
        <v>-6.464345311549663E-2</v>
      </c>
      <c r="AI134" s="5">
        <f t="shared" si="12"/>
        <v>4637.7968000000001</v>
      </c>
    </row>
    <row r="135" spans="1:35" x14ac:dyDescent="0.35">
      <c r="A135" s="4" t="s">
        <v>510</v>
      </c>
      <c r="B135" s="2">
        <v>45692</v>
      </c>
      <c r="C135" s="2" t="str">
        <f>TEXT(Data3[[#This Row],[OrderDate]],"MMM-YYYY")</f>
        <v>Feb-2025</v>
      </c>
      <c r="D135" s="4" t="str">
        <f>"Q"&amp;INT((MONTH(Data3[[#This Row],[OrderDate]])-1)/3)+1&amp;"-"&amp;YEAR(Data3[[#This Row],[OrderDate]])</f>
        <v>Q1-2025</v>
      </c>
      <c r="E135" s="2">
        <v>45713</v>
      </c>
      <c r="F135" t="s">
        <v>78</v>
      </c>
      <c r="G135" t="s">
        <v>108</v>
      </c>
      <c r="H135" s="4" t="s">
        <v>109</v>
      </c>
      <c r="I135" t="s">
        <v>19</v>
      </c>
      <c r="J135" s="4" t="s">
        <v>40</v>
      </c>
      <c r="K135" s="4" t="s">
        <v>145</v>
      </c>
      <c r="L135" t="s">
        <v>64</v>
      </c>
      <c r="M135" s="4" t="s">
        <v>511</v>
      </c>
      <c r="N135" s="3">
        <v>1016.32</v>
      </c>
      <c r="O135" s="3">
        <v>2253.42</v>
      </c>
      <c r="P135" s="3">
        <v>5.5E-2</v>
      </c>
      <c r="Q135" s="3">
        <v>12</v>
      </c>
      <c r="R135" t="s">
        <v>145</v>
      </c>
      <c r="S135" t="s">
        <v>109</v>
      </c>
      <c r="T135" t="s">
        <v>40</v>
      </c>
      <c r="U135">
        <v>2253.42</v>
      </c>
      <c r="V135" t="str" cm="1">
        <f t="array" ref="V135">_xlfn.IFS(Data3[[#This Row],[CorrectedUnitPriceCustom]]&lt;=$W$2, "Low",Data3[[#This Row],[CorrectedUnitPriceCustom]]&lt;=$Y$2, "Medium", TRUE, "High")</f>
        <v>High</v>
      </c>
      <c r="W135">
        <f t="shared" si="9"/>
        <v>624.02499999999998</v>
      </c>
      <c r="X135">
        <f t="shared" si="10"/>
        <v>1318.37</v>
      </c>
      <c r="Y135">
        <f t="shared" si="11"/>
        <v>2134.6999999999998</v>
      </c>
      <c r="Z135">
        <v>5.5E-2</v>
      </c>
      <c r="AA135" t="s">
        <v>1372</v>
      </c>
      <c r="AB135" s="1">
        <v>45713</v>
      </c>
      <c r="AC135">
        <v>21</v>
      </c>
      <c r="AD135" s="5">
        <f>Data3[[#This Row],[UnitPrice]]*Data3[[#This Row],[Quantity]]*(1-Data3[[#This Row],[DiscountPct]])</f>
        <v>25553.782800000001</v>
      </c>
      <c r="AE135" s="6">
        <f>Data3[[#This Row],[UnitPrice]]*Data3[[#This Row],[Quantity]]</f>
        <v>27041.040000000001</v>
      </c>
      <c r="AF135" s="6">
        <f>Data3[[#This Row],[GrossRevenue]]-(Data3[[#This Row],[Quantity]]*Data3[[#This Row],[UnitCost]])</f>
        <v>13357.942800000001</v>
      </c>
      <c r="AG135" s="6" t="str">
        <f>TEXT(Data3[[#This Row],[OrderDate]], "mmm-yyyy")</f>
        <v>Feb-2025</v>
      </c>
      <c r="AH135" s="7">
        <f>IF(Data3[[#This Row],[GrossRevenue]]=0, 0,Data3[[#This Row],[GrossProfit]]/Data3[[#This Row],[GrossRevenue]])</f>
        <v>0.52273837124419797</v>
      </c>
      <c r="AI135" s="5">
        <f t="shared" si="12"/>
        <v>25553.782800000001</v>
      </c>
    </row>
    <row r="136" spans="1:35" x14ac:dyDescent="0.35">
      <c r="A136" s="4" t="s">
        <v>512</v>
      </c>
      <c r="B136" s="2">
        <v>45035</v>
      </c>
      <c r="C136" s="2" t="str">
        <f>TEXT(Data3[[#This Row],[OrderDate]],"MMM-YYYY")</f>
        <v>Apr-2023</v>
      </c>
      <c r="D136" s="4" t="str">
        <f>"Q"&amp;INT((MONTH(Data3[[#This Row],[OrderDate]])-1)/3)+1&amp;"-"&amp;YEAR(Data3[[#This Row],[OrderDate]])</f>
        <v>Q2-2023</v>
      </c>
      <c r="E136" s="2">
        <v>45044</v>
      </c>
      <c r="F136" t="s">
        <v>78</v>
      </c>
      <c r="G136" t="s">
        <v>79</v>
      </c>
      <c r="H136" s="4" t="s">
        <v>80</v>
      </c>
      <c r="I136" t="s">
        <v>27</v>
      </c>
      <c r="J136" s="4" t="s">
        <v>28</v>
      </c>
      <c r="K136" s="4" t="s">
        <v>63</v>
      </c>
      <c r="L136" t="s">
        <v>64</v>
      </c>
      <c r="M136" s="4" t="s">
        <v>513</v>
      </c>
      <c r="N136" s="3">
        <v>1178.42</v>
      </c>
      <c r="O136" s="3">
        <v>2446.56</v>
      </c>
      <c r="P136" s="3">
        <v>2.9000000000000001E-2</v>
      </c>
      <c r="Q136" s="3">
        <v>11</v>
      </c>
      <c r="R136" t="s">
        <v>63</v>
      </c>
      <c r="S136" t="s">
        <v>80</v>
      </c>
      <c r="T136" t="s">
        <v>28</v>
      </c>
      <c r="U136">
        <v>2446.56</v>
      </c>
      <c r="V136" t="str" cm="1">
        <f t="array" ref="V136">_xlfn.IFS(Data3[[#This Row],[CorrectedUnitPriceCustom]]&lt;=$W$2, "Low",Data3[[#This Row],[CorrectedUnitPriceCustom]]&lt;=$Y$2, "Medium", TRUE, "High")</f>
        <v>High</v>
      </c>
      <c r="W136">
        <f t="shared" si="9"/>
        <v>621.76749999999993</v>
      </c>
      <c r="X136">
        <f t="shared" si="10"/>
        <v>1282.3899999999999</v>
      </c>
      <c r="Y136">
        <f t="shared" si="11"/>
        <v>2125.5250000000001</v>
      </c>
      <c r="Z136">
        <v>2.9000000000000001E-2</v>
      </c>
      <c r="AA136" t="s">
        <v>1372</v>
      </c>
      <c r="AB136" s="1">
        <v>45044</v>
      </c>
      <c r="AC136">
        <v>9</v>
      </c>
      <c r="AD136" s="5">
        <f>Data3[[#This Row],[UnitPrice]]*Data3[[#This Row],[Quantity]]*(1-Data3[[#This Row],[DiscountPct]])</f>
        <v>26131.70736</v>
      </c>
      <c r="AE136" s="6">
        <f>Data3[[#This Row],[UnitPrice]]*Data3[[#This Row],[Quantity]]</f>
        <v>26912.16</v>
      </c>
      <c r="AF136" s="6">
        <f>Data3[[#This Row],[GrossRevenue]]-(Data3[[#This Row],[Quantity]]*Data3[[#This Row],[UnitCost]])</f>
        <v>13169.08736</v>
      </c>
      <c r="AG136" s="6" t="str">
        <f>TEXT(Data3[[#This Row],[OrderDate]], "mmm-yyyy")</f>
        <v>Apr-2023</v>
      </c>
      <c r="AH136" s="7">
        <f>IF(Data3[[#This Row],[GrossRevenue]]=0, 0,Data3[[#This Row],[GrossProfit]]/Data3[[#This Row],[GrossRevenue]])</f>
        <v>0.5039505141618883</v>
      </c>
      <c r="AI136" s="5">
        <f t="shared" si="12"/>
        <v>26131.70736</v>
      </c>
    </row>
    <row r="137" spans="1:35" x14ac:dyDescent="0.35">
      <c r="A137" s="4" t="s">
        <v>516</v>
      </c>
      <c r="B137" s="2">
        <v>45678</v>
      </c>
      <c r="C137" s="2" t="str">
        <f>TEXT(Data3[[#This Row],[OrderDate]],"MMM-YYYY")</f>
        <v>Jan-2025</v>
      </c>
      <c r="D137" s="4" t="str">
        <f>"Q"&amp;INT((MONTH(Data3[[#This Row],[OrderDate]])-1)/3)+1&amp;"-"&amp;YEAR(Data3[[#This Row],[OrderDate]])</f>
        <v>Q1-2025</v>
      </c>
      <c r="E137" s="2">
        <v>45702</v>
      </c>
      <c r="F137" t="s">
        <v>16</v>
      </c>
      <c r="G137" t="s">
        <v>17</v>
      </c>
      <c r="H137" s="4" t="s">
        <v>33</v>
      </c>
      <c r="I137" t="s">
        <v>62</v>
      </c>
      <c r="J137" s="4" t="s">
        <v>20</v>
      </c>
      <c r="K137" s="4" t="s">
        <v>29</v>
      </c>
      <c r="L137" t="s">
        <v>81</v>
      </c>
      <c r="M137" s="4" t="s">
        <v>517</v>
      </c>
      <c r="N137" s="3">
        <v>1030.44</v>
      </c>
      <c r="O137" s="3">
        <v>2562.84</v>
      </c>
      <c r="P137" s="3">
        <v>0.14799999999999999</v>
      </c>
      <c r="Q137" s="3">
        <v>13</v>
      </c>
      <c r="R137" t="s">
        <v>29</v>
      </c>
      <c r="S137" t="s">
        <v>33</v>
      </c>
      <c r="T137" t="s">
        <v>20</v>
      </c>
      <c r="U137">
        <v>2562.84</v>
      </c>
      <c r="V137" t="str" cm="1">
        <f t="array" ref="V137">_xlfn.IFS(Data3[[#This Row],[CorrectedUnitPriceCustom]]&lt;=$W$2, "Low",Data3[[#This Row],[CorrectedUnitPriceCustom]]&lt;=$Y$2, "Medium", TRUE, "High")</f>
        <v>High</v>
      </c>
      <c r="W137">
        <f t="shared" si="9"/>
        <v>619.51</v>
      </c>
      <c r="X137">
        <f t="shared" si="10"/>
        <v>1246.4100000000001</v>
      </c>
      <c r="Y137">
        <f t="shared" si="11"/>
        <v>2105.5300000000002</v>
      </c>
      <c r="Z137">
        <v>0.14799999999999999</v>
      </c>
      <c r="AA137" t="s">
        <v>1372</v>
      </c>
      <c r="AB137" s="1">
        <v>45702</v>
      </c>
      <c r="AC137">
        <v>24</v>
      </c>
      <c r="AD137" s="5">
        <f>Data3[[#This Row],[UnitPrice]]*Data3[[#This Row],[Quantity]]*(1-Data3[[#This Row],[DiscountPct]])</f>
        <v>28386.015839999996</v>
      </c>
      <c r="AE137" s="6">
        <f>Data3[[#This Row],[UnitPrice]]*Data3[[#This Row],[Quantity]]</f>
        <v>33316.92</v>
      </c>
      <c r="AF137" s="6">
        <f>Data3[[#This Row],[GrossRevenue]]-(Data3[[#This Row],[Quantity]]*Data3[[#This Row],[UnitCost]])</f>
        <v>14990.295839999995</v>
      </c>
      <c r="AG137" s="6" t="str">
        <f>TEXT(Data3[[#This Row],[OrderDate]], "mmm-yyyy")</f>
        <v>Jan-2025</v>
      </c>
      <c r="AH137" s="7">
        <f>IF(Data3[[#This Row],[GrossRevenue]]=0, 0,Data3[[#This Row],[GrossProfit]]/Data3[[#This Row],[GrossRevenue]])</f>
        <v>0.52808734852027039</v>
      </c>
      <c r="AI137" s="5">
        <f t="shared" si="12"/>
        <v>28386.015839999996</v>
      </c>
    </row>
    <row r="138" spans="1:35" x14ac:dyDescent="0.35">
      <c r="A138" s="4" t="s">
        <v>522</v>
      </c>
      <c r="B138" s="2">
        <v>45567</v>
      </c>
      <c r="C138" s="2" t="str">
        <f>TEXT(Data3[[#This Row],[OrderDate]],"MMM-YYYY")</f>
        <v>Oct-2024</v>
      </c>
      <c r="D138" s="4" t="str">
        <f>"Q"&amp;INT((MONTH(Data3[[#This Row],[OrderDate]])-1)/3)+1&amp;"-"&amp;YEAR(Data3[[#This Row],[OrderDate]])</f>
        <v>Q4-2024</v>
      </c>
      <c r="E138" s="2">
        <v>45588</v>
      </c>
      <c r="F138" t="s">
        <v>16</v>
      </c>
      <c r="G138" t="s">
        <v>148</v>
      </c>
      <c r="H138" s="4" t="s">
        <v>172</v>
      </c>
      <c r="I138" t="s">
        <v>19</v>
      </c>
      <c r="J138" s="4" t="s">
        <v>40</v>
      </c>
      <c r="K138" s="4" t="s">
        <v>75</v>
      </c>
      <c r="L138" t="s">
        <v>22</v>
      </c>
      <c r="M138" s="4" t="s">
        <v>523</v>
      </c>
      <c r="N138" s="3">
        <v>1095.6099999999999</v>
      </c>
      <c r="O138" s="3">
        <v>2366.5100000000002</v>
      </c>
      <c r="P138" s="3">
        <v>0.152</v>
      </c>
      <c r="Q138" s="3">
        <v>9</v>
      </c>
      <c r="R138" t="s">
        <v>75</v>
      </c>
      <c r="S138" t="s">
        <v>172</v>
      </c>
      <c r="T138" t="s">
        <v>40</v>
      </c>
      <c r="U138">
        <v>2366.5100000000002</v>
      </c>
      <c r="V138" t="str" cm="1">
        <f t="array" ref="V138">_xlfn.IFS(Data3[[#This Row],[CorrectedUnitPriceCustom]]&lt;=$W$2, "Low",Data3[[#This Row],[CorrectedUnitPriceCustom]]&lt;=$Y$2, "Medium", TRUE, "High")</f>
        <v>High</v>
      </c>
      <c r="W138">
        <f t="shared" si="9"/>
        <v>616.32249999999999</v>
      </c>
      <c r="X138">
        <f t="shared" si="10"/>
        <v>1200.375</v>
      </c>
      <c r="Y138">
        <f t="shared" si="11"/>
        <v>2076.4450000000002</v>
      </c>
      <c r="Z138">
        <v>0.152</v>
      </c>
      <c r="AA138" t="s">
        <v>1372</v>
      </c>
      <c r="AB138" s="1">
        <v>45588</v>
      </c>
      <c r="AC138">
        <v>21</v>
      </c>
      <c r="AD138" s="5">
        <f>Data3[[#This Row],[UnitPrice]]*Data3[[#This Row],[Quantity]]*(1-Data3[[#This Row],[DiscountPct]])</f>
        <v>18061.204320000004</v>
      </c>
      <c r="AE138" s="6">
        <f>Data3[[#This Row],[UnitPrice]]*Data3[[#This Row],[Quantity]]</f>
        <v>21298.590000000004</v>
      </c>
      <c r="AF138" s="6">
        <f>Data3[[#This Row],[GrossRevenue]]-(Data3[[#This Row],[Quantity]]*Data3[[#This Row],[UnitCost]])</f>
        <v>8200.7143200000046</v>
      </c>
      <c r="AG138" s="6" t="str">
        <f>TEXT(Data3[[#This Row],[OrderDate]], "mmm-yyyy")</f>
        <v>Oct-2024</v>
      </c>
      <c r="AH138" s="7">
        <f>IF(Data3[[#This Row],[GrossRevenue]]=0, 0,Data3[[#This Row],[GrossProfit]]/Data3[[#This Row],[GrossRevenue]])</f>
        <v>0.4540513564158607</v>
      </c>
      <c r="AI138" s="5">
        <f t="shared" si="12"/>
        <v>18061.204320000004</v>
      </c>
    </row>
    <row r="139" spans="1:35" x14ac:dyDescent="0.35">
      <c r="A139" s="4" t="s">
        <v>526</v>
      </c>
      <c r="B139" s="2">
        <v>45544</v>
      </c>
      <c r="C139" s="2" t="str">
        <f>TEXT(Data3[[#This Row],[OrderDate]],"MMM-YYYY")</f>
        <v>Sep-2024</v>
      </c>
      <c r="D139" s="4" t="str">
        <f>"Q"&amp;INT((MONTH(Data3[[#This Row],[OrderDate]])-1)/3)+1&amp;"-"&amp;YEAR(Data3[[#This Row],[OrderDate]])</f>
        <v>Q3-2024</v>
      </c>
      <c r="E139" s="2">
        <v>45566</v>
      </c>
      <c r="F139" t="s">
        <v>45</v>
      </c>
      <c r="G139" t="s">
        <v>116</v>
      </c>
      <c r="H139" s="4" t="s">
        <v>117</v>
      </c>
      <c r="I139" t="s">
        <v>48</v>
      </c>
      <c r="J139" s="4" t="s">
        <v>98</v>
      </c>
      <c r="K139" s="4" t="s">
        <v>49</v>
      </c>
      <c r="L139" t="s">
        <v>30</v>
      </c>
      <c r="M139" s="4" t="s">
        <v>527</v>
      </c>
      <c r="N139" s="3">
        <v>1166.18</v>
      </c>
      <c r="O139" s="3">
        <v>1335.02</v>
      </c>
      <c r="P139" s="3">
        <v>0.128</v>
      </c>
      <c r="Q139" s="3">
        <v>6</v>
      </c>
      <c r="R139" t="s">
        <v>49</v>
      </c>
      <c r="S139" t="s">
        <v>117</v>
      </c>
      <c r="T139" t="s">
        <v>98</v>
      </c>
      <c r="U139">
        <v>1335.02</v>
      </c>
      <c r="V139" t="str" cm="1">
        <f t="array" ref="V139">_xlfn.IFS(Data3[[#This Row],[CorrectedUnitPriceCustom]]&lt;=$W$2, "Low",Data3[[#This Row],[CorrectedUnitPriceCustom]]&lt;=$Y$2, "Medium", TRUE, "High")</f>
        <v>Medium</v>
      </c>
      <c r="W139">
        <f t="shared" si="9"/>
        <v>613.13499999999999</v>
      </c>
      <c r="X139">
        <f t="shared" si="10"/>
        <v>1154.3399999999999</v>
      </c>
      <c r="Y139">
        <f t="shared" si="11"/>
        <v>2058.81</v>
      </c>
      <c r="Z139">
        <v>0.128</v>
      </c>
      <c r="AA139" t="s">
        <v>1372</v>
      </c>
      <c r="AB139" s="1">
        <v>45566</v>
      </c>
      <c r="AC139">
        <v>22</v>
      </c>
      <c r="AD139" s="5">
        <f>Data3[[#This Row],[UnitPrice]]*Data3[[#This Row],[Quantity]]*(1-Data3[[#This Row],[DiscountPct]])</f>
        <v>6984.8246399999998</v>
      </c>
      <c r="AE139" s="6">
        <f>Data3[[#This Row],[UnitPrice]]*Data3[[#This Row],[Quantity]]</f>
        <v>8010.12</v>
      </c>
      <c r="AF139" s="6">
        <f>Data3[[#This Row],[GrossRevenue]]-(Data3[[#This Row],[Quantity]]*Data3[[#This Row],[UnitCost]])</f>
        <v>-12.25536000000011</v>
      </c>
      <c r="AG139" s="6" t="str">
        <f>TEXT(Data3[[#This Row],[OrderDate]], "mmm-yyyy")</f>
        <v>Sep-2024</v>
      </c>
      <c r="AH139" s="7">
        <f>IF(Data3[[#This Row],[GrossRevenue]]=0, 0,Data3[[#This Row],[GrossProfit]]/Data3[[#This Row],[GrossRevenue]])</f>
        <v>-1.7545694604582242E-3</v>
      </c>
      <c r="AI139" s="5">
        <f t="shared" si="12"/>
        <v>6984.8246399999998</v>
      </c>
    </row>
    <row r="140" spans="1:35" x14ac:dyDescent="0.35">
      <c r="A140" s="4" t="s">
        <v>532</v>
      </c>
      <c r="B140" s="2">
        <v>45351</v>
      </c>
      <c r="C140" s="2" t="str">
        <f>TEXT(Data3[[#This Row],[OrderDate]],"MMM-YYYY")</f>
        <v>Feb-2024</v>
      </c>
      <c r="D140" s="4" t="str">
        <f>"Q"&amp;INT((MONTH(Data3[[#This Row],[OrderDate]])-1)/3)+1&amp;"-"&amp;YEAR(Data3[[#This Row],[OrderDate]])</f>
        <v>Q1-2024</v>
      </c>
      <c r="E140" s="2">
        <v>45381</v>
      </c>
      <c r="F140" t="s">
        <v>45</v>
      </c>
      <c r="G140" t="s">
        <v>46</v>
      </c>
      <c r="H140" s="4" t="s">
        <v>231</v>
      </c>
      <c r="I140" t="s">
        <v>62</v>
      </c>
      <c r="J140" s="4" t="s">
        <v>98</v>
      </c>
      <c r="K140" s="4" t="s">
        <v>34</v>
      </c>
      <c r="L140" t="s">
        <v>35</v>
      </c>
      <c r="M140" s="4" t="s">
        <v>533</v>
      </c>
      <c r="N140" s="3">
        <v>231.11</v>
      </c>
      <c r="O140" s="3">
        <v>318.17</v>
      </c>
      <c r="P140" s="3">
        <v>0.20100000000000001</v>
      </c>
      <c r="Q140" s="3">
        <v>60</v>
      </c>
      <c r="R140" t="s">
        <v>34</v>
      </c>
      <c r="S140" t="s">
        <v>231</v>
      </c>
      <c r="T140" t="s">
        <v>98</v>
      </c>
      <c r="U140">
        <v>318.17</v>
      </c>
      <c r="V140" t="str" cm="1">
        <f t="array" ref="V140">_xlfn.IFS(Data3[[#This Row],[CorrectedUnitPriceCustom]]&lt;=$W$2, "Low",Data3[[#This Row],[CorrectedUnitPriceCustom]]&lt;=$Y$2, "Medium", TRUE, "High")</f>
        <v>Low</v>
      </c>
      <c r="W140">
        <f t="shared" si="9"/>
        <v>609.94749999999999</v>
      </c>
      <c r="X140">
        <f t="shared" si="10"/>
        <v>1145.165</v>
      </c>
      <c r="Y140">
        <f t="shared" si="11"/>
        <v>2062.7799999999997</v>
      </c>
      <c r="Z140">
        <v>0.20100000000000001</v>
      </c>
      <c r="AA140" t="s">
        <v>1372</v>
      </c>
      <c r="AB140" s="1">
        <v>45381</v>
      </c>
      <c r="AC140">
        <v>30</v>
      </c>
      <c r="AD140" s="5">
        <f>Data3[[#This Row],[UnitPrice]]*Data3[[#This Row],[Quantity]]*(1-Data3[[#This Row],[DiscountPct]])</f>
        <v>15253.069799999999</v>
      </c>
      <c r="AE140" s="6">
        <f>Data3[[#This Row],[UnitPrice]]*Data3[[#This Row],[Quantity]]</f>
        <v>19090.2</v>
      </c>
      <c r="AF140" s="6">
        <f>Data3[[#This Row],[GrossRevenue]]-(Data3[[#This Row],[Quantity]]*Data3[[#This Row],[UnitCost]])</f>
        <v>1386.4697999999989</v>
      </c>
      <c r="AG140" s="6" t="str">
        <f>TEXT(Data3[[#This Row],[OrderDate]], "mmm-yyyy")</f>
        <v>Feb-2024</v>
      </c>
      <c r="AH140" s="7">
        <f>IF(Data3[[#This Row],[GrossRevenue]]=0, 0,Data3[[#This Row],[GrossProfit]]/Data3[[#This Row],[GrossRevenue]])</f>
        <v>9.0897754889969692E-2</v>
      </c>
      <c r="AI140" s="5">
        <f t="shared" si="12"/>
        <v>15253.069799999999</v>
      </c>
    </row>
    <row r="141" spans="1:35" x14ac:dyDescent="0.35">
      <c r="A141" s="4" t="s">
        <v>534</v>
      </c>
      <c r="B141" s="2">
        <v>45280</v>
      </c>
      <c r="C141" s="2" t="str">
        <f>TEXT(Data3[[#This Row],[OrderDate]],"MMM-YYYY")</f>
        <v>Dec-2023</v>
      </c>
      <c r="D141" s="4" t="str">
        <f>"Q"&amp;INT((MONTH(Data3[[#This Row],[OrderDate]])-1)/3)+1&amp;"-"&amp;YEAR(Data3[[#This Row],[OrderDate]])</f>
        <v>Q4-2023</v>
      </c>
      <c r="E141" s="2">
        <v>45305</v>
      </c>
      <c r="F141" t="s">
        <v>45</v>
      </c>
      <c r="G141" t="s">
        <v>60</v>
      </c>
      <c r="H141" s="4" t="s">
        <v>220</v>
      </c>
      <c r="I141" t="s">
        <v>39</v>
      </c>
      <c r="J141" s="4" t="s">
        <v>40</v>
      </c>
      <c r="K141" s="4" t="s">
        <v>49</v>
      </c>
      <c r="L141" t="s">
        <v>64</v>
      </c>
      <c r="M141" s="4" t="s">
        <v>535</v>
      </c>
      <c r="N141" s="3">
        <v>1085.6099999999999</v>
      </c>
      <c r="O141" s="3">
        <v>1246.4100000000001</v>
      </c>
      <c r="P141" s="3">
        <v>0.113</v>
      </c>
      <c r="Q141" s="3">
        <v>7</v>
      </c>
      <c r="R141" t="s">
        <v>49</v>
      </c>
      <c r="S141" t="s">
        <v>220</v>
      </c>
      <c r="T141" t="s">
        <v>40</v>
      </c>
      <c r="U141">
        <v>1246.4100000000001</v>
      </c>
      <c r="V141" t="str" cm="1">
        <f t="array" ref="V141">_xlfn.IFS(Data3[[#This Row],[CorrectedUnitPriceCustom]]&lt;=$W$2, "Low",Data3[[#This Row],[CorrectedUnitPriceCustom]]&lt;=$Y$2, "Medium", TRUE, "High")</f>
        <v>Medium</v>
      </c>
      <c r="W141">
        <f t="shared" si="9"/>
        <v>619.51</v>
      </c>
      <c r="X141">
        <f t="shared" si="10"/>
        <v>1154.3399999999999</v>
      </c>
      <c r="Y141">
        <f t="shared" si="11"/>
        <v>2066.75</v>
      </c>
      <c r="Z141">
        <v>0.113</v>
      </c>
      <c r="AA141" t="s">
        <v>1372</v>
      </c>
      <c r="AB141" s="1">
        <v>45305</v>
      </c>
      <c r="AC141">
        <v>25</v>
      </c>
      <c r="AD141" s="5">
        <f>Data3[[#This Row],[UnitPrice]]*Data3[[#This Row],[Quantity]]*(1-Data3[[#This Row],[DiscountPct]])</f>
        <v>7738.9596900000006</v>
      </c>
      <c r="AE141" s="6">
        <f>Data3[[#This Row],[UnitPrice]]*Data3[[#This Row],[Quantity]]</f>
        <v>8724.8700000000008</v>
      </c>
      <c r="AF141" s="6">
        <f>Data3[[#This Row],[GrossRevenue]]-(Data3[[#This Row],[Quantity]]*Data3[[#This Row],[UnitCost]])</f>
        <v>139.68969000000106</v>
      </c>
      <c r="AG141" s="6" t="str">
        <f>TEXT(Data3[[#This Row],[OrderDate]], "mmm-yyyy")</f>
        <v>Dec-2023</v>
      </c>
      <c r="AH141" s="7">
        <f>IF(Data3[[#This Row],[GrossRevenue]]=0, 0,Data3[[#This Row],[GrossProfit]]/Data3[[#This Row],[GrossRevenue]])</f>
        <v>1.8050189637310417E-2</v>
      </c>
      <c r="AI141" s="5">
        <f t="shared" si="12"/>
        <v>7738.9596900000006</v>
      </c>
    </row>
    <row r="142" spans="1:35" x14ac:dyDescent="0.35">
      <c r="A142" s="4" t="s">
        <v>538</v>
      </c>
      <c r="B142" s="2">
        <v>45576</v>
      </c>
      <c r="C142" s="2" t="str">
        <f>TEXT(Data3[[#This Row],[OrderDate]],"MMM-YYYY")</f>
        <v>Oct-2024</v>
      </c>
      <c r="D142" s="4" t="str">
        <f>"Q"&amp;INT((MONTH(Data3[[#This Row],[OrderDate]])-1)/3)+1&amp;"-"&amp;YEAR(Data3[[#This Row],[OrderDate]])</f>
        <v>Q4-2024</v>
      </c>
      <c r="E142" s="2">
        <v>45605</v>
      </c>
      <c r="F142" t="s">
        <v>45</v>
      </c>
      <c r="G142" t="s">
        <v>116</v>
      </c>
      <c r="H142" s="4" t="s">
        <v>162</v>
      </c>
      <c r="I142" t="s">
        <v>39</v>
      </c>
      <c r="J142" s="4" t="s">
        <v>28</v>
      </c>
      <c r="K142" s="4" t="s">
        <v>84</v>
      </c>
      <c r="L142" t="s">
        <v>30</v>
      </c>
      <c r="M142" s="4" t="s">
        <v>539</v>
      </c>
      <c r="N142" s="3">
        <v>391.64</v>
      </c>
      <c r="O142" s="3">
        <v>504.76</v>
      </c>
      <c r="P142" s="3">
        <v>4.0000000000000001E-3</v>
      </c>
      <c r="Q142" s="3">
        <v>13</v>
      </c>
      <c r="R142" t="s">
        <v>84</v>
      </c>
      <c r="S142" t="s">
        <v>162</v>
      </c>
      <c r="T142" t="s">
        <v>28</v>
      </c>
      <c r="U142">
        <v>504.76</v>
      </c>
      <c r="V142" t="str" cm="1">
        <f t="array" ref="V142">_xlfn.IFS(Data3[[#This Row],[CorrectedUnitPriceCustom]]&lt;=$W$2, "Low",Data3[[#This Row],[CorrectedUnitPriceCustom]]&lt;=$Y$2, "Medium", TRUE, "High")</f>
        <v>Low</v>
      </c>
      <c r="W142">
        <f t="shared" si="9"/>
        <v>616.32249999999999</v>
      </c>
      <c r="X142">
        <f t="shared" si="10"/>
        <v>1145.165</v>
      </c>
      <c r="Y142">
        <f t="shared" si="11"/>
        <v>2076.4450000000002</v>
      </c>
      <c r="Z142">
        <v>4.0000000000000001E-3</v>
      </c>
      <c r="AA142" t="s">
        <v>1372</v>
      </c>
      <c r="AB142" s="1">
        <v>45605</v>
      </c>
      <c r="AC142">
        <v>29</v>
      </c>
      <c r="AD142" s="5">
        <f>Data3[[#This Row],[UnitPrice]]*Data3[[#This Row],[Quantity]]*(1-Data3[[#This Row],[DiscountPct]])</f>
        <v>6535.6324800000002</v>
      </c>
      <c r="AE142" s="6">
        <f>Data3[[#This Row],[UnitPrice]]*Data3[[#This Row],[Quantity]]</f>
        <v>6561.88</v>
      </c>
      <c r="AF142" s="6">
        <f>Data3[[#This Row],[GrossRevenue]]-(Data3[[#This Row],[Quantity]]*Data3[[#This Row],[UnitCost]])</f>
        <v>1444.3124800000005</v>
      </c>
      <c r="AG142" s="6" t="str">
        <f>TEXT(Data3[[#This Row],[OrderDate]], "mmm-yyyy")</f>
        <v>Oct-2024</v>
      </c>
      <c r="AH142" s="7">
        <f>IF(Data3[[#This Row],[GrossRevenue]]=0, 0,Data3[[#This Row],[GrossProfit]]/Data3[[#This Row],[GrossRevenue]])</f>
        <v>0.22099046793402319</v>
      </c>
      <c r="AI142" s="5">
        <f t="shared" si="12"/>
        <v>6535.6324800000002</v>
      </c>
    </row>
    <row r="143" spans="1:35" x14ac:dyDescent="0.35">
      <c r="A143" s="4" t="s">
        <v>540</v>
      </c>
      <c r="B143" s="2">
        <v>45554</v>
      </c>
      <c r="C143" s="2" t="str">
        <f>TEXT(Data3[[#This Row],[OrderDate]],"MMM-YYYY")</f>
        <v>Sep-2024</v>
      </c>
      <c r="D143" s="4" t="str">
        <f>"Q"&amp;INT((MONTH(Data3[[#This Row],[OrderDate]])-1)/3)+1&amp;"-"&amp;YEAR(Data3[[#This Row],[OrderDate]])</f>
        <v>Q3-2024</v>
      </c>
      <c r="E143" s="2">
        <v>45579</v>
      </c>
      <c r="F143" t="s">
        <v>52</v>
      </c>
      <c r="G143" t="s">
        <v>73</v>
      </c>
      <c r="H143" s="4" t="s">
        <v>225</v>
      </c>
      <c r="I143" t="s">
        <v>62</v>
      </c>
      <c r="J143" s="4" t="s">
        <v>20</v>
      </c>
      <c r="K143" s="4" t="s">
        <v>95</v>
      </c>
      <c r="L143" t="s">
        <v>30</v>
      </c>
      <c r="M143" s="4" t="s">
        <v>541</v>
      </c>
      <c r="N143" s="3">
        <v>386.96</v>
      </c>
      <c r="O143" s="3">
        <v>937.46</v>
      </c>
      <c r="P143" s="3">
        <v>0.26600000000000001</v>
      </c>
      <c r="Q143" s="3">
        <v>41</v>
      </c>
      <c r="R143" t="s">
        <v>95</v>
      </c>
      <c r="S143" t="s">
        <v>225</v>
      </c>
      <c r="T143" t="s">
        <v>20</v>
      </c>
      <c r="U143">
        <v>937.46</v>
      </c>
      <c r="V143" t="str" cm="1">
        <f t="array" ref="V143">_xlfn.IFS(Data3[[#This Row],[CorrectedUnitPriceCustom]]&lt;=$W$2, "Low",Data3[[#This Row],[CorrectedUnitPriceCustom]]&lt;=$Y$2, "Medium", TRUE, "High")</f>
        <v>Medium</v>
      </c>
      <c r="W143">
        <f t="shared" si="9"/>
        <v>624.02499999999998</v>
      </c>
      <c r="X143">
        <f t="shared" si="10"/>
        <v>1154.3399999999999</v>
      </c>
      <c r="Y143">
        <f t="shared" si="11"/>
        <v>2086.1400000000003</v>
      </c>
      <c r="Z143">
        <v>0.26600000000000001</v>
      </c>
      <c r="AA143" t="s">
        <v>1372</v>
      </c>
      <c r="AB143" s="1">
        <v>45579</v>
      </c>
      <c r="AC143">
        <v>25</v>
      </c>
      <c r="AD143" s="5">
        <f>Data3[[#This Row],[UnitPrice]]*Data3[[#This Row],[Quantity]]*(1-Data3[[#This Row],[DiscountPct]])</f>
        <v>28211.92124</v>
      </c>
      <c r="AE143" s="6">
        <f>Data3[[#This Row],[UnitPrice]]*Data3[[#This Row],[Quantity]]</f>
        <v>38435.86</v>
      </c>
      <c r="AF143" s="6">
        <f>Data3[[#This Row],[GrossRevenue]]-(Data3[[#This Row],[Quantity]]*Data3[[#This Row],[UnitCost]])</f>
        <v>12346.561240000001</v>
      </c>
      <c r="AG143" s="6" t="str">
        <f>TEXT(Data3[[#This Row],[OrderDate]], "mmm-yyyy")</f>
        <v>Sep-2024</v>
      </c>
      <c r="AH143" s="7">
        <f>IF(Data3[[#This Row],[GrossRevenue]]=0, 0,Data3[[#This Row],[GrossProfit]]/Data3[[#This Row],[GrossRevenue]])</f>
        <v>0.43763631462626335</v>
      </c>
      <c r="AI143" s="5">
        <f t="shared" si="12"/>
        <v>28211.92124</v>
      </c>
    </row>
    <row r="144" spans="1:35" x14ac:dyDescent="0.35">
      <c r="A144" s="4" t="s">
        <v>546</v>
      </c>
      <c r="B144" s="2">
        <v>45164</v>
      </c>
      <c r="C144" s="2" t="str">
        <f>TEXT(Data3[[#This Row],[OrderDate]],"MMM-YYYY")</f>
        <v>Aug-2023</v>
      </c>
      <c r="D144" s="4" t="str">
        <f>"Q"&amp;INT((MONTH(Data3[[#This Row],[OrderDate]])-1)/3)+1&amp;"-"&amp;YEAR(Data3[[#This Row],[OrderDate]])</f>
        <v>Q3-2023</v>
      </c>
      <c r="E144" s="2">
        <v>45179</v>
      </c>
      <c r="F144" t="s">
        <v>16</v>
      </c>
      <c r="G144" t="s">
        <v>148</v>
      </c>
      <c r="H144" s="4" t="s">
        <v>258</v>
      </c>
      <c r="I144" t="s">
        <v>39</v>
      </c>
      <c r="J144" s="4" t="s">
        <v>98</v>
      </c>
      <c r="K144" s="4" t="s">
        <v>126</v>
      </c>
      <c r="L144" t="s">
        <v>22</v>
      </c>
      <c r="M144" s="4" t="s">
        <v>547</v>
      </c>
      <c r="N144" s="3">
        <v>241.14</v>
      </c>
      <c r="O144" s="3">
        <v>496.52</v>
      </c>
      <c r="P144" s="3">
        <v>9.2999999999999999E-2</v>
      </c>
      <c r="Q144" s="3">
        <v>10</v>
      </c>
      <c r="R144" t="s">
        <v>126</v>
      </c>
      <c r="S144" t="s">
        <v>258</v>
      </c>
      <c r="T144" t="s">
        <v>98</v>
      </c>
      <c r="U144">
        <v>496.52</v>
      </c>
      <c r="V144" t="str" cm="1">
        <f t="array" ref="V144">_xlfn.IFS(Data3[[#This Row],[CorrectedUnitPriceCustom]]&lt;=$W$2, "Low",Data3[[#This Row],[CorrectedUnitPriceCustom]]&lt;=$Y$2, "Medium", TRUE, "High")</f>
        <v>Low</v>
      </c>
      <c r="W144">
        <f t="shared" si="9"/>
        <v>621.76749999999993</v>
      </c>
      <c r="X144">
        <f t="shared" si="10"/>
        <v>1236.355</v>
      </c>
      <c r="Y144">
        <f t="shared" si="11"/>
        <v>2095.835</v>
      </c>
      <c r="Z144">
        <v>9.2999999999999999E-2</v>
      </c>
      <c r="AA144" t="s">
        <v>1372</v>
      </c>
      <c r="AB144" s="1">
        <v>45179</v>
      </c>
      <c r="AC144">
        <v>15</v>
      </c>
      <c r="AD144" s="5">
        <f>Data3[[#This Row],[UnitPrice]]*Data3[[#This Row],[Quantity]]*(1-Data3[[#This Row],[DiscountPct]])</f>
        <v>4503.4363999999996</v>
      </c>
      <c r="AE144" s="6">
        <f>Data3[[#This Row],[UnitPrice]]*Data3[[#This Row],[Quantity]]</f>
        <v>4965.2</v>
      </c>
      <c r="AF144" s="6">
        <f>Data3[[#This Row],[GrossRevenue]]-(Data3[[#This Row],[Quantity]]*Data3[[#This Row],[UnitCost]])</f>
        <v>2092.0364</v>
      </c>
      <c r="AG144" s="6" t="str">
        <f>TEXT(Data3[[#This Row],[OrderDate]], "mmm-yyyy")</f>
        <v>Aug-2023</v>
      </c>
      <c r="AH144" s="7">
        <f>IF(Data3[[#This Row],[GrossRevenue]]=0, 0,Data3[[#This Row],[GrossProfit]]/Data3[[#This Row],[GrossRevenue]])</f>
        <v>0.46454223268257994</v>
      </c>
      <c r="AI144" s="5">
        <f t="shared" si="12"/>
        <v>4503.4363999999996</v>
      </c>
    </row>
    <row r="145" spans="1:35" x14ac:dyDescent="0.35">
      <c r="A145" s="4" t="s">
        <v>556</v>
      </c>
      <c r="B145" s="2">
        <v>45203</v>
      </c>
      <c r="C145" s="2" t="str">
        <f>TEXT(Data3[[#This Row],[OrderDate]],"MMM-YYYY")</f>
        <v>Oct-2023</v>
      </c>
      <c r="D145" s="4" t="str">
        <f>"Q"&amp;INT((MONTH(Data3[[#This Row],[OrderDate]])-1)/3)+1&amp;"-"&amp;YEAR(Data3[[#This Row],[OrderDate]])</f>
        <v>Q4-2023</v>
      </c>
      <c r="E145" s="2">
        <v>45228</v>
      </c>
      <c r="F145" t="s">
        <v>52</v>
      </c>
      <c r="G145" t="s">
        <v>122</v>
      </c>
      <c r="H145" s="4" t="s">
        <v>167</v>
      </c>
      <c r="I145" t="s">
        <v>62</v>
      </c>
      <c r="J145" s="4" t="s">
        <v>55</v>
      </c>
      <c r="K145" s="4" t="s">
        <v>68</v>
      </c>
      <c r="L145" t="s">
        <v>81</v>
      </c>
      <c r="M145" s="4" t="s">
        <v>557</v>
      </c>
      <c r="N145" s="3">
        <v>1239.8399999999999</v>
      </c>
      <c r="O145" s="3">
        <v>1482.75</v>
      </c>
      <c r="P145" s="3">
        <v>6.7000000000000004E-2</v>
      </c>
      <c r="Q145" s="3">
        <v>4</v>
      </c>
      <c r="R145" t="s">
        <v>68</v>
      </c>
      <c r="S145" t="s">
        <v>167</v>
      </c>
      <c r="T145" t="s">
        <v>55</v>
      </c>
      <c r="U145">
        <v>1482.75</v>
      </c>
      <c r="V145" t="str" cm="1">
        <f t="array" ref="V145">_xlfn.IFS(Data3[[#This Row],[CorrectedUnitPriceCustom]]&lt;=$W$2, "Low",Data3[[#This Row],[CorrectedUnitPriceCustom]]&lt;=$Y$2, "Medium", TRUE, "High")</f>
        <v>Medium</v>
      </c>
      <c r="W145">
        <f t="shared" si="9"/>
        <v>628.54</v>
      </c>
      <c r="X145">
        <f t="shared" si="10"/>
        <v>1318.37</v>
      </c>
      <c r="Y145">
        <f t="shared" si="11"/>
        <v>2105.5300000000002</v>
      </c>
      <c r="Z145">
        <v>6.7000000000000004E-2</v>
      </c>
      <c r="AA145" t="s">
        <v>1372</v>
      </c>
      <c r="AB145" s="1">
        <v>45228</v>
      </c>
      <c r="AC145">
        <v>25</v>
      </c>
      <c r="AD145" s="5">
        <f>Data3[[#This Row],[UnitPrice]]*Data3[[#This Row],[Quantity]]*(1-Data3[[#This Row],[DiscountPct]])</f>
        <v>5533.6230000000005</v>
      </c>
      <c r="AE145" s="6">
        <f>Data3[[#This Row],[UnitPrice]]*Data3[[#This Row],[Quantity]]</f>
        <v>5931</v>
      </c>
      <c r="AF145" s="6">
        <f>Data3[[#This Row],[GrossRevenue]]-(Data3[[#This Row],[Quantity]]*Data3[[#This Row],[UnitCost]])</f>
        <v>574.26300000000083</v>
      </c>
      <c r="AG145" s="6" t="str">
        <f>TEXT(Data3[[#This Row],[OrderDate]], "mmm-yyyy")</f>
        <v>Oct-2023</v>
      </c>
      <c r="AH145" s="7">
        <f>IF(Data3[[#This Row],[GrossRevenue]]=0, 0,Data3[[#This Row],[GrossProfit]]/Data3[[#This Row],[GrossRevenue]])</f>
        <v>0.10377703721413634</v>
      </c>
      <c r="AI145" s="5">
        <f t="shared" si="12"/>
        <v>5533.6230000000005</v>
      </c>
    </row>
    <row r="146" spans="1:35" x14ac:dyDescent="0.35">
      <c r="A146" s="4" t="s">
        <v>566</v>
      </c>
      <c r="B146" s="2">
        <v>45538</v>
      </c>
      <c r="C146" s="2" t="str">
        <f>TEXT(Data3[[#This Row],[OrderDate]],"MMM-YYYY")</f>
        <v>Sep-2024</v>
      </c>
      <c r="D146" s="4" t="str">
        <f>"Q"&amp;INT((MONTH(Data3[[#This Row],[OrderDate]])-1)/3)+1&amp;"-"&amp;YEAR(Data3[[#This Row],[OrderDate]])</f>
        <v>Q3-2024</v>
      </c>
      <c r="E146" s="2">
        <v>45543</v>
      </c>
      <c r="F146" t="s">
        <v>16</v>
      </c>
      <c r="G146" t="s">
        <v>25</v>
      </c>
      <c r="H146" s="4" t="s">
        <v>38</v>
      </c>
      <c r="I146" t="s">
        <v>62</v>
      </c>
      <c r="J146" s="4" t="s">
        <v>98</v>
      </c>
      <c r="K146" s="4" t="s">
        <v>95</v>
      </c>
      <c r="L146" t="s">
        <v>30</v>
      </c>
      <c r="M146" s="4" t="s">
        <v>567</v>
      </c>
      <c r="N146" s="3">
        <v>197.63</v>
      </c>
      <c r="O146" s="3">
        <v>325.79000000000002</v>
      </c>
      <c r="P146" s="3">
        <v>0.11600000000000001</v>
      </c>
      <c r="Q146" s="3">
        <v>10</v>
      </c>
      <c r="R146" t="s">
        <v>95</v>
      </c>
      <c r="S146" t="s">
        <v>38</v>
      </c>
      <c r="T146" t="s">
        <v>98</v>
      </c>
      <c r="U146">
        <v>325.79000000000002</v>
      </c>
      <c r="V146" t="str" cm="1">
        <f t="array" ref="V146">_xlfn.IFS(Data3[[#This Row],[CorrectedUnitPriceCustom]]&lt;=$W$2, "Low",Data3[[#This Row],[CorrectedUnitPriceCustom]]&lt;=$Y$2, "Medium", TRUE, "High")</f>
        <v>Low</v>
      </c>
      <c r="W146">
        <f t="shared" si="9"/>
        <v>626.28250000000003</v>
      </c>
      <c r="X146">
        <f t="shared" si="10"/>
        <v>1236.355</v>
      </c>
      <c r="Y146">
        <f t="shared" si="11"/>
        <v>2112.1950000000002</v>
      </c>
      <c r="Z146">
        <v>0.11600000000000001</v>
      </c>
      <c r="AA146" t="s">
        <v>1372</v>
      </c>
      <c r="AB146" s="1">
        <v>45543</v>
      </c>
      <c r="AC146">
        <v>5</v>
      </c>
      <c r="AD146" s="5">
        <f>Data3[[#This Row],[UnitPrice]]*Data3[[#This Row],[Quantity]]*(1-Data3[[#This Row],[DiscountPct]])</f>
        <v>2879.9836</v>
      </c>
      <c r="AE146" s="6">
        <f>Data3[[#This Row],[UnitPrice]]*Data3[[#This Row],[Quantity]]</f>
        <v>3257.9</v>
      </c>
      <c r="AF146" s="6">
        <f>Data3[[#This Row],[GrossRevenue]]-(Data3[[#This Row],[Quantity]]*Data3[[#This Row],[UnitCost]])</f>
        <v>903.68360000000007</v>
      </c>
      <c r="AG146" s="6" t="str">
        <f>TEXT(Data3[[#This Row],[OrderDate]], "mmm-yyyy")</f>
        <v>Sep-2024</v>
      </c>
      <c r="AH146" s="7">
        <f>IF(Data3[[#This Row],[GrossRevenue]]=0, 0,Data3[[#This Row],[GrossProfit]]/Data3[[#This Row],[GrossRevenue]])</f>
        <v>0.31378081458519419</v>
      </c>
      <c r="AI146" s="5">
        <f t="shared" si="12"/>
        <v>2879.9836</v>
      </c>
    </row>
    <row r="147" spans="1:35" x14ac:dyDescent="0.35">
      <c r="A147" s="4" t="s">
        <v>576</v>
      </c>
      <c r="B147" s="2">
        <v>45855</v>
      </c>
      <c r="C147" s="2" t="str">
        <f>TEXT(Data3[[#This Row],[OrderDate]],"MMM-YYYY")</f>
        <v>Jul-2025</v>
      </c>
      <c r="D147" s="4" t="str">
        <f>"Q"&amp;INT((MONTH(Data3[[#This Row],[OrderDate]])-1)/3)+1&amp;"-"&amp;YEAR(Data3[[#This Row],[OrderDate]])</f>
        <v>Q3-2025</v>
      </c>
      <c r="E147" s="2">
        <v>45861</v>
      </c>
      <c r="F147" t="s">
        <v>52</v>
      </c>
      <c r="G147" t="s">
        <v>53</v>
      </c>
      <c r="H147" s="4" t="s">
        <v>179</v>
      </c>
      <c r="I147" t="s">
        <v>48</v>
      </c>
      <c r="J147" s="4" t="s">
        <v>28</v>
      </c>
      <c r="K147" s="4" t="s">
        <v>92</v>
      </c>
      <c r="L147" t="s">
        <v>22</v>
      </c>
      <c r="M147" s="4" t="s">
        <v>577</v>
      </c>
      <c r="N147" s="3">
        <v>1364.89</v>
      </c>
      <c r="O147" s="3">
        <v>2757.54</v>
      </c>
      <c r="P147" s="3">
        <v>0.17199999999999999</v>
      </c>
      <c r="Q147" s="3">
        <v>61</v>
      </c>
      <c r="R147" t="s">
        <v>92</v>
      </c>
      <c r="S147" t="s">
        <v>179</v>
      </c>
      <c r="T147" t="s">
        <v>28</v>
      </c>
      <c r="U147">
        <v>2757.54</v>
      </c>
      <c r="V147" t="str" cm="1">
        <f t="array" ref="V147">_xlfn.IFS(Data3[[#This Row],[CorrectedUnitPriceCustom]]&lt;=$W$2, "Low",Data3[[#This Row],[CorrectedUnitPriceCustom]]&lt;=$Y$2, "Medium", TRUE, "High")</f>
        <v>High</v>
      </c>
      <c r="W147">
        <f t="shared" si="9"/>
        <v>679.91499999999996</v>
      </c>
      <c r="X147">
        <f t="shared" si="10"/>
        <v>1318.37</v>
      </c>
      <c r="Y147">
        <f t="shared" si="11"/>
        <v>2118.86</v>
      </c>
      <c r="Z147">
        <v>0.17199999999999999</v>
      </c>
      <c r="AA147" t="s">
        <v>1372</v>
      </c>
      <c r="AB147" s="1">
        <v>45861</v>
      </c>
      <c r="AC147">
        <v>6</v>
      </c>
      <c r="AD147" s="5">
        <f>Data3[[#This Row],[UnitPrice]]*Data3[[#This Row],[Quantity]]*(1-Data3[[#This Row],[DiscountPct]])</f>
        <v>139277.83032000001</v>
      </c>
      <c r="AE147" s="6">
        <f>Data3[[#This Row],[UnitPrice]]*Data3[[#This Row],[Quantity]]</f>
        <v>168209.94</v>
      </c>
      <c r="AF147" s="6">
        <f>Data3[[#This Row],[GrossRevenue]]-(Data3[[#This Row],[Quantity]]*Data3[[#This Row],[UnitCost]])</f>
        <v>56019.54032</v>
      </c>
      <c r="AG147" s="6" t="str">
        <f>TEXT(Data3[[#This Row],[OrderDate]], "mmm-yyyy")</f>
        <v>Jul-2025</v>
      </c>
      <c r="AH147" s="7">
        <f>IF(Data3[[#This Row],[GrossRevenue]]=0, 0,Data3[[#This Row],[GrossProfit]]/Data3[[#This Row],[GrossRevenue]])</f>
        <v>0.4022143379983118</v>
      </c>
      <c r="AI147" s="5">
        <f t="shared" si="12"/>
        <v>139277.83032000001</v>
      </c>
    </row>
    <row r="148" spans="1:35" x14ac:dyDescent="0.35">
      <c r="A148" s="4" t="s">
        <v>578</v>
      </c>
      <c r="B148" s="2">
        <v>45258</v>
      </c>
      <c r="C148" s="2" t="str">
        <f>TEXT(Data3[[#This Row],[OrderDate]],"MMM-YYYY")</f>
        <v>Nov-2023</v>
      </c>
      <c r="D148" s="4" t="str">
        <f>"Q"&amp;INT((MONTH(Data3[[#This Row],[OrderDate]])-1)/3)+1&amp;"-"&amp;YEAR(Data3[[#This Row],[OrderDate]])</f>
        <v>Q4-2023</v>
      </c>
      <c r="E148" s="2">
        <v>45267</v>
      </c>
      <c r="F148" t="s">
        <v>45</v>
      </c>
      <c r="G148" t="s">
        <v>60</v>
      </c>
      <c r="H148" s="4" t="s">
        <v>141</v>
      </c>
      <c r="I148" t="s">
        <v>105</v>
      </c>
      <c r="J148" s="4" t="s">
        <v>40</v>
      </c>
      <c r="K148" s="4" t="s">
        <v>49</v>
      </c>
      <c r="L148" t="s">
        <v>42</v>
      </c>
      <c r="M148" s="4" t="s">
        <v>579</v>
      </c>
      <c r="N148" s="3">
        <v>699.33</v>
      </c>
      <c r="O148" s="3">
        <v>873.75</v>
      </c>
      <c r="P148" s="3">
        <v>0.23499999999999999</v>
      </c>
      <c r="Q148" s="3">
        <v>10</v>
      </c>
      <c r="R148" t="s">
        <v>49</v>
      </c>
      <c r="S148" t="s">
        <v>141</v>
      </c>
      <c r="T148" t="s">
        <v>40</v>
      </c>
      <c r="U148">
        <v>873.75</v>
      </c>
      <c r="V148" t="str" cm="1">
        <f t="array" ref="V148">_xlfn.IFS(Data3[[#This Row],[CorrectedUnitPriceCustom]]&lt;=$W$2, "Low",Data3[[#This Row],[CorrectedUnitPriceCustom]]&lt;=$Y$2, "Medium", TRUE, "High")</f>
        <v>Medium</v>
      </c>
      <c r="W148">
        <f t="shared" si="9"/>
        <v>654.22749999999996</v>
      </c>
      <c r="X148">
        <f t="shared" si="10"/>
        <v>1236.355</v>
      </c>
      <c r="Y148">
        <f t="shared" si="11"/>
        <v>2095.835</v>
      </c>
      <c r="Z148">
        <v>0.23499999999999999</v>
      </c>
      <c r="AA148" t="s">
        <v>1372</v>
      </c>
      <c r="AB148" s="1">
        <v>45267</v>
      </c>
      <c r="AC148">
        <v>9</v>
      </c>
      <c r="AD148" s="5">
        <f>Data3[[#This Row],[UnitPrice]]*Data3[[#This Row],[Quantity]]*(1-Data3[[#This Row],[DiscountPct]])</f>
        <v>6684.1875</v>
      </c>
      <c r="AE148" s="6">
        <f>Data3[[#This Row],[UnitPrice]]*Data3[[#This Row],[Quantity]]</f>
        <v>8737.5</v>
      </c>
      <c r="AF148" s="6">
        <f>Data3[[#This Row],[GrossRevenue]]-(Data3[[#This Row],[Quantity]]*Data3[[#This Row],[UnitCost]])</f>
        <v>-309.11250000000018</v>
      </c>
      <c r="AG148" s="6" t="str">
        <f>TEXT(Data3[[#This Row],[OrderDate]], "mmm-yyyy")</f>
        <v>Nov-2023</v>
      </c>
      <c r="AH148" s="7">
        <f>IF(Data3[[#This Row],[GrossRevenue]]=0, 0,Data3[[#This Row],[GrossProfit]]/Data3[[#This Row],[GrossRevenue]])</f>
        <v>-4.6245336475076469E-2</v>
      </c>
      <c r="AI148" s="5">
        <f t="shared" si="12"/>
        <v>6684.1875</v>
      </c>
    </row>
    <row r="149" spans="1:35" x14ac:dyDescent="0.35">
      <c r="A149" s="4" t="s">
        <v>582</v>
      </c>
      <c r="B149" s="2">
        <v>45188</v>
      </c>
      <c r="C149" s="2" t="str">
        <f>TEXT(Data3[[#This Row],[OrderDate]],"MMM-YYYY")</f>
        <v>Sep-2023</v>
      </c>
      <c r="D149" s="4" t="str">
        <f>"Q"&amp;INT((MONTH(Data3[[#This Row],[OrderDate]])-1)/3)+1&amp;"-"&amp;YEAR(Data3[[#This Row],[OrderDate]])</f>
        <v>Q3-2023</v>
      </c>
      <c r="E149" s="2">
        <v>45207</v>
      </c>
      <c r="F149" t="s">
        <v>45</v>
      </c>
      <c r="G149" t="s">
        <v>60</v>
      </c>
      <c r="H149" s="4" t="s">
        <v>61</v>
      </c>
      <c r="I149" t="s">
        <v>27</v>
      </c>
      <c r="J149" s="4" t="s">
        <v>98</v>
      </c>
      <c r="K149" s="4" t="s">
        <v>29</v>
      </c>
      <c r="L149" t="s">
        <v>30</v>
      </c>
      <c r="M149" s="4" t="s">
        <v>583</v>
      </c>
      <c r="N149" s="3">
        <v>385.32</v>
      </c>
      <c r="O149" s="3">
        <v>606.76</v>
      </c>
      <c r="P149" s="3">
        <v>8.5999999999999993E-2</v>
      </c>
      <c r="Q149" s="3">
        <v>8</v>
      </c>
      <c r="R149" t="s">
        <v>29</v>
      </c>
      <c r="S149" t="s">
        <v>61</v>
      </c>
      <c r="T149" t="s">
        <v>98</v>
      </c>
      <c r="U149">
        <v>606.76</v>
      </c>
      <c r="V149" t="str" cm="1">
        <f t="array" ref="V149">_xlfn.IFS(Data3[[#This Row],[CorrectedUnitPriceCustom]]&lt;=$W$2, "Low",Data3[[#This Row],[CorrectedUnitPriceCustom]]&lt;=$Y$2, "Medium", TRUE, "High")</f>
        <v>Low</v>
      </c>
      <c r="W149">
        <f t="shared" si="9"/>
        <v>628.54</v>
      </c>
      <c r="X149">
        <f t="shared" si="10"/>
        <v>1318.37</v>
      </c>
      <c r="Y149">
        <f t="shared" si="11"/>
        <v>2105.5300000000002</v>
      </c>
      <c r="Z149">
        <v>8.5999999999999993E-2</v>
      </c>
      <c r="AA149" t="s">
        <v>1372</v>
      </c>
      <c r="AB149" s="1">
        <v>45207</v>
      </c>
      <c r="AC149">
        <v>19</v>
      </c>
      <c r="AD149" s="5">
        <f>Data3[[#This Row],[UnitPrice]]*Data3[[#This Row],[Quantity]]*(1-Data3[[#This Row],[DiscountPct]])</f>
        <v>4436.6291200000005</v>
      </c>
      <c r="AE149" s="6">
        <f>Data3[[#This Row],[UnitPrice]]*Data3[[#This Row],[Quantity]]</f>
        <v>4854.08</v>
      </c>
      <c r="AF149" s="6">
        <f>Data3[[#This Row],[GrossRevenue]]-(Data3[[#This Row],[Quantity]]*Data3[[#This Row],[UnitCost]])</f>
        <v>1354.0691200000006</v>
      </c>
      <c r="AG149" s="6" t="str">
        <f>TEXT(Data3[[#This Row],[OrderDate]], "mmm-yyyy")</f>
        <v>Sep-2023</v>
      </c>
      <c r="AH149" s="7">
        <f>IF(Data3[[#This Row],[GrossRevenue]]=0, 0,Data3[[#This Row],[GrossProfit]]/Data3[[#This Row],[GrossRevenue]])</f>
        <v>0.30520223425842735</v>
      </c>
      <c r="AI149" s="5">
        <f t="shared" si="12"/>
        <v>4436.6291200000005</v>
      </c>
    </row>
    <row r="150" spans="1:35" x14ac:dyDescent="0.35">
      <c r="A150" s="4" t="s">
        <v>584</v>
      </c>
      <c r="B150" s="2">
        <v>45793</v>
      </c>
      <c r="C150" s="2" t="str">
        <f>TEXT(Data3[[#This Row],[OrderDate]],"MMM-YYYY")</f>
        <v>May-2025</v>
      </c>
      <c r="D150" s="4" t="str">
        <f>"Q"&amp;INT((MONTH(Data3[[#This Row],[OrderDate]])-1)/3)+1&amp;"-"&amp;YEAR(Data3[[#This Row],[OrderDate]])</f>
        <v>Q2-2025</v>
      </c>
      <c r="E150" s="2">
        <v>45804</v>
      </c>
      <c r="F150" t="s">
        <v>45</v>
      </c>
      <c r="G150" t="s">
        <v>116</v>
      </c>
      <c r="H150" s="4" t="s">
        <v>338</v>
      </c>
      <c r="I150" t="s">
        <v>105</v>
      </c>
      <c r="J150" s="4" t="s">
        <v>28</v>
      </c>
      <c r="K150" s="4" t="s">
        <v>84</v>
      </c>
      <c r="L150" t="s">
        <v>42</v>
      </c>
      <c r="M150" s="4" t="s">
        <v>585</v>
      </c>
      <c r="N150" s="3">
        <v>918.12</v>
      </c>
      <c r="O150" s="3">
        <v>1337.69</v>
      </c>
      <c r="P150" s="3">
        <v>9.5000000000000001E-2</v>
      </c>
      <c r="Q150" s="3">
        <v>8</v>
      </c>
      <c r="R150" t="s">
        <v>84</v>
      </c>
      <c r="S150" t="s">
        <v>338</v>
      </c>
      <c r="T150" t="s">
        <v>28</v>
      </c>
      <c r="U150">
        <v>1337.69</v>
      </c>
      <c r="V150" t="str" cm="1">
        <f t="array" ref="V150">_xlfn.IFS(Data3[[#This Row],[CorrectedUnitPriceCustom]]&lt;=$W$2, "Low",Data3[[#This Row],[CorrectedUnitPriceCustom]]&lt;=$Y$2, "Medium", TRUE, "High")</f>
        <v>Medium</v>
      </c>
      <c r="W150">
        <f t="shared" si="9"/>
        <v>705.60249999999996</v>
      </c>
      <c r="X150">
        <f t="shared" si="10"/>
        <v>1324.2199999999998</v>
      </c>
      <c r="Y150">
        <f t="shared" si="11"/>
        <v>2112.1950000000002</v>
      </c>
      <c r="Z150">
        <v>9.5000000000000001E-2</v>
      </c>
      <c r="AA150" t="s">
        <v>1372</v>
      </c>
      <c r="AB150" s="1">
        <v>45804</v>
      </c>
      <c r="AC150">
        <v>11</v>
      </c>
      <c r="AD150" s="5">
        <f>Data3[[#This Row],[UnitPrice]]*Data3[[#This Row],[Quantity]]*(1-Data3[[#This Row],[DiscountPct]])</f>
        <v>9684.8756000000012</v>
      </c>
      <c r="AE150" s="6">
        <f>Data3[[#This Row],[UnitPrice]]*Data3[[#This Row],[Quantity]]</f>
        <v>10701.52</v>
      </c>
      <c r="AF150" s="6">
        <f>Data3[[#This Row],[GrossRevenue]]-(Data3[[#This Row],[Quantity]]*Data3[[#This Row],[UnitCost]])</f>
        <v>2339.9156000000012</v>
      </c>
      <c r="AG150" s="6" t="str">
        <f>TEXT(Data3[[#This Row],[OrderDate]], "mmm-yyyy")</f>
        <v>May-2025</v>
      </c>
      <c r="AH150" s="7">
        <f>IF(Data3[[#This Row],[GrossRevenue]]=0, 0,Data3[[#This Row],[GrossProfit]]/Data3[[#This Row],[GrossRevenue]])</f>
        <v>0.24160512707050164</v>
      </c>
      <c r="AI150" s="5">
        <f t="shared" si="12"/>
        <v>9684.8756000000012</v>
      </c>
    </row>
    <row r="151" spans="1:35" x14ac:dyDescent="0.35">
      <c r="A151" s="4" t="s">
        <v>588</v>
      </c>
      <c r="B151" s="2">
        <v>45630</v>
      </c>
      <c r="C151" s="2" t="str">
        <f>TEXT(Data3[[#This Row],[OrderDate]],"MMM-YYYY")</f>
        <v>Dec-2024</v>
      </c>
      <c r="D151" s="4" t="str">
        <f>"Q"&amp;INT((MONTH(Data3[[#This Row],[OrderDate]])-1)/3)+1&amp;"-"&amp;YEAR(Data3[[#This Row],[OrderDate]])</f>
        <v>Q4-2024</v>
      </c>
      <c r="E151" s="2">
        <v>45638</v>
      </c>
      <c r="F151" t="s">
        <v>78</v>
      </c>
      <c r="G151" t="s">
        <v>79</v>
      </c>
      <c r="H151" s="4" t="s">
        <v>335</v>
      </c>
      <c r="I151" t="s">
        <v>105</v>
      </c>
      <c r="J151" s="4" t="s">
        <v>40</v>
      </c>
      <c r="K151" s="4" t="s">
        <v>56</v>
      </c>
      <c r="L151" t="s">
        <v>30</v>
      </c>
      <c r="M151" s="4" t="s">
        <v>589</v>
      </c>
      <c r="N151" s="3">
        <v>72.06</v>
      </c>
      <c r="O151" s="3">
        <v>122.74</v>
      </c>
      <c r="P151" s="3">
        <v>0.23799999999999999</v>
      </c>
      <c r="Q151" s="3">
        <v>8</v>
      </c>
      <c r="R151" t="s">
        <v>56</v>
      </c>
      <c r="S151" t="s">
        <v>335</v>
      </c>
      <c r="T151" t="s">
        <v>40</v>
      </c>
      <c r="U151">
        <v>122.74</v>
      </c>
      <c r="V151" t="str" cm="1">
        <f t="array" ref="V151">_xlfn.IFS(Data3[[#This Row],[CorrectedUnitPriceCustom]]&lt;=$W$2, "Low",Data3[[#This Row],[CorrectedUnitPriceCustom]]&lt;=$Y$2, "Medium", TRUE, "High")</f>
        <v>Low</v>
      </c>
      <c r="W151">
        <f t="shared" si="9"/>
        <v>679.91499999999996</v>
      </c>
      <c r="X151">
        <f t="shared" si="10"/>
        <v>1318.37</v>
      </c>
      <c r="Y151">
        <f t="shared" si="11"/>
        <v>2118.86</v>
      </c>
      <c r="Z151">
        <v>0.23799999999999999</v>
      </c>
      <c r="AA151" t="s">
        <v>1372</v>
      </c>
      <c r="AB151" s="1">
        <v>45638</v>
      </c>
      <c r="AC151">
        <v>8</v>
      </c>
      <c r="AD151" s="5">
        <f>Data3[[#This Row],[UnitPrice]]*Data3[[#This Row],[Quantity]]*(1-Data3[[#This Row],[DiscountPct]])</f>
        <v>748.22303999999997</v>
      </c>
      <c r="AE151" s="6">
        <f>Data3[[#This Row],[UnitPrice]]*Data3[[#This Row],[Quantity]]</f>
        <v>981.92</v>
      </c>
      <c r="AF151" s="6">
        <f>Data3[[#This Row],[GrossRevenue]]-(Data3[[#This Row],[Quantity]]*Data3[[#This Row],[UnitCost]])</f>
        <v>171.74303999999995</v>
      </c>
      <c r="AG151" s="6" t="str">
        <f>TEXT(Data3[[#This Row],[OrderDate]], "mmm-yyyy")</f>
        <v>Dec-2024</v>
      </c>
      <c r="AH151" s="7">
        <f>IF(Data3[[#This Row],[GrossRevenue]]=0, 0,Data3[[#This Row],[GrossProfit]]/Data3[[#This Row],[GrossRevenue]])</f>
        <v>0.22953455162246802</v>
      </c>
      <c r="AI151" s="5">
        <f t="shared" si="12"/>
        <v>748.22303999999997</v>
      </c>
    </row>
    <row r="152" spans="1:35" x14ac:dyDescent="0.35">
      <c r="A152" s="4" t="s">
        <v>592</v>
      </c>
      <c r="B152" s="2">
        <v>45357</v>
      </c>
      <c r="C152" s="2" t="str">
        <f>TEXT(Data3[[#This Row],[OrderDate]],"MMM-YYYY")</f>
        <v>Mar-2024</v>
      </c>
      <c r="D152" s="4" t="str">
        <f>"Q"&amp;INT((MONTH(Data3[[#This Row],[OrderDate]])-1)/3)+1&amp;"-"&amp;YEAR(Data3[[#This Row],[OrderDate]])</f>
        <v>Q1-2024</v>
      </c>
      <c r="E152" s="2">
        <v>45377</v>
      </c>
      <c r="F152" t="s">
        <v>16</v>
      </c>
      <c r="G152" t="s">
        <v>25</v>
      </c>
      <c r="H152" s="4" t="s">
        <v>26</v>
      </c>
      <c r="I152" t="s">
        <v>48</v>
      </c>
      <c r="J152" s="4" t="s">
        <v>40</v>
      </c>
      <c r="K152" s="4" t="s">
        <v>34</v>
      </c>
      <c r="L152" t="s">
        <v>42</v>
      </c>
      <c r="M152" s="4" t="s">
        <v>593</v>
      </c>
      <c r="N152" s="3">
        <v>65.64</v>
      </c>
      <c r="O152" s="3">
        <v>151.88</v>
      </c>
      <c r="P152" s="3">
        <v>0.16700000000000001</v>
      </c>
      <c r="Q152" s="3">
        <v>23</v>
      </c>
      <c r="R152" t="s">
        <v>34</v>
      </c>
      <c r="S152" t="s">
        <v>26</v>
      </c>
      <c r="T152" t="s">
        <v>40</v>
      </c>
      <c r="U152">
        <v>151.88</v>
      </c>
      <c r="V152" t="str" cm="1">
        <f t="array" ref="V152">_xlfn.IFS(Data3[[#This Row],[CorrectedUnitPriceCustom]]&lt;=$W$2, "Low",Data3[[#This Row],[CorrectedUnitPriceCustom]]&lt;=$Y$2, "Medium", TRUE, "High")</f>
        <v>Low</v>
      </c>
      <c r="W152">
        <f t="shared" si="9"/>
        <v>734.02499999999998</v>
      </c>
      <c r="X152">
        <f t="shared" si="10"/>
        <v>1324.2199999999998</v>
      </c>
      <c r="Y152">
        <f t="shared" si="11"/>
        <v>2125.5250000000001</v>
      </c>
      <c r="Z152">
        <v>0.16700000000000001</v>
      </c>
      <c r="AA152" t="s">
        <v>1372</v>
      </c>
      <c r="AB152" s="1">
        <v>45377</v>
      </c>
      <c r="AC152">
        <v>20</v>
      </c>
      <c r="AD152" s="5">
        <f>Data3[[#This Row],[UnitPrice]]*Data3[[#This Row],[Quantity]]*(1-Data3[[#This Row],[DiscountPct]])</f>
        <v>2909.8689199999999</v>
      </c>
      <c r="AE152" s="6">
        <f>Data3[[#This Row],[UnitPrice]]*Data3[[#This Row],[Quantity]]</f>
        <v>3493.24</v>
      </c>
      <c r="AF152" s="6">
        <f>Data3[[#This Row],[GrossRevenue]]-(Data3[[#This Row],[Quantity]]*Data3[[#This Row],[UnitCost]])</f>
        <v>1400.1489199999999</v>
      </c>
      <c r="AG152" s="6" t="str">
        <f>TEXT(Data3[[#This Row],[OrderDate]], "mmm-yyyy")</f>
        <v>Mar-2024</v>
      </c>
      <c r="AH152" s="7">
        <f>IF(Data3[[#This Row],[GrossRevenue]]=0, 0,Data3[[#This Row],[GrossProfit]]/Data3[[#This Row],[GrossRevenue]])</f>
        <v>0.48117250587356353</v>
      </c>
      <c r="AI152" s="5">
        <f t="shared" si="12"/>
        <v>2909.8689199999999</v>
      </c>
    </row>
    <row r="153" spans="1:35" x14ac:dyDescent="0.35">
      <c r="A153" s="4" t="s">
        <v>594</v>
      </c>
      <c r="B153" s="2">
        <v>45338</v>
      </c>
      <c r="C153" s="2" t="str">
        <f>TEXT(Data3[[#This Row],[OrderDate]],"MMM-YYYY")</f>
        <v>Feb-2024</v>
      </c>
      <c r="D153" s="4" t="str">
        <f>"Q"&amp;INT((MONTH(Data3[[#This Row],[OrderDate]])-1)/3)+1&amp;"-"&amp;YEAR(Data3[[#This Row],[OrderDate]])</f>
        <v>Q1-2024</v>
      </c>
      <c r="E153" s="2">
        <v>45355</v>
      </c>
      <c r="F153" t="s">
        <v>52</v>
      </c>
      <c r="G153" t="s">
        <v>53</v>
      </c>
      <c r="H153" s="4" t="s">
        <v>144</v>
      </c>
      <c r="I153" t="s">
        <v>39</v>
      </c>
      <c r="J153" s="4" t="s">
        <v>20</v>
      </c>
      <c r="K153" s="4" t="s">
        <v>145</v>
      </c>
      <c r="L153" t="s">
        <v>57</v>
      </c>
      <c r="M153" s="4" t="s">
        <v>595</v>
      </c>
      <c r="N153" s="3">
        <v>1350.98</v>
      </c>
      <c r="O153" s="3">
        <v>2210.4</v>
      </c>
      <c r="P153" s="3">
        <v>0.26300000000000001</v>
      </c>
      <c r="Q153" s="3">
        <v>6</v>
      </c>
      <c r="R153" t="s">
        <v>145</v>
      </c>
      <c r="S153" t="s">
        <v>144</v>
      </c>
      <c r="T153" t="s">
        <v>20</v>
      </c>
      <c r="U153">
        <v>2210.4</v>
      </c>
      <c r="V153" t="str" cm="1">
        <f t="array" ref="V153">_xlfn.IFS(Data3[[#This Row],[CorrectedUnitPriceCustom]]&lt;=$W$2, "Low",Data3[[#This Row],[CorrectedUnitPriceCustom]]&lt;=$Y$2, "Medium", TRUE, "High")</f>
        <v>High</v>
      </c>
      <c r="W153">
        <f t="shared" si="9"/>
        <v>742.23</v>
      </c>
      <c r="X153">
        <f t="shared" si="10"/>
        <v>1330.07</v>
      </c>
      <c r="Y153">
        <f t="shared" si="11"/>
        <v>2132.19</v>
      </c>
      <c r="Z153">
        <v>0.26300000000000001</v>
      </c>
      <c r="AA153" t="s">
        <v>1372</v>
      </c>
      <c r="AB153" s="1">
        <v>45355</v>
      </c>
      <c r="AC153">
        <v>17</v>
      </c>
      <c r="AD153" s="5">
        <f>Data3[[#This Row],[UnitPrice]]*Data3[[#This Row],[Quantity]]*(1-Data3[[#This Row],[DiscountPct]])</f>
        <v>9774.3888000000006</v>
      </c>
      <c r="AE153" s="6">
        <f>Data3[[#This Row],[UnitPrice]]*Data3[[#This Row],[Quantity]]</f>
        <v>13262.400000000001</v>
      </c>
      <c r="AF153" s="6">
        <f>Data3[[#This Row],[GrossRevenue]]-(Data3[[#This Row],[Quantity]]*Data3[[#This Row],[UnitCost]])</f>
        <v>1668.5088000000005</v>
      </c>
      <c r="AG153" s="6" t="str">
        <f>TEXT(Data3[[#This Row],[OrderDate]], "mmm-yyyy")</f>
        <v>Feb-2024</v>
      </c>
      <c r="AH153" s="7">
        <f>IF(Data3[[#This Row],[GrossRevenue]]=0, 0,Data3[[#This Row],[GrossProfit]]/Data3[[#This Row],[GrossRevenue]])</f>
        <v>0.17070211080615091</v>
      </c>
      <c r="AI153" s="5">
        <f t="shared" si="12"/>
        <v>9774.3888000000006</v>
      </c>
    </row>
    <row r="154" spans="1:35" x14ac:dyDescent="0.35">
      <c r="A154" s="4" t="s">
        <v>606</v>
      </c>
      <c r="B154" s="2">
        <v>45366</v>
      </c>
      <c r="C154" s="2" t="str">
        <f>TEXT(Data3[[#This Row],[OrderDate]],"MMM-YYYY")</f>
        <v>Mar-2024</v>
      </c>
      <c r="D154" s="4" t="str">
        <f>"Q"&amp;INT((MONTH(Data3[[#This Row],[OrderDate]])-1)/3)+1&amp;"-"&amp;YEAR(Data3[[#This Row],[OrderDate]])</f>
        <v>Q1-2024</v>
      </c>
      <c r="E154" s="2">
        <v>45391</v>
      </c>
      <c r="F154" t="s">
        <v>52</v>
      </c>
      <c r="G154" t="s">
        <v>53</v>
      </c>
      <c r="H154" s="4" t="s">
        <v>179</v>
      </c>
      <c r="I154" t="s">
        <v>48</v>
      </c>
      <c r="J154" s="4" t="s">
        <v>28</v>
      </c>
      <c r="K154" s="4" t="s">
        <v>84</v>
      </c>
      <c r="L154" t="s">
        <v>64</v>
      </c>
      <c r="M154" s="4" t="s">
        <v>607</v>
      </c>
      <c r="N154" s="3">
        <v>648.64</v>
      </c>
      <c r="O154" s="3">
        <v>815.19</v>
      </c>
      <c r="P154" s="3">
        <v>0.22500000000000001</v>
      </c>
      <c r="Q154" s="3">
        <v>28</v>
      </c>
      <c r="R154" t="s">
        <v>84</v>
      </c>
      <c r="S154" t="s">
        <v>179</v>
      </c>
      <c r="T154" t="s">
        <v>28</v>
      </c>
      <c r="U154">
        <v>815.19</v>
      </c>
      <c r="V154" t="str" cm="1">
        <f t="array" ref="V154">_xlfn.IFS(Data3[[#This Row],[CorrectedUnitPriceCustom]]&lt;=$W$2, "Low",Data3[[#This Row],[CorrectedUnitPriceCustom]]&lt;=$Y$2, "Medium", TRUE, "High")</f>
        <v>Medium</v>
      </c>
      <c r="W154">
        <f t="shared" si="9"/>
        <v>739.495</v>
      </c>
      <c r="X154">
        <f t="shared" si="10"/>
        <v>1324.2199999999998</v>
      </c>
      <c r="Y154">
        <f t="shared" si="11"/>
        <v>2112.1950000000002</v>
      </c>
      <c r="Z154">
        <v>0.22500000000000001</v>
      </c>
      <c r="AA154" t="s">
        <v>1372</v>
      </c>
      <c r="AB154" s="1">
        <v>45391</v>
      </c>
      <c r="AC154">
        <v>25</v>
      </c>
      <c r="AD154" s="5">
        <f>Data3[[#This Row],[UnitPrice]]*Data3[[#This Row],[Quantity]]*(1-Data3[[#This Row],[DiscountPct]])</f>
        <v>17689.623</v>
      </c>
      <c r="AE154" s="6">
        <f>Data3[[#This Row],[UnitPrice]]*Data3[[#This Row],[Quantity]]</f>
        <v>22825.32</v>
      </c>
      <c r="AF154" s="6">
        <f>Data3[[#This Row],[GrossRevenue]]-(Data3[[#This Row],[Quantity]]*Data3[[#This Row],[UnitCost]])</f>
        <v>-472.29699999999866</v>
      </c>
      <c r="AG154" s="6" t="str">
        <f>TEXT(Data3[[#This Row],[OrderDate]], "mmm-yyyy")</f>
        <v>Mar-2024</v>
      </c>
      <c r="AH154" s="7">
        <f>IF(Data3[[#This Row],[GrossRevenue]]=0, 0,Data3[[#This Row],[GrossProfit]]/Data3[[#This Row],[GrossRevenue]])</f>
        <v>-2.6699099240272032E-2</v>
      </c>
      <c r="AI154" s="5">
        <f t="shared" si="12"/>
        <v>17689.623</v>
      </c>
    </row>
    <row r="155" spans="1:35" x14ac:dyDescent="0.35">
      <c r="A155" s="4" t="s">
        <v>608</v>
      </c>
      <c r="B155" s="2">
        <v>45502</v>
      </c>
      <c r="C155" s="2" t="str">
        <f>TEXT(Data3[[#This Row],[OrderDate]],"MMM-YYYY")</f>
        <v>Jul-2024</v>
      </c>
      <c r="D155" s="4" t="str">
        <f>"Q"&amp;INT((MONTH(Data3[[#This Row],[OrderDate]])-1)/3)+1&amp;"-"&amp;YEAR(Data3[[#This Row],[OrderDate]])</f>
        <v>Q3-2024</v>
      </c>
      <c r="E155" s="2">
        <v>45504</v>
      </c>
      <c r="F155" t="s">
        <v>52</v>
      </c>
      <c r="G155" t="s">
        <v>122</v>
      </c>
      <c r="H155" s="4" t="s">
        <v>387</v>
      </c>
      <c r="I155" t="s">
        <v>27</v>
      </c>
      <c r="J155" s="4" t="s">
        <v>40</v>
      </c>
      <c r="K155" s="4" t="s">
        <v>34</v>
      </c>
      <c r="L155" t="s">
        <v>30</v>
      </c>
      <c r="M155" s="4" t="s">
        <v>609</v>
      </c>
      <c r="N155" s="3">
        <v>798.97</v>
      </c>
      <c r="O155" s="3">
        <v>1814.06</v>
      </c>
      <c r="P155" s="3">
        <v>0.122</v>
      </c>
      <c r="Q155" s="3">
        <v>16</v>
      </c>
      <c r="R155" t="s">
        <v>34</v>
      </c>
      <c r="S155" t="s">
        <v>387</v>
      </c>
      <c r="T155" t="s">
        <v>40</v>
      </c>
      <c r="U155">
        <v>1814.06</v>
      </c>
      <c r="V155" t="str" cm="1">
        <f t="array" ref="V155">_xlfn.IFS(Data3[[#This Row],[CorrectedUnitPriceCustom]]&lt;=$W$2, "Low",Data3[[#This Row],[CorrectedUnitPriceCustom]]&lt;=$Y$2, "Medium", TRUE, "High")</f>
        <v>Medium</v>
      </c>
      <c r="W155">
        <f t="shared" si="9"/>
        <v>736.76</v>
      </c>
      <c r="X155">
        <f t="shared" si="10"/>
        <v>1330.07</v>
      </c>
      <c r="Y155">
        <f t="shared" si="11"/>
        <v>2118.86</v>
      </c>
      <c r="Z155">
        <v>0.122</v>
      </c>
      <c r="AA155" t="s">
        <v>1372</v>
      </c>
      <c r="AB155" s="1">
        <v>45504</v>
      </c>
      <c r="AC155">
        <v>2</v>
      </c>
      <c r="AD155" s="5">
        <f>Data3[[#This Row],[UnitPrice]]*Data3[[#This Row],[Quantity]]*(1-Data3[[#This Row],[DiscountPct]])</f>
        <v>25483.91488</v>
      </c>
      <c r="AE155" s="6">
        <f>Data3[[#This Row],[UnitPrice]]*Data3[[#This Row],[Quantity]]</f>
        <v>29024.959999999999</v>
      </c>
      <c r="AF155" s="6">
        <f>Data3[[#This Row],[GrossRevenue]]-(Data3[[#This Row],[Quantity]]*Data3[[#This Row],[UnitCost]])</f>
        <v>12700.39488</v>
      </c>
      <c r="AG155" s="6" t="str">
        <f>TEXT(Data3[[#This Row],[OrderDate]], "mmm-yyyy")</f>
        <v>Jul-2024</v>
      </c>
      <c r="AH155" s="7">
        <f>IF(Data3[[#This Row],[GrossRevenue]]=0, 0,Data3[[#This Row],[GrossProfit]]/Data3[[#This Row],[GrossRevenue]])</f>
        <v>0.49836906691159061</v>
      </c>
      <c r="AI155" s="5">
        <f t="shared" si="12"/>
        <v>25483.91488</v>
      </c>
    </row>
    <row r="156" spans="1:35" x14ac:dyDescent="0.35">
      <c r="A156" s="4" t="s">
        <v>626</v>
      </c>
      <c r="B156" s="2">
        <v>45142</v>
      </c>
      <c r="C156" s="2" t="str">
        <f>TEXT(Data3[[#This Row],[OrderDate]],"MMM-YYYY")</f>
        <v>Aug-2023</v>
      </c>
      <c r="D156" s="4" t="str">
        <f>"Q"&amp;INT((MONTH(Data3[[#This Row],[OrderDate]])-1)/3)+1&amp;"-"&amp;YEAR(Data3[[#This Row],[OrderDate]])</f>
        <v>Q3-2023</v>
      </c>
      <c r="E156" s="2">
        <v>45162</v>
      </c>
      <c r="F156" t="s">
        <v>52</v>
      </c>
      <c r="G156" t="s">
        <v>73</v>
      </c>
      <c r="H156" s="4" t="s">
        <v>87</v>
      </c>
      <c r="I156" t="s">
        <v>39</v>
      </c>
      <c r="J156" s="4" t="s">
        <v>98</v>
      </c>
      <c r="L156" t="s">
        <v>35</v>
      </c>
      <c r="M156" s="4" t="s">
        <v>627</v>
      </c>
      <c r="N156" s="3">
        <v>582.88</v>
      </c>
      <c r="O156" s="3">
        <v>1044.1400000000001</v>
      </c>
      <c r="P156" s="3">
        <v>0.216</v>
      </c>
      <c r="Q156" s="3">
        <v>10</v>
      </c>
      <c r="R156" t="s">
        <v>1374</v>
      </c>
      <c r="S156" t="s">
        <v>87</v>
      </c>
      <c r="T156" t="s">
        <v>98</v>
      </c>
      <c r="U156">
        <v>1044.1400000000001</v>
      </c>
      <c r="V156" t="str" cm="1">
        <f t="array" ref="V156">_xlfn.IFS(Data3[[#This Row],[CorrectedUnitPriceCustom]]&lt;=$W$2, "Low",Data3[[#This Row],[CorrectedUnitPriceCustom]]&lt;=$Y$2, "Medium", TRUE, "High")</f>
        <v>Medium</v>
      </c>
      <c r="W156">
        <f t="shared" si="9"/>
        <v>734.02499999999998</v>
      </c>
      <c r="X156">
        <f t="shared" si="10"/>
        <v>1324.2199999999998</v>
      </c>
      <c r="Y156">
        <f t="shared" si="11"/>
        <v>2125.5250000000001</v>
      </c>
      <c r="Z156">
        <v>0.216</v>
      </c>
      <c r="AA156" t="s">
        <v>1372</v>
      </c>
      <c r="AB156" s="1">
        <v>45162</v>
      </c>
      <c r="AC156">
        <v>20</v>
      </c>
      <c r="AD156" s="5">
        <f>Data3[[#This Row],[UnitPrice]]*Data3[[#This Row],[Quantity]]*(1-Data3[[#This Row],[DiscountPct]])</f>
        <v>8186.057600000001</v>
      </c>
      <c r="AE156" s="6">
        <f>Data3[[#This Row],[UnitPrice]]*Data3[[#This Row],[Quantity]]</f>
        <v>10441.400000000001</v>
      </c>
      <c r="AF156" s="6">
        <f>Data3[[#This Row],[GrossRevenue]]-(Data3[[#This Row],[Quantity]]*Data3[[#This Row],[UnitCost]])</f>
        <v>2357.2576000000008</v>
      </c>
      <c r="AG156" s="6" t="str">
        <f>TEXT(Data3[[#This Row],[OrderDate]], "mmm-yyyy")</f>
        <v>Aug-2023</v>
      </c>
      <c r="AH156" s="7">
        <f>IF(Data3[[#This Row],[GrossRevenue]]=0, 0,Data3[[#This Row],[GrossProfit]]/Data3[[#This Row],[GrossRevenue]])</f>
        <v>0.28796005539956138</v>
      </c>
      <c r="AI156" s="5">
        <f t="shared" si="12"/>
        <v>8186.057600000001</v>
      </c>
    </row>
    <row r="157" spans="1:35" x14ac:dyDescent="0.35">
      <c r="A157" s="4" t="s">
        <v>644</v>
      </c>
      <c r="B157" s="2">
        <v>45707</v>
      </c>
      <c r="C157" s="2" t="str">
        <f>TEXT(Data3[[#This Row],[OrderDate]],"MMM-YYYY")</f>
        <v>Feb-2025</v>
      </c>
      <c r="D157" s="4" t="str">
        <f>"Q"&amp;INT((MONTH(Data3[[#This Row],[OrderDate]])-1)/3)+1&amp;"-"&amp;YEAR(Data3[[#This Row],[OrderDate]])</f>
        <v>Q1-2025</v>
      </c>
      <c r="E157" s="2">
        <v>45725</v>
      </c>
      <c r="F157" t="s">
        <v>45</v>
      </c>
      <c r="G157" t="s">
        <v>60</v>
      </c>
      <c r="H157" s="4" t="s">
        <v>141</v>
      </c>
      <c r="I157" t="s">
        <v>62</v>
      </c>
      <c r="J157" s="4" t="s">
        <v>98</v>
      </c>
      <c r="K157" s="4" t="s">
        <v>68</v>
      </c>
      <c r="L157" t="s">
        <v>64</v>
      </c>
      <c r="M157" s="4" t="s">
        <v>645</v>
      </c>
      <c r="N157" s="3">
        <v>325.87</v>
      </c>
      <c r="O157" s="3">
        <v>538.79</v>
      </c>
      <c r="P157" s="3">
        <v>0.17399999999999999</v>
      </c>
      <c r="Q157" s="3">
        <v>16</v>
      </c>
      <c r="R157" t="s">
        <v>68</v>
      </c>
      <c r="S157" t="s">
        <v>141</v>
      </c>
      <c r="T157" t="s">
        <v>98</v>
      </c>
      <c r="U157">
        <v>538.79</v>
      </c>
      <c r="V157" t="str" cm="1">
        <f t="array" ref="V157">_xlfn.IFS(Data3[[#This Row],[CorrectedUnitPriceCustom]]&lt;=$W$2, "Low",Data3[[#This Row],[CorrectedUnitPriceCustom]]&lt;=$Y$2, "Medium", TRUE, "High")</f>
        <v>Low</v>
      </c>
      <c r="W157">
        <f t="shared" si="9"/>
        <v>731.29</v>
      </c>
      <c r="X157">
        <f t="shared" si="10"/>
        <v>1330.07</v>
      </c>
      <c r="Y157">
        <f t="shared" si="11"/>
        <v>2132.19</v>
      </c>
      <c r="Z157">
        <v>0.17399999999999999</v>
      </c>
      <c r="AA157" t="s">
        <v>1372</v>
      </c>
      <c r="AB157" s="1">
        <v>45725</v>
      </c>
      <c r="AC157">
        <v>18</v>
      </c>
      <c r="AD157" s="5">
        <f>Data3[[#This Row],[UnitPrice]]*Data3[[#This Row],[Quantity]]*(1-Data3[[#This Row],[DiscountPct]])</f>
        <v>7120.6486400000003</v>
      </c>
      <c r="AE157" s="6">
        <f>Data3[[#This Row],[UnitPrice]]*Data3[[#This Row],[Quantity]]</f>
        <v>8620.64</v>
      </c>
      <c r="AF157" s="6">
        <f>Data3[[#This Row],[GrossRevenue]]-(Data3[[#This Row],[Quantity]]*Data3[[#This Row],[UnitCost]])</f>
        <v>1906.7286400000003</v>
      </c>
      <c r="AG157" s="6" t="str">
        <f>TEXT(Data3[[#This Row],[OrderDate]], "mmm-yyyy")</f>
        <v>Feb-2025</v>
      </c>
      <c r="AH157" s="7">
        <f>IF(Data3[[#This Row],[GrossRevenue]]=0, 0,Data3[[#This Row],[GrossProfit]]/Data3[[#This Row],[GrossRevenue]])</f>
        <v>0.26777457172778013</v>
      </c>
      <c r="AI157" s="5">
        <f t="shared" si="12"/>
        <v>7120.6486400000003</v>
      </c>
    </row>
    <row r="158" spans="1:35" x14ac:dyDescent="0.35">
      <c r="A158" s="4" t="s">
        <v>648</v>
      </c>
      <c r="B158" s="2">
        <v>45131</v>
      </c>
      <c r="C158" s="2" t="str">
        <f>TEXT(Data3[[#This Row],[OrderDate]],"MMM-YYYY")</f>
        <v>Jul-2023</v>
      </c>
      <c r="D158" s="4" t="str">
        <f>"Q"&amp;INT((MONTH(Data3[[#This Row],[OrderDate]])-1)/3)+1&amp;"-"&amp;YEAR(Data3[[#This Row],[OrderDate]])</f>
        <v>Q3-2023</v>
      </c>
      <c r="E158" s="2">
        <v>45151</v>
      </c>
      <c r="F158" t="s">
        <v>52</v>
      </c>
      <c r="G158" t="s">
        <v>53</v>
      </c>
      <c r="H158" s="4" t="s">
        <v>144</v>
      </c>
      <c r="I158" t="s">
        <v>27</v>
      </c>
      <c r="J158" s="4" t="s">
        <v>98</v>
      </c>
      <c r="K158" s="4" t="s">
        <v>21</v>
      </c>
      <c r="L158" t="s">
        <v>64</v>
      </c>
      <c r="M158" s="4" t="s">
        <v>649</v>
      </c>
      <c r="N158" s="3">
        <v>1082.3800000000001</v>
      </c>
      <c r="O158" s="3">
        <v>1766.55</v>
      </c>
      <c r="P158" s="3">
        <v>0.16400000000000001</v>
      </c>
      <c r="Q158" s="3">
        <v>20</v>
      </c>
      <c r="R158" t="s">
        <v>21</v>
      </c>
      <c r="S158" t="s">
        <v>144</v>
      </c>
      <c r="T158" t="s">
        <v>98</v>
      </c>
      <c r="U158">
        <v>1766.55</v>
      </c>
      <c r="V158" t="str" cm="1">
        <f t="array" ref="V158">_xlfn.IFS(Data3[[#This Row],[CorrectedUnitPriceCustom]]&lt;=$W$2, "Low",Data3[[#This Row],[CorrectedUnitPriceCustom]]&lt;=$Y$2, "Medium", TRUE, "High")</f>
        <v>Medium</v>
      </c>
      <c r="W158">
        <f t="shared" si="9"/>
        <v>739.495</v>
      </c>
      <c r="X158">
        <f t="shared" si="10"/>
        <v>1377.405</v>
      </c>
      <c r="Y158">
        <f t="shared" si="11"/>
        <v>2133.4450000000002</v>
      </c>
      <c r="Z158">
        <v>0.16400000000000001</v>
      </c>
      <c r="AA158" t="s">
        <v>1372</v>
      </c>
      <c r="AB158" s="1">
        <v>45151</v>
      </c>
      <c r="AC158">
        <v>20</v>
      </c>
      <c r="AD158" s="5">
        <f>Data3[[#This Row],[UnitPrice]]*Data3[[#This Row],[Quantity]]*(1-Data3[[#This Row],[DiscountPct]])</f>
        <v>29536.716</v>
      </c>
      <c r="AE158" s="6">
        <f>Data3[[#This Row],[UnitPrice]]*Data3[[#This Row],[Quantity]]</f>
        <v>35331</v>
      </c>
      <c r="AF158" s="6">
        <f>Data3[[#This Row],[GrossRevenue]]-(Data3[[#This Row],[Quantity]]*Data3[[#This Row],[UnitCost]])</f>
        <v>7889.1159999999982</v>
      </c>
      <c r="AG158" s="6" t="str">
        <f>TEXT(Data3[[#This Row],[OrderDate]], "mmm-yyyy")</f>
        <v>Jul-2023</v>
      </c>
      <c r="AH158" s="7">
        <f>IF(Data3[[#This Row],[GrossRevenue]]=0, 0,Data3[[#This Row],[GrossProfit]]/Data3[[#This Row],[GrossRevenue]])</f>
        <v>0.26709523157550752</v>
      </c>
      <c r="AI158" s="5">
        <f t="shared" si="12"/>
        <v>29536.716</v>
      </c>
    </row>
    <row r="159" spans="1:35" x14ac:dyDescent="0.35">
      <c r="A159" s="4" t="s">
        <v>650</v>
      </c>
      <c r="B159" s="2">
        <v>45367</v>
      </c>
      <c r="C159" s="2" t="str">
        <f>TEXT(Data3[[#This Row],[OrderDate]],"MMM-YYYY")</f>
        <v>Mar-2024</v>
      </c>
      <c r="D159" s="4" t="str">
        <f>"Q"&amp;INT((MONTH(Data3[[#This Row],[OrderDate]])-1)/3)+1&amp;"-"&amp;YEAR(Data3[[#This Row],[OrderDate]])</f>
        <v>Q1-2024</v>
      </c>
      <c r="E159" s="2">
        <v>45395</v>
      </c>
      <c r="F159" t="s">
        <v>78</v>
      </c>
      <c r="G159" t="s">
        <v>90</v>
      </c>
      <c r="H159" s="4" t="s">
        <v>217</v>
      </c>
      <c r="I159" t="s">
        <v>62</v>
      </c>
      <c r="J159" s="4" t="s">
        <v>28</v>
      </c>
      <c r="K159" s="4" t="s">
        <v>95</v>
      </c>
      <c r="L159" t="s">
        <v>30</v>
      </c>
      <c r="M159" s="4" t="s">
        <v>651</v>
      </c>
      <c r="N159" s="3">
        <v>287.61</v>
      </c>
      <c r="O159" s="3">
        <v>628.54</v>
      </c>
      <c r="P159" s="3">
        <v>0.13500000000000001</v>
      </c>
      <c r="Q159" s="3">
        <v>21</v>
      </c>
      <c r="R159" t="s">
        <v>95</v>
      </c>
      <c r="S159" t="s">
        <v>217</v>
      </c>
      <c r="T159" t="s">
        <v>28</v>
      </c>
      <c r="U159">
        <v>628.54</v>
      </c>
      <c r="V159" t="str" cm="1">
        <f t="array" ref="V159">_xlfn.IFS(Data3[[#This Row],[CorrectedUnitPriceCustom]]&lt;=$W$2, "Low",Data3[[#This Row],[CorrectedUnitPriceCustom]]&lt;=$Y$2, "Medium", TRUE, "High")</f>
        <v>Medium</v>
      </c>
      <c r="W159">
        <f t="shared" si="9"/>
        <v>736.76</v>
      </c>
      <c r="X159">
        <f t="shared" si="10"/>
        <v>1330.07</v>
      </c>
      <c r="Y159">
        <f t="shared" si="11"/>
        <v>2134.6999999999998</v>
      </c>
      <c r="Z159">
        <v>0.13500000000000001</v>
      </c>
      <c r="AA159" t="s">
        <v>1372</v>
      </c>
      <c r="AB159" s="1">
        <v>45395</v>
      </c>
      <c r="AC159">
        <v>28</v>
      </c>
      <c r="AD159" s="5">
        <f>Data3[[#This Row],[UnitPrice]]*Data3[[#This Row],[Quantity]]*(1-Data3[[#This Row],[DiscountPct]])</f>
        <v>11417.429099999999</v>
      </c>
      <c r="AE159" s="6">
        <f>Data3[[#This Row],[UnitPrice]]*Data3[[#This Row],[Quantity]]</f>
        <v>13199.34</v>
      </c>
      <c r="AF159" s="6">
        <f>Data3[[#This Row],[GrossRevenue]]-(Data3[[#This Row],[Quantity]]*Data3[[#This Row],[UnitCost]])</f>
        <v>5377.619099999999</v>
      </c>
      <c r="AG159" s="6" t="str">
        <f>TEXT(Data3[[#This Row],[OrderDate]], "mmm-yyyy")</f>
        <v>Mar-2024</v>
      </c>
      <c r="AH159" s="7">
        <f>IF(Data3[[#This Row],[GrossRevenue]]=0, 0,Data3[[#This Row],[GrossProfit]]/Data3[[#This Row],[GrossRevenue]])</f>
        <v>0.47100087531964613</v>
      </c>
      <c r="AI159" s="5">
        <f t="shared" si="12"/>
        <v>11417.429099999999</v>
      </c>
    </row>
    <row r="160" spans="1:35" x14ac:dyDescent="0.35">
      <c r="A160" s="4" t="s">
        <v>654</v>
      </c>
      <c r="B160" s="2">
        <v>45378</v>
      </c>
      <c r="C160" s="2" t="str">
        <f>TEXT(Data3[[#This Row],[OrderDate]],"MMM-YYYY")</f>
        <v>Mar-2024</v>
      </c>
      <c r="D160" s="4" t="str">
        <f>"Q"&amp;INT((MONTH(Data3[[#This Row],[OrderDate]])-1)/3)+1&amp;"-"&amp;YEAR(Data3[[#This Row],[OrderDate]])</f>
        <v>Q1-2024</v>
      </c>
      <c r="E160" s="2">
        <v>45393</v>
      </c>
      <c r="F160" t="s">
        <v>52</v>
      </c>
      <c r="G160" t="s">
        <v>122</v>
      </c>
      <c r="H160" s="4" t="s">
        <v>167</v>
      </c>
      <c r="I160" t="s">
        <v>62</v>
      </c>
      <c r="J160" s="4" t="s">
        <v>98</v>
      </c>
      <c r="K160" s="4" t="s">
        <v>68</v>
      </c>
      <c r="L160" t="s">
        <v>35</v>
      </c>
      <c r="M160" s="4" t="s">
        <v>655</v>
      </c>
      <c r="N160" s="3">
        <v>1338.35</v>
      </c>
      <c r="O160" s="3">
        <v>2247.14</v>
      </c>
      <c r="P160" s="3">
        <v>0.115</v>
      </c>
      <c r="Q160" s="3">
        <v>40</v>
      </c>
      <c r="R160" t="s">
        <v>68</v>
      </c>
      <c r="S160" t="s">
        <v>167</v>
      </c>
      <c r="T160" t="s">
        <v>98</v>
      </c>
      <c r="U160">
        <v>2247.14</v>
      </c>
      <c r="V160" t="str" cm="1">
        <f t="array" ref="V160">_xlfn.IFS(Data3[[#This Row],[CorrectedUnitPriceCustom]]&lt;=$W$2, "Low",Data3[[#This Row],[CorrectedUnitPriceCustom]]&lt;=$Y$2, "Medium", TRUE, "High")</f>
        <v>High</v>
      </c>
      <c r="W160">
        <f t="shared" si="9"/>
        <v>749.45249999999999</v>
      </c>
      <c r="X160">
        <f t="shared" si="10"/>
        <v>1377.405</v>
      </c>
      <c r="Y160">
        <f t="shared" si="11"/>
        <v>2135.9549999999999</v>
      </c>
      <c r="Z160">
        <v>0.115</v>
      </c>
      <c r="AA160" t="s">
        <v>1372</v>
      </c>
      <c r="AB160" s="1">
        <v>45393</v>
      </c>
      <c r="AC160">
        <v>15</v>
      </c>
      <c r="AD160" s="5">
        <f>Data3[[#This Row],[UnitPrice]]*Data3[[#This Row],[Quantity]]*(1-Data3[[#This Row],[DiscountPct]])</f>
        <v>79548.755999999994</v>
      </c>
      <c r="AE160" s="6">
        <f>Data3[[#This Row],[UnitPrice]]*Data3[[#This Row],[Quantity]]</f>
        <v>89885.599999999991</v>
      </c>
      <c r="AF160" s="6">
        <f>Data3[[#This Row],[GrossRevenue]]-(Data3[[#This Row],[Quantity]]*Data3[[#This Row],[UnitCost]])</f>
        <v>26014.755999999994</v>
      </c>
      <c r="AG160" s="6" t="str">
        <f>TEXT(Data3[[#This Row],[OrderDate]], "mmm-yyyy")</f>
        <v>Mar-2024</v>
      </c>
      <c r="AH160" s="7">
        <f>IF(Data3[[#This Row],[GrossRevenue]]=0, 0,Data3[[#This Row],[GrossProfit]]/Data3[[#This Row],[GrossRevenue]])</f>
        <v>0.32702907384246205</v>
      </c>
      <c r="AI160" s="5">
        <f t="shared" si="12"/>
        <v>79548.755999999994</v>
      </c>
    </row>
    <row r="161" spans="1:35" x14ac:dyDescent="0.35">
      <c r="A161" s="4" t="s">
        <v>660</v>
      </c>
      <c r="B161" s="2">
        <v>45229</v>
      </c>
      <c r="C161" s="2" t="str">
        <f>TEXT(Data3[[#This Row],[OrderDate]],"MMM-YYYY")</f>
        <v>Oct-2023</v>
      </c>
      <c r="D161" s="4" t="str">
        <f>"Q"&amp;INT((MONTH(Data3[[#This Row],[OrderDate]])-1)/3)+1&amp;"-"&amp;YEAR(Data3[[#This Row],[OrderDate]])</f>
        <v>Q4-2023</v>
      </c>
      <c r="E161" s="2">
        <v>45244</v>
      </c>
      <c r="F161" t="s">
        <v>45</v>
      </c>
      <c r="G161" t="s">
        <v>60</v>
      </c>
      <c r="H161" s="4" t="s">
        <v>61</v>
      </c>
      <c r="I161" t="s">
        <v>19</v>
      </c>
      <c r="J161" s="4" t="s">
        <v>28</v>
      </c>
      <c r="K161" s="4" t="s">
        <v>84</v>
      </c>
      <c r="L161" t="s">
        <v>57</v>
      </c>
      <c r="M161" s="4" t="s">
        <v>661</v>
      </c>
      <c r="N161" s="3">
        <v>953.46</v>
      </c>
      <c r="O161" s="3">
        <v>2066.75</v>
      </c>
      <c r="P161" s="3">
        <v>0.13800000000000001</v>
      </c>
      <c r="Q161" s="3">
        <v>5</v>
      </c>
      <c r="R161" t="s">
        <v>84</v>
      </c>
      <c r="S161" t="s">
        <v>61</v>
      </c>
      <c r="T161" t="s">
        <v>28</v>
      </c>
      <c r="U161">
        <v>2066.75</v>
      </c>
      <c r="V161" t="str" cm="1">
        <f t="array" ref="V161">_xlfn.IFS(Data3[[#This Row],[CorrectedUnitPriceCustom]]&lt;=$W$2, "Low",Data3[[#This Row],[CorrectedUnitPriceCustom]]&lt;=$Y$2, "Medium", TRUE, "High")</f>
        <v>High</v>
      </c>
      <c r="W161">
        <f t="shared" si="9"/>
        <v>742.23</v>
      </c>
      <c r="X161">
        <f t="shared" si="10"/>
        <v>1330.07</v>
      </c>
      <c r="Y161">
        <f t="shared" si="11"/>
        <v>2132.19</v>
      </c>
      <c r="Z161">
        <v>0.13800000000000001</v>
      </c>
      <c r="AA161" t="s">
        <v>1372</v>
      </c>
      <c r="AB161" s="1">
        <v>45244</v>
      </c>
      <c r="AC161">
        <v>15</v>
      </c>
      <c r="AD161" s="5">
        <f>Data3[[#This Row],[UnitPrice]]*Data3[[#This Row],[Quantity]]*(1-Data3[[#This Row],[DiscountPct]])</f>
        <v>8907.6924999999992</v>
      </c>
      <c r="AE161" s="6">
        <f>Data3[[#This Row],[UnitPrice]]*Data3[[#This Row],[Quantity]]</f>
        <v>10333.75</v>
      </c>
      <c r="AF161" s="6">
        <f>Data3[[#This Row],[GrossRevenue]]-(Data3[[#This Row],[Quantity]]*Data3[[#This Row],[UnitCost]])</f>
        <v>4140.392499999999</v>
      </c>
      <c r="AG161" s="6" t="str">
        <f>TEXT(Data3[[#This Row],[OrderDate]], "mmm-yyyy")</f>
        <v>Oct-2023</v>
      </c>
      <c r="AH161" s="7">
        <f>IF(Data3[[#This Row],[GrossRevenue]]=0, 0,Data3[[#This Row],[GrossProfit]]/Data3[[#This Row],[GrossRevenue]])</f>
        <v>0.46481089238318446</v>
      </c>
      <c r="AI161" s="5">
        <f t="shared" si="12"/>
        <v>8907.6924999999992</v>
      </c>
    </row>
    <row r="162" spans="1:35" x14ac:dyDescent="0.35">
      <c r="A162" s="4" t="s">
        <v>664</v>
      </c>
      <c r="B162" s="2">
        <v>45730</v>
      </c>
      <c r="C162" s="2" t="str">
        <f>TEXT(Data3[[#This Row],[OrderDate]],"MMM-YYYY")</f>
        <v>Mar-2025</v>
      </c>
      <c r="D162" s="4" t="str">
        <f>"Q"&amp;INT((MONTH(Data3[[#This Row],[OrderDate]])-1)/3)+1&amp;"-"&amp;YEAR(Data3[[#This Row],[OrderDate]])</f>
        <v>Q1-2025</v>
      </c>
      <c r="E162" s="2">
        <v>45745</v>
      </c>
      <c r="F162" t="s">
        <v>45</v>
      </c>
      <c r="G162" t="s">
        <v>46</v>
      </c>
      <c r="H162" s="4" t="s">
        <v>214</v>
      </c>
      <c r="I162" t="s">
        <v>39</v>
      </c>
      <c r="J162" s="4" t="s">
        <v>98</v>
      </c>
      <c r="K162" s="4" t="s">
        <v>92</v>
      </c>
      <c r="L162" t="s">
        <v>35</v>
      </c>
      <c r="M162" s="4" t="s">
        <v>665</v>
      </c>
      <c r="N162" s="3">
        <v>1106.96</v>
      </c>
      <c r="O162" s="3">
        <v>2726.62</v>
      </c>
      <c r="P162" s="3">
        <v>0.317</v>
      </c>
      <c r="Q162" s="3">
        <v>7</v>
      </c>
      <c r="R162" t="s">
        <v>92</v>
      </c>
      <c r="S162" t="s">
        <v>214</v>
      </c>
      <c r="T162" t="s">
        <v>98</v>
      </c>
      <c r="U162">
        <v>2726.62</v>
      </c>
      <c r="V162" t="str" cm="1">
        <f t="array" ref="V162">_xlfn.IFS(Data3[[#This Row],[CorrectedUnitPriceCustom]]&lt;=$W$2, "Low",Data3[[#This Row],[CorrectedUnitPriceCustom]]&lt;=$Y$2, "Medium", TRUE, "High")</f>
        <v>High</v>
      </c>
      <c r="W162">
        <f t="shared" si="9"/>
        <v>739.495</v>
      </c>
      <c r="X162">
        <f t="shared" si="10"/>
        <v>1324.2199999999998</v>
      </c>
      <c r="Y162">
        <f t="shared" si="11"/>
        <v>2133.4450000000002</v>
      </c>
      <c r="Z162">
        <v>0.3</v>
      </c>
      <c r="AA162" t="s">
        <v>1373</v>
      </c>
      <c r="AB162" s="1">
        <v>45745</v>
      </c>
      <c r="AC162">
        <v>15</v>
      </c>
      <c r="AD162" s="5">
        <f>Data3[[#This Row],[UnitPrice]]*Data3[[#This Row],[Quantity]]*(1-Data3[[#This Row],[DiscountPct]])</f>
        <v>13035.970220000001</v>
      </c>
      <c r="AE162" s="6">
        <f>Data3[[#This Row],[UnitPrice]]*Data3[[#This Row],[Quantity]]</f>
        <v>19086.34</v>
      </c>
      <c r="AF162" s="6">
        <f>Data3[[#This Row],[GrossRevenue]]-(Data3[[#This Row],[Quantity]]*Data3[[#This Row],[UnitCost]])</f>
        <v>5287.2502200000008</v>
      </c>
      <c r="AG162" s="6" t="str">
        <f>TEXT(Data3[[#This Row],[OrderDate]], "mmm-yyyy")</f>
        <v>Mar-2025</v>
      </c>
      <c r="AH162" s="7">
        <f>IF(Data3[[#This Row],[GrossRevenue]]=0, 0,Data3[[#This Row],[GrossProfit]]/Data3[[#This Row],[GrossRevenue]])</f>
        <v>0.40558931408789306</v>
      </c>
      <c r="AI162" s="5">
        <f t="shared" si="12"/>
        <v>13035.970220000001</v>
      </c>
    </row>
    <row r="163" spans="1:35" x14ac:dyDescent="0.35">
      <c r="A163" s="4" t="s">
        <v>684</v>
      </c>
      <c r="B163" s="2">
        <v>45746</v>
      </c>
      <c r="C163" s="2" t="str">
        <f>TEXT(Data3[[#This Row],[OrderDate]],"MMM-YYYY")</f>
        <v>Mar-2025</v>
      </c>
      <c r="D163" s="4" t="str">
        <f>"Q"&amp;INT((MONTH(Data3[[#This Row],[OrderDate]])-1)/3)+1&amp;"-"&amp;YEAR(Data3[[#This Row],[OrderDate]])</f>
        <v>Q1-2025</v>
      </c>
      <c r="E163" s="2">
        <v>45754</v>
      </c>
      <c r="F163" t="s">
        <v>52</v>
      </c>
      <c r="G163" t="s">
        <v>73</v>
      </c>
      <c r="H163" s="4" t="s">
        <v>74</v>
      </c>
      <c r="I163" t="s">
        <v>39</v>
      </c>
      <c r="J163" s="4" t="s">
        <v>98</v>
      </c>
      <c r="K163" s="4" t="s">
        <v>49</v>
      </c>
      <c r="L163" t="s">
        <v>30</v>
      </c>
      <c r="M163" s="4" t="s">
        <v>685</v>
      </c>
      <c r="N163" s="3">
        <v>71.62</v>
      </c>
      <c r="O163" s="3">
        <v>118.37</v>
      </c>
      <c r="P163" s="3">
        <v>0.156</v>
      </c>
      <c r="Q163" s="3">
        <v>11</v>
      </c>
      <c r="R163" t="s">
        <v>49</v>
      </c>
      <c r="S163" t="s">
        <v>74</v>
      </c>
      <c r="T163" t="s">
        <v>98</v>
      </c>
      <c r="U163">
        <v>118.37</v>
      </c>
      <c r="V163" t="str" cm="1">
        <f t="array" ref="V163">_xlfn.IFS(Data3[[#This Row],[CorrectedUnitPriceCustom]]&lt;=$W$2, "Low",Data3[[#This Row],[CorrectedUnitPriceCustom]]&lt;=$Y$2, "Medium", TRUE, "High")</f>
        <v>Low</v>
      </c>
      <c r="W163">
        <f t="shared" si="9"/>
        <v>736.76</v>
      </c>
      <c r="X163">
        <f t="shared" si="10"/>
        <v>1318.37</v>
      </c>
      <c r="Y163">
        <f t="shared" si="11"/>
        <v>2118.86</v>
      </c>
      <c r="Z163">
        <v>0.156</v>
      </c>
      <c r="AA163" t="s">
        <v>1372</v>
      </c>
      <c r="AB163" s="1">
        <v>45754</v>
      </c>
      <c r="AC163">
        <v>8</v>
      </c>
      <c r="AD163" s="5">
        <f>Data3[[#This Row],[UnitPrice]]*Data3[[#This Row],[Quantity]]*(1-Data3[[#This Row],[DiscountPct]])</f>
        <v>1098.9470800000001</v>
      </c>
      <c r="AE163" s="6">
        <f>Data3[[#This Row],[UnitPrice]]*Data3[[#This Row],[Quantity]]</f>
        <v>1302.0700000000002</v>
      </c>
      <c r="AF163" s="6">
        <f>Data3[[#This Row],[GrossRevenue]]-(Data3[[#This Row],[Quantity]]*Data3[[#This Row],[UnitCost]])</f>
        <v>311.12708000000009</v>
      </c>
      <c r="AG163" s="6" t="str">
        <f>TEXT(Data3[[#This Row],[OrderDate]], "mmm-yyyy")</f>
        <v>Mar-2025</v>
      </c>
      <c r="AH163" s="7">
        <f>IF(Data3[[#This Row],[GrossRevenue]]=0, 0,Data3[[#This Row],[GrossProfit]]/Data3[[#This Row],[GrossRevenue]])</f>
        <v>0.28311379652603474</v>
      </c>
      <c r="AI163" s="5">
        <f t="shared" si="12"/>
        <v>1098.9470800000001</v>
      </c>
    </row>
    <row r="164" spans="1:35" x14ac:dyDescent="0.35">
      <c r="A164" s="4" t="s">
        <v>686</v>
      </c>
      <c r="B164" s="2">
        <v>45220</v>
      </c>
      <c r="C164" s="2" t="str">
        <f>TEXT(Data3[[#This Row],[OrderDate]],"MMM-YYYY")</f>
        <v>Oct-2023</v>
      </c>
      <c r="D164" s="4" t="str">
        <f>"Q"&amp;INT((MONTH(Data3[[#This Row],[OrderDate]])-1)/3)+1&amp;"-"&amp;YEAR(Data3[[#This Row],[OrderDate]])</f>
        <v>Q4-2023</v>
      </c>
      <c r="E164" s="2">
        <v>45239</v>
      </c>
      <c r="F164" t="s">
        <v>78</v>
      </c>
      <c r="G164" t="s">
        <v>108</v>
      </c>
      <c r="H164" s="4" t="s">
        <v>152</v>
      </c>
      <c r="I164" t="s">
        <v>39</v>
      </c>
      <c r="J164" s="4" t="s">
        <v>98</v>
      </c>
      <c r="K164" s="4" t="s">
        <v>75</v>
      </c>
      <c r="L164" t="s">
        <v>81</v>
      </c>
      <c r="M164" s="4" t="s">
        <v>687</v>
      </c>
      <c r="N164" s="3">
        <v>1142.48</v>
      </c>
      <c r="O164" s="3">
        <v>2105.5300000000002</v>
      </c>
      <c r="P164" s="3">
        <v>0.20699999999999999</v>
      </c>
      <c r="Q164" s="3">
        <v>14</v>
      </c>
      <c r="R164" t="s">
        <v>75</v>
      </c>
      <c r="S164" t="s">
        <v>152</v>
      </c>
      <c r="T164" t="s">
        <v>98</v>
      </c>
      <c r="U164">
        <v>2105.5300000000002</v>
      </c>
      <c r="V164" t="str" cm="1">
        <f t="array" ref="V164">_xlfn.IFS(Data3[[#This Row],[CorrectedUnitPriceCustom]]&lt;=$W$2, "Low",Data3[[#This Row],[CorrectedUnitPriceCustom]]&lt;=$Y$2, "Medium", TRUE, "High")</f>
        <v>High</v>
      </c>
      <c r="W164">
        <f t="shared" si="9"/>
        <v>749.45249999999999</v>
      </c>
      <c r="X164">
        <f t="shared" si="10"/>
        <v>1324.2199999999998</v>
      </c>
      <c r="Y164">
        <f t="shared" si="11"/>
        <v>2125.5250000000001</v>
      </c>
      <c r="Z164">
        <v>0.20699999999999999</v>
      </c>
      <c r="AA164" t="s">
        <v>1372</v>
      </c>
      <c r="AB164" s="1">
        <v>45239</v>
      </c>
      <c r="AC164">
        <v>19</v>
      </c>
      <c r="AD164" s="5">
        <f>Data3[[#This Row],[UnitPrice]]*Data3[[#This Row],[Quantity]]*(1-Data3[[#This Row],[DiscountPct]])</f>
        <v>23375.594060000003</v>
      </c>
      <c r="AE164" s="6">
        <f>Data3[[#This Row],[UnitPrice]]*Data3[[#This Row],[Quantity]]</f>
        <v>29477.420000000002</v>
      </c>
      <c r="AF164" s="6">
        <f>Data3[[#This Row],[GrossRevenue]]-(Data3[[#This Row],[Quantity]]*Data3[[#This Row],[UnitCost]])</f>
        <v>7380.8740600000019</v>
      </c>
      <c r="AG164" s="6" t="str">
        <f>TEXT(Data3[[#This Row],[OrderDate]], "mmm-yyyy")</f>
        <v>Oct-2023</v>
      </c>
      <c r="AH164" s="7">
        <f>IF(Data3[[#This Row],[GrossRevenue]]=0, 0,Data3[[#This Row],[GrossProfit]]/Data3[[#This Row],[GrossRevenue]])</f>
        <v>0.31575129346680658</v>
      </c>
      <c r="AI164" s="5">
        <f t="shared" si="12"/>
        <v>23375.594060000003</v>
      </c>
    </row>
    <row r="165" spans="1:35" x14ac:dyDescent="0.35">
      <c r="A165" s="4" t="s">
        <v>688</v>
      </c>
      <c r="B165" s="2">
        <v>45161</v>
      </c>
      <c r="C165" s="2" t="str">
        <f>TEXT(Data3[[#This Row],[OrderDate]],"MMM-YYYY")</f>
        <v>Aug-2023</v>
      </c>
      <c r="D165" s="4" t="str">
        <f>"Q"&amp;INT((MONTH(Data3[[#This Row],[OrderDate]])-1)/3)+1&amp;"-"&amp;YEAR(Data3[[#This Row],[OrderDate]])</f>
        <v>Q3-2023</v>
      </c>
      <c r="E165" s="2">
        <v>45191</v>
      </c>
      <c r="F165" t="s">
        <v>78</v>
      </c>
      <c r="G165" t="s">
        <v>108</v>
      </c>
      <c r="H165" s="4" t="s">
        <v>152</v>
      </c>
      <c r="I165" t="s">
        <v>48</v>
      </c>
      <c r="J165" s="4" t="s">
        <v>55</v>
      </c>
      <c r="K165" s="4" t="s">
        <v>68</v>
      </c>
      <c r="L165" t="s">
        <v>81</v>
      </c>
      <c r="M165" s="4" t="s">
        <v>689</v>
      </c>
      <c r="N165" s="3">
        <v>209.81</v>
      </c>
      <c r="O165" s="3">
        <v>523</v>
      </c>
      <c r="P165" s="3">
        <v>5.8999999999999997E-2</v>
      </c>
      <c r="Q165" s="3">
        <v>15</v>
      </c>
      <c r="R165" t="s">
        <v>68</v>
      </c>
      <c r="S165" t="s">
        <v>152</v>
      </c>
      <c r="T165" t="s">
        <v>55</v>
      </c>
      <c r="U165">
        <v>523</v>
      </c>
      <c r="V165" t="str" cm="1">
        <f t="array" ref="V165">_xlfn.IFS(Data3[[#This Row],[CorrectedUnitPriceCustom]]&lt;=$W$2, "Low",Data3[[#This Row],[CorrectedUnitPriceCustom]]&lt;=$Y$2, "Medium", TRUE, "High")</f>
        <v>Low</v>
      </c>
      <c r="W165">
        <f t="shared" si="9"/>
        <v>742.23</v>
      </c>
      <c r="X165">
        <f t="shared" si="10"/>
        <v>1318.37</v>
      </c>
      <c r="Y165">
        <f t="shared" si="11"/>
        <v>2132.19</v>
      </c>
      <c r="Z165">
        <v>5.8999999999999997E-2</v>
      </c>
      <c r="AA165" t="s">
        <v>1372</v>
      </c>
      <c r="AB165" s="1">
        <v>45191</v>
      </c>
      <c r="AC165">
        <v>30</v>
      </c>
      <c r="AD165" s="5">
        <f>Data3[[#This Row],[UnitPrice]]*Data3[[#This Row],[Quantity]]*(1-Data3[[#This Row],[DiscountPct]])</f>
        <v>7382.1450000000004</v>
      </c>
      <c r="AE165" s="6">
        <f>Data3[[#This Row],[UnitPrice]]*Data3[[#This Row],[Quantity]]</f>
        <v>7845</v>
      </c>
      <c r="AF165" s="6">
        <f>Data3[[#This Row],[GrossRevenue]]-(Data3[[#This Row],[Quantity]]*Data3[[#This Row],[UnitCost]])</f>
        <v>4234.9950000000008</v>
      </c>
      <c r="AG165" s="6" t="str">
        <f>TEXT(Data3[[#This Row],[OrderDate]], "mmm-yyyy")</f>
        <v>Aug-2023</v>
      </c>
      <c r="AH165" s="7">
        <f>IF(Data3[[#This Row],[GrossRevenue]]=0, 0,Data3[[#This Row],[GrossProfit]]/Data3[[#This Row],[GrossRevenue]])</f>
        <v>0.57368082041195356</v>
      </c>
      <c r="AI165" s="5">
        <f t="shared" si="12"/>
        <v>7382.1450000000004</v>
      </c>
    </row>
    <row r="166" spans="1:35" x14ac:dyDescent="0.35">
      <c r="A166" s="4" t="s">
        <v>690</v>
      </c>
      <c r="B166" s="2">
        <v>45758</v>
      </c>
      <c r="C166" s="2" t="str">
        <f>TEXT(Data3[[#This Row],[OrderDate]],"MMM-YYYY")</f>
        <v>Apr-2025</v>
      </c>
      <c r="D166" s="4" t="str">
        <f>"Q"&amp;INT((MONTH(Data3[[#This Row],[OrderDate]])-1)/3)+1&amp;"-"&amp;YEAR(Data3[[#This Row],[OrderDate]])</f>
        <v>Q2-2025</v>
      </c>
      <c r="E166" s="2">
        <v>45781</v>
      </c>
      <c r="F166" t="s">
        <v>45</v>
      </c>
      <c r="G166" t="s">
        <v>46</v>
      </c>
      <c r="H166" s="4" t="s">
        <v>47</v>
      </c>
      <c r="I166" t="s">
        <v>62</v>
      </c>
      <c r="J166" s="4" t="s">
        <v>28</v>
      </c>
      <c r="K166" s="4" t="s">
        <v>110</v>
      </c>
      <c r="L166" t="s">
        <v>22</v>
      </c>
      <c r="M166" s="4" t="s">
        <v>691</v>
      </c>
      <c r="N166" s="3">
        <v>786.2</v>
      </c>
      <c r="O166" s="3">
        <v>1075.3</v>
      </c>
      <c r="P166" s="3">
        <v>0.08</v>
      </c>
      <c r="Q166" s="3">
        <v>9</v>
      </c>
      <c r="R166" t="s">
        <v>110</v>
      </c>
      <c r="S166" t="s">
        <v>47</v>
      </c>
      <c r="T166" t="s">
        <v>28</v>
      </c>
      <c r="U166">
        <v>1075.3</v>
      </c>
      <c r="V166" t="str" cm="1">
        <f t="array" ref="V166">_xlfn.IFS(Data3[[#This Row],[CorrectedUnitPriceCustom]]&lt;=$W$2, "Low",Data3[[#This Row],[CorrectedUnitPriceCustom]]&lt;=$Y$2, "Medium", TRUE, "High")</f>
        <v>Medium</v>
      </c>
      <c r="W166">
        <f t="shared" si="9"/>
        <v>763.89750000000004</v>
      </c>
      <c r="X166">
        <f t="shared" si="10"/>
        <v>1324.2199999999998</v>
      </c>
      <c r="Y166">
        <f t="shared" si="11"/>
        <v>2133.4450000000002</v>
      </c>
      <c r="Z166">
        <v>0.08</v>
      </c>
      <c r="AA166" t="s">
        <v>1372</v>
      </c>
      <c r="AB166" s="1">
        <v>45781</v>
      </c>
      <c r="AC166">
        <v>23</v>
      </c>
      <c r="AD166" s="5">
        <f>Data3[[#This Row],[UnitPrice]]*Data3[[#This Row],[Quantity]]*(1-Data3[[#This Row],[DiscountPct]])</f>
        <v>8903.4839999999986</v>
      </c>
      <c r="AE166" s="6">
        <f>Data3[[#This Row],[UnitPrice]]*Data3[[#This Row],[Quantity]]</f>
        <v>9677.6999999999989</v>
      </c>
      <c r="AF166" s="6">
        <f>Data3[[#This Row],[GrossRevenue]]-(Data3[[#This Row],[Quantity]]*Data3[[#This Row],[UnitCost]])</f>
        <v>1827.6839999999984</v>
      </c>
      <c r="AG166" s="6" t="str">
        <f>TEXT(Data3[[#This Row],[OrderDate]], "mmm-yyyy")</f>
        <v>Apr-2025</v>
      </c>
      <c r="AH166" s="7">
        <f>IF(Data3[[#This Row],[GrossRevenue]]=0, 0,Data3[[#This Row],[GrossProfit]]/Data3[[#This Row],[GrossRevenue]])</f>
        <v>0.20527739478163815</v>
      </c>
      <c r="AI166" s="5">
        <f t="shared" si="12"/>
        <v>8903.4839999999986</v>
      </c>
    </row>
    <row r="167" spans="1:35" x14ac:dyDescent="0.35">
      <c r="A167" s="4" t="s">
        <v>714</v>
      </c>
      <c r="B167" s="2">
        <v>45741</v>
      </c>
      <c r="C167" s="2" t="str">
        <f>TEXT(Data3[[#This Row],[OrderDate]],"MMM-YYYY")</f>
        <v>Mar-2025</v>
      </c>
      <c r="D167" s="4" t="str">
        <f>"Q"&amp;INT((MONTH(Data3[[#This Row],[OrderDate]])-1)/3)+1&amp;"-"&amp;YEAR(Data3[[#This Row],[OrderDate]])</f>
        <v>Q1-2025</v>
      </c>
      <c r="E167" s="2">
        <v>45742</v>
      </c>
      <c r="F167" t="s">
        <v>16</v>
      </c>
      <c r="G167" t="s">
        <v>25</v>
      </c>
      <c r="H167" s="4" t="s">
        <v>38</v>
      </c>
      <c r="I167" t="s">
        <v>27</v>
      </c>
      <c r="J167" s="4" t="s">
        <v>55</v>
      </c>
      <c r="K167" s="4" t="s">
        <v>41</v>
      </c>
      <c r="L167" t="s">
        <v>81</v>
      </c>
      <c r="M167" s="4" t="s">
        <v>715</v>
      </c>
      <c r="N167" s="3">
        <v>1450.43</v>
      </c>
      <c r="O167" s="3">
        <v>1994.67</v>
      </c>
      <c r="P167" s="3">
        <v>0.1</v>
      </c>
      <c r="Q167" s="3">
        <v>24</v>
      </c>
      <c r="R167" t="s">
        <v>41</v>
      </c>
      <c r="S167" t="s">
        <v>38</v>
      </c>
      <c r="T167" t="s">
        <v>55</v>
      </c>
      <c r="U167">
        <v>1994.67</v>
      </c>
      <c r="V167" t="str" cm="1">
        <f t="array" ref="V167">_xlfn.IFS(Data3[[#This Row],[CorrectedUnitPriceCustom]]&lt;=$W$2, "Low",Data3[[#This Row],[CorrectedUnitPriceCustom]]&lt;=$Y$2, "Medium", TRUE, "High")</f>
        <v>High</v>
      </c>
      <c r="W167">
        <f t="shared" si="9"/>
        <v>756.67499999999995</v>
      </c>
      <c r="X167">
        <f t="shared" si="10"/>
        <v>1330.07</v>
      </c>
      <c r="Y167">
        <f t="shared" si="11"/>
        <v>2134.6999999999998</v>
      </c>
      <c r="Z167">
        <v>0.1</v>
      </c>
      <c r="AA167" t="s">
        <v>1372</v>
      </c>
      <c r="AB167" s="1">
        <v>45742</v>
      </c>
      <c r="AC167">
        <v>1</v>
      </c>
      <c r="AD167" s="5">
        <f>Data3[[#This Row],[UnitPrice]]*Data3[[#This Row],[Quantity]]*(1-Data3[[#This Row],[DiscountPct]])</f>
        <v>43084.872000000003</v>
      </c>
      <c r="AE167" s="6">
        <f>Data3[[#This Row],[UnitPrice]]*Data3[[#This Row],[Quantity]]</f>
        <v>47872.08</v>
      </c>
      <c r="AF167" s="6">
        <f>Data3[[#This Row],[GrossRevenue]]-(Data3[[#This Row],[Quantity]]*Data3[[#This Row],[UnitCost]])</f>
        <v>8274.5520000000033</v>
      </c>
      <c r="AG167" s="6" t="str">
        <f>TEXT(Data3[[#This Row],[OrderDate]], "mmm-yyyy")</f>
        <v>Mar-2025</v>
      </c>
      <c r="AH167" s="7">
        <f>IF(Data3[[#This Row],[GrossRevenue]]=0, 0,Data3[[#This Row],[GrossProfit]]/Data3[[#This Row],[GrossRevenue]])</f>
        <v>0.19205237513529116</v>
      </c>
      <c r="AI167" s="5">
        <f t="shared" si="12"/>
        <v>43084.872000000003</v>
      </c>
    </row>
    <row r="168" spans="1:35" x14ac:dyDescent="0.35">
      <c r="A168" s="4" t="s">
        <v>716</v>
      </c>
      <c r="B168" s="2">
        <v>45795</v>
      </c>
      <c r="C168" s="2" t="str">
        <f>TEXT(Data3[[#This Row],[OrderDate]],"MMM-YYYY")</f>
        <v>May-2025</v>
      </c>
      <c r="D168" s="4" t="str">
        <f>"Q"&amp;INT((MONTH(Data3[[#This Row],[OrderDate]])-1)/3)+1&amp;"-"&amp;YEAR(Data3[[#This Row],[OrderDate]])</f>
        <v>Q2-2025</v>
      </c>
      <c r="E168" s="2">
        <v>45817</v>
      </c>
      <c r="F168" t="s">
        <v>52</v>
      </c>
      <c r="G168" t="s">
        <v>122</v>
      </c>
      <c r="H168" s="4" t="s">
        <v>387</v>
      </c>
      <c r="I168" t="s">
        <v>48</v>
      </c>
      <c r="J168" s="4" t="s">
        <v>20</v>
      </c>
      <c r="K168" s="4" t="s">
        <v>92</v>
      </c>
      <c r="L168" t="s">
        <v>35</v>
      </c>
      <c r="M168" s="4" t="s">
        <v>717</v>
      </c>
      <c r="N168" s="3">
        <v>382.96</v>
      </c>
      <c r="O168" s="3">
        <v>552.84</v>
      </c>
      <c r="P168" s="3">
        <v>0.17599999999999999</v>
      </c>
      <c r="Q168" s="3">
        <v>8</v>
      </c>
      <c r="R168" t="s">
        <v>92</v>
      </c>
      <c r="S168" t="s">
        <v>387</v>
      </c>
      <c r="T168" t="s">
        <v>20</v>
      </c>
      <c r="U168">
        <v>552.84</v>
      </c>
      <c r="V168" t="str" cm="1">
        <f t="array" ref="V168">_xlfn.IFS(Data3[[#This Row],[CorrectedUnitPriceCustom]]&lt;=$W$2, "Low",Data3[[#This Row],[CorrectedUnitPriceCustom]]&lt;=$Y$2, "Medium", TRUE, "High")</f>
        <v>Low</v>
      </c>
      <c r="W168">
        <f t="shared" si="9"/>
        <v>749.45249999999999</v>
      </c>
      <c r="X168">
        <f t="shared" si="10"/>
        <v>1324.2199999999998</v>
      </c>
      <c r="Y168">
        <f t="shared" si="11"/>
        <v>2135.9549999999999</v>
      </c>
      <c r="Z168">
        <v>0.17599999999999999</v>
      </c>
      <c r="AA168" t="s">
        <v>1372</v>
      </c>
      <c r="AB168" s="1">
        <v>45817</v>
      </c>
      <c r="AC168">
        <v>22</v>
      </c>
      <c r="AD168" s="5">
        <f>Data3[[#This Row],[UnitPrice]]*Data3[[#This Row],[Quantity]]*(1-Data3[[#This Row],[DiscountPct]])</f>
        <v>3644.3212800000006</v>
      </c>
      <c r="AE168" s="6">
        <f>Data3[[#This Row],[UnitPrice]]*Data3[[#This Row],[Quantity]]</f>
        <v>4422.72</v>
      </c>
      <c r="AF168" s="6">
        <f>Data3[[#This Row],[GrossRevenue]]-(Data3[[#This Row],[Quantity]]*Data3[[#This Row],[UnitCost]])</f>
        <v>580.64128000000073</v>
      </c>
      <c r="AG168" s="6" t="str">
        <f>TEXT(Data3[[#This Row],[OrderDate]], "mmm-yyyy")</f>
        <v>May-2025</v>
      </c>
      <c r="AH168" s="7">
        <f>IF(Data3[[#This Row],[GrossRevenue]]=0, 0,Data3[[#This Row],[GrossProfit]]/Data3[[#This Row],[GrossRevenue]])</f>
        <v>0.15932768693763483</v>
      </c>
      <c r="AI168" s="5">
        <f t="shared" si="12"/>
        <v>3644.3212800000006</v>
      </c>
    </row>
    <row r="169" spans="1:35" x14ac:dyDescent="0.35">
      <c r="A169" s="4" t="s">
        <v>726</v>
      </c>
      <c r="B169" s="2">
        <v>45101</v>
      </c>
      <c r="C169" s="2" t="str">
        <f>TEXT(Data3[[#This Row],[OrderDate]],"MMM-YYYY")</f>
        <v>Jun-2023</v>
      </c>
      <c r="D169" s="4" t="str">
        <f>"Q"&amp;INT((MONTH(Data3[[#This Row],[OrderDate]])-1)/3)+1&amp;"-"&amp;YEAR(Data3[[#This Row],[OrderDate]])</f>
        <v>Q2-2023</v>
      </c>
      <c r="E169" s="2">
        <v>45099</v>
      </c>
      <c r="F169" t="s">
        <v>52</v>
      </c>
      <c r="G169" t="s">
        <v>53</v>
      </c>
      <c r="H169" s="4" t="s">
        <v>54</v>
      </c>
      <c r="I169" t="s">
        <v>39</v>
      </c>
      <c r="J169" s="4" t="s">
        <v>20</v>
      </c>
      <c r="K169" s="4" t="s">
        <v>110</v>
      </c>
      <c r="L169" t="s">
        <v>81</v>
      </c>
      <c r="M169" s="4" t="s">
        <v>727</v>
      </c>
      <c r="N169" s="3">
        <v>471.42</v>
      </c>
      <c r="O169" s="3">
        <v>824.81</v>
      </c>
      <c r="P169" s="3">
        <v>8.7999999999999995E-2</v>
      </c>
      <c r="Q169" s="3">
        <v>15</v>
      </c>
      <c r="R169" t="s">
        <v>110</v>
      </c>
      <c r="S169" t="s">
        <v>54</v>
      </c>
      <c r="T169" t="s">
        <v>20</v>
      </c>
      <c r="U169">
        <v>824.81</v>
      </c>
      <c r="V169" t="str" cm="1">
        <f t="array" ref="V169">_xlfn.IFS(Data3[[#This Row],[CorrectedUnitPriceCustom]]&lt;=$W$2, "Low",Data3[[#This Row],[CorrectedUnitPriceCustom]]&lt;=$Y$2, "Medium", TRUE, "High")</f>
        <v>Medium</v>
      </c>
      <c r="W169">
        <f t="shared" si="9"/>
        <v>771.12</v>
      </c>
      <c r="X169">
        <f t="shared" si="10"/>
        <v>1330.07</v>
      </c>
      <c r="Y169">
        <f t="shared" si="11"/>
        <v>2137.21</v>
      </c>
      <c r="Z169">
        <v>8.7999999999999995E-2</v>
      </c>
      <c r="AA169" t="s">
        <v>1372</v>
      </c>
      <c r="AB169" s="1">
        <v>45108</v>
      </c>
      <c r="AC169">
        <v>7</v>
      </c>
      <c r="AD169" s="5">
        <f>Data3[[#This Row],[UnitPrice]]*Data3[[#This Row],[Quantity]]*(1-Data3[[#This Row],[DiscountPct]])</f>
        <v>11283.400799999999</v>
      </c>
      <c r="AE169" s="6">
        <f>Data3[[#This Row],[UnitPrice]]*Data3[[#This Row],[Quantity]]</f>
        <v>12372.15</v>
      </c>
      <c r="AF169" s="6">
        <f>Data3[[#This Row],[GrossRevenue]]-(Data3[[#This Row],[Quantity]]*Data3[[#This Row],[UnitCost]])</f>
        <v>4212.1007999999993</v>
      </c>
      <c r="AG169" s="6" t="str">
        <f>TEXT(Data3[[#This Row],[OrderDate]], "mmm-yyyy")</f>
        <v>Jun-2023</v>
      </c>
      <c r="AH169" s="7">
        <f>IF(Data3[[#This Row],[GrossRevenue]]=0, 0,Data3[[#This Row],[GrossProfit]]/Data3[[#This Row],[GrossRevenue]])</f>
        <v>0.37330064531608231</v>
      </c>
      <c r="AI169" s="5">
        <f t="shared" si="12"/>
        <v>11283.400799999999</v>
      </c>
    </row>
    <row r="170" spans="1:35" x14ac:dyDescent="0.35">
      <c r="A170" s="4" t="s">
        <v>732</v>
      </c>
      <c r="B170" s="2">
        <v>45809</v>
      </c>
      <c r="C170" s="2" t="str">
        <f>TEXT(Data3[[#This Row],[OrderDate]],"MMM-YYYY")</f>
        <v>Jun-2025</v>
      </c>
      <c r="D170" s="4" t="str">
        <f>"Q"&amp;INT((MONTH(Data3[[#This Row],[OrderDate]])-1)/3)+1&amp;"-"&amp;YEAR(Data3[[#This Row],[OrderDate]])</f>
        <v>Q2-2025</v>
      </c>
      <c r="E170" s="2">
        <v>45814</v>
      </c>
      <c r="F170" t="s">
        <v>78</v>
      </c>
      <c r="G170" t="s">
        <v>90</v>
      </c>
      <c r="H170" s="4" t="s">
        <v>217</v>
      </c>
      <c r="I170" t="s">
        <v>48</v>
      </c>
      <c r="J170" s="4" t="s">
        <v>55</v>
      </c>
      <c r="K170" s="4" t="s">
        <v>41</v>
      </c>
      <c r="L170" t="s">
        <v>22</v>
      </c>
      <c r="M170" s="4" t="s">
        <v>733</v>
      </c>
      <c r="N170" s="3">
        <v>379.45</v>
      </c>
      <c r="O170" s="3">
        <v>742.23</v>
      </c>
      <c r="P170" s="3">
        <v>0.09</v>
      </c>
      <c r="Q170" s="3">
        <v>13</v>
      </c>
      <c r="R170" t="s">
        <v>41</v>
      </c>
      <c r="S170" t="s">
        <v>217</v>
      </c>
      <c r="T170" t="s">
        <v>55</v>
      </c>
      <c r="U170">
        <v>742.23</v>
      </c>
      <c r="V170" t="str" cm="1">
        <f t="array" ref="V170">_xlfn.IFS(Data3[[#This Row],[CorrectedUnitPriceCustom]]&lt;=$W$2, "Low",Data3[[#This Row],[CorrectedUnitPriceCustom]]&lt;=$Y$2, "Medium", TRUE, "High")</f>
        <v>Medium</v>
      </c>
      <c r="W170">
        <f t="shared" si="9"/>
        <v>763.89750000000004</v>
      </c>
      <c r="X170">
        <f t="shared" si="10"/>
        <v>1377.405</v>
      </c>
      <c r="Y170">
        <f t="shared" si="11"/>
        <v>2149.8575000000001</v>
      </c>
      <c r="Z170">
        <v>0.09</v>
      </c>
      <c r="AA170" t="s">
        <v>1372</v>
      </c>
      <c r="AB170" s="1">
        <v>45814</v>
      </c>
      <c r="AC170">
        <v>5</v>
      </c>
      <c r="AD170" s="5">
        <f>Data3[[#This Row],[UnitPrice]]*Data3[[#This Row],[Quantity]]*(1-Data3[[#This Row],[DiscountPct]])</f>
        <v>8780.5809000000008</v>
      </c>
      <c r="AE170" s="6">
        <f>Data3[[#This Row],[UnitPrice]]*Data3[[#This Row],[Quantity]]</f>
        <v>9648.99</v>
      </c>
      <c r="AF170" s="6">
        <f>Data3[[#This Row],[GrossRevenue]]-(Data3[[#This Row],[Quantity]]*Data3[[#This Row],[UnitCost]])</f>
        <v>3847.7309000000014</v>
      </c>
      <c r="AG170" s="6" t="str">
        <f>TEXT(Data3[[#This Row],[OrderDate]], "mmm-yyyy")</f>
        <v>Jun-2025</v>
      </c>
      <c r="AH170" s="7">
        <f>IF(Data3[[#This Row],[GrossRevenue]]=0, 0,Data3[[#This Row],[GrossProfit]]/Data3[[#This Row],[GrossRevenue]])</f>
        <v>0.43820915083192286</v>
      </c>
      <c r="AI170" s="5">
        <f t="shared" si="12"/>
        <v>8780.5809000000008</v>
      </c>
    </row>
    <row r="171" spans="1:35" x14ac:dyDescent="0.35">
      <c r="A171" s="4" t="s">
        <v>734</v>
      </c>
      <c r="B171" s="2">
        <v>45052</v>
      </c>
      <c r="C171" s="2" t="str">
        <f>TEXT(Data3[[#This Row],[OrderDate]],"MMM-YYYY")</f>
        <v>May-2023</v>
      </c>
      <c r="D171" s="4" t="str">
        <f>"Q"&amp;INT((MONTH(Data3[[#This Row],[OrderDate]])-1)/3)+1&amp;"-"&amp;YEAR(Data3[[#This Row],[OrderDate]])</f>
        <v>Q2-2023</v>
      </c>
      <c r="E171" s="2">
        <v>45060</v>
      </c>
      <c r="F171" t="s">
        <v>45</v>
      </c>
      <c r="G171" t="s">
        <v>46</v>
      </c>
      <c r="H171" s="4" t="s">
        <v>47</v>
      </c>
      <c r="I171" t="s">
        <v>105</v>
      </c>
      <c r="J171" s="4" t="s">
        <v>40</v>
      </c>
      <c r="K171" s="4" t="s">
        <v>56</v>
      </c>
      <c r="L171" t="s">
        <v>42</v>
      </c>
      <c r="M171" s="4" t="s">
        <v>735</v>
      </c>
      <c r="N171" s="3">
        <v>291.18</v>
      </c>
      <c r="O171" s="3">
        <v>479.54</v>
      </c>
      <c r="P171" s="3">
        <v>0.14099999999999999</v>
      </c>
      <c r="Q171" s="3">
        <v>22</v>
      </c>
      <c r="R171" t="s">
        <v>56</v>
      </c>
      <c r="S171" t="s">
        <v>47</v>
      </c>
      <c r="T171" t="s">
        <v>40</v>
      </c>
      <c r="U171">
        <v>479.54</v>
      </c>
      <c r="V171" t="str" cm="1">
        <f t="array" ref="V171">_xlfn.IFS(Data3[[#This Row],[CorrectedUnitPriceCustom]]&lt;=$W$2, "Low",Data3[[#This Row],[CorrectedUnitPriceCustom]]&lt;=$Y$2, "Medium", TRUE, "High")</f>
        <v>Low</v>
      </c>
      <c r="W171">
        <f t="shared" si="9"/>
        <v>795.08999999999992</v>
      </c>
      <c r="X171">
        <f t="shared" si="10"/>
        <v>1424.74</v>
      </c>
      <c r="Y171">
        <f t="shared" si="11"/>
        <v>2162.5050000000001</v>
      </c>
      <c r="Z171">
        <v>0.14099999999999999</v>
      </c>
      <c r="AA171" t="s">
        <v>1372</v>
      </c>
      <c r="AB171" s="1">
        <v>45060</v>
      </c>
      <c r="AC171">
        <v>8</v>
      </c>
      <c r="AD171" s="5">
        <f>Data3[[#This Row],[UnitPrice]]*Data3[[#This Row],[Quantity]]*(1-Data3[[#This Row],[DiscountPct]])</f>
        <v>9062.34692</v>
      </c>
      <c r="AE171" s="6">
        <f>Data3[[#This Row],[UnitPrice]]*Data3[[#This Row],[Quantity]]</f>
        <v>10549.880000000001</v>
      </c>
      <c r="AF171" s="6">
        <f>Data3[[#This Row],[GrossRevenue]]-(Data3[[#This Row],[Quantity]]*Data3[[#This Row],[UnitCost]])</f>
        <v>2656.3869199999999</v>
      </c>
      <c r="AG171" s="6" t="str">
        <f>TEXT(Data3[[#This Row],[OrderDate]], "mmm-yyyy")</f>
        <v>May-2023</v>
      </c>
      <c r="AH171" s="7">
        <f>IF(Data3[[#This Row],[GrossRevenue]]=0, 0,Data3[[#This Row],[GrossProfit]]/Data3[[#This Row],[GrossRevenue]])</f>
        <v>0.29312350801066001</v>
      </c>
      <c r="AI171" s="5">
        <f t="shared" si="12"/>
        <v>9062.34692</v>
      </c>
    </row>
    <row r="172" spans="1:35" x14ac:dyDescent="0.35">
      <c r="A172" s="4" t="s">
        <v>738</v>
      </c>
      <c r="B172" s="2">
        <v>45748</v>
      </c>
      <c r="C172" s="2" t="str">
        <f>TEXT(Data3[[#This Row],[OrderDate]],"MMM-YYYY")</f>
        <v>Apr-2025</v>
      </c>
      <c r="D172" s="4" t="str">
        <f>"Q"&amp;INT((MONTH(Data3[[#This Row],[OrderDate]])-1)/3)+1&amp;"-"&amp;YEAR(Data3[[#This Row],[OrderDate]])</f>
        <v>Q2-2025</v>
      </c>
      <c r="E172" s="2">
        <v>45774</v>
      </c>
      <c r="F172" t="s">
        <v>52</v>
      </c>
      <c r="G172" t="s">
        <v>122</v>
      </c>
      <c r="H172" s="4" t="s">
        <v>167</v>
      </c>
      <c r="I172" t="s">
        <v>19</v>
      </c>
      <c r="J172" s="4" t="s">
        <v>98</v>
      </c>
      <c r="K172" s="4" t="s">
        <v>34</v>
      </c>
      <c r="L172" t="s">
        <v>64</v>
      </c>
      <c r="M172" s="4" t="s">
        <v>739</v>
      </c>
      <c r="N172" s="3">
        <v>156.55000000000001</v>
      </c>
      <c r="O172" s="3">
        <v>227.45</v>
      </c>
      <c r="P172" s="3">
        <v>1.4E-2</v>
      </c>
      <c r="Q172" s="3">
        <v>13</v>
      </c>
      <c r="R172" t="s">
        <v>34</v>
      </c>
      <c r="S172" t="s">
        <v>167</v>
      </c>
      <c r="T172" t="s">
        <v>98</v>
      </c>
      <c r="U172">
        <v>227.45</v>
      </c>
      <c r="V172" t="str" cm="1">
        <f t="array" ref="V172">_xlfn.IFS(Data3[[#This Row],[CorrectedUnitPriceCustom]]&lt;=$W$2, "Low",Data3[[#This Row],[CorrectedUnitPriceCustom]]&lt;=$Y$2, "Medium", TRUE, "High")</f>
        <v>Low</v>
      </c>
      <c r="W172">
        <f t="shared" si="9"/>
        <v>822.71749999999997</v>
      </c>
      <c r="X172">
        <f t="shared" si="10"/>
        <v>1439.48</v>
      </c>
      <c r="Y172">
        <f t="shared" si="11"/>
        <v>2175.1525000000001</v>
      </c>
      <c r="Z172">
        <v>1.4E-2</v>
      </c>
      <c r="AA172" t="s">
        <v>1372</v>
      </c>
      <c r="AB172" s="1">
        <v>45774</v>
      </c>
      <c r="AC172">
        <v>26</v>
      </c>
      <c r="AD172" s="5">
        <f>Data3[[#This Row],[UnitPrice]]*Data3[[#This Row],[Quantity]]*(1-Data3[[#This Row],[DiscountPct]])</f>
        <v>2915.4540999999999</v>
      </c>
      <c r="AE172" s="6">
        <f>Data3[[#This Row],[UnitPrice]]*Data3[[#This Row],[Quantity]]</f>
        <v>2956.85</v>
      </c>
      <c r="AF172" s="6">
        <f>Data3[[#This Row],[GrossRevenue]]-(Data3[[#This Row],[Quantity]]*Data3[[#This Row],[UnitCost]])</f>
        <v>880.30409999999983</v>
      </c>
      <c r="AG172" s="6" t="str">
        <f>TEXT(Data3[[#This Row],[OrderDate]], "mmm-yyyy")</f>
        <v>Apr-2025</v>
      </c>
      <c r="AH172" s="7">
        <f>IF(Data3[[#This Row],[GrossRevenue]]=0, 0,Data3[[#This Row],[GrossProfit]]/Data3[[#This Row],[GrossRevenue]])</f>
        <v>0.3019440779396938</v>
      </c>
      <c r="AI172" s="5">
        <f t="shared" si="12"/>
        <v>2915.4540999999999</v>
      </c>
    </row>
    <row r="173" spans="1:35" x14ac:dyDescent="0.35">
      <c r="A173" s="4" t="s">
        <v>742</v>
      </c>
      <c r="B173" s="2">
        <v>45440</v>
      </c>
      <c r="C173" s="2" t="str">
        <f>TEXT(Data3[[#This Row],[OrderDate]],"MMM-YYYY")</f>
        <v>May-2024</v>
      </c>
      <c r="D173" s="4" t="str">
        <f>"Q"&amp;INT((MONTH(Data3[[#This Row],[OrderDate]])-1)/3)+1&amp;"-"&amp;YEAR(Data3[[#This Row],[OrderDate]])</f>
        <v>Q2-2024</v>
      </c>
      <c r="E173" s="2">
        <v>45461</v>
      </c>
      <c r="F173" t="s">
        <v>78</v>
      </c>
      <c r="G173" t="s">
        <v>79</v>
      </c>
      <c r="H173" s="4" t="s">
        <v>335</v>
      </c>
      <c r="I173" t="s">
        <v>62</v>
      </c>
      <c r="J173" s="4" t="s">
        <v>28</v>
      </c>
      <c r="K173" s="4" t="s">
        <v>63</v>
      </c>
      <c r="L173" t="s">
        <v>42</v>
      </c>
      <c r="M173" s="4" t="s">
        <v>743</v>
      </c>
      <c r="N173" s="3">
        <v>986.85</v>
      </c>
      <c r="O173" s="3">
        <v>2422.1</v>
      </c>
      <c r="P173" s="3">
        <v>7.5999999999999998E-2</v>
      </c>
      <c r="Q173" s="3">
        <v>10</v>
      </c>
      <c r="R173" t="s">
        <v>63</v>
      </c>
      <c r="S173" t="s">
        <v>335</v>
      </c>
      <c r="T173" t="s">
        <v>28</v>
      </c>
      <c r="U173">
        <v>2422.1</v>
      </c>
      <c r="V173" t="str" cm="1">
        <f t="array" ref="V173">_xlfn.IFS(Data3[[#This Row],[CorrectedUnitPriceCustom]]&lt;=$W$2, "Low",Data3[[#This Row],[CorrectedUnitPriceCustom]]&lt;=$Y$2, "Medium", TRUE, "High")</f>
        <v>High</v>
      </c>
      <c r="W173">
        <f t="shared" si="9"/>
        <v>833.69</v>
      </c>
      <c r="X173">
        <f t="shared" si="10"/>
        <v>1454.22</v>
      </c>
      <c r="Y173">
        <f t="shared" si="11"/>
        <v>2187.8000000000002</v>
      </c>
      <c r="Z173">
        <v>7.5999999999999998E-2</v>
      </c>
      <c r="AA173" t="s">
        <v>1372</v>
      </c>
      <c r="AB173" s="1">
        <v>45461</v>
      </c>
      <c r="AC173">
        <v>21</v>
      </c>
      <c r="AD173" s="5">
        <f>Data3[[#This Row],[UnitPrice]]*Data3[[#This Row],[Quantity]]*(1-Data3[[#This Row],[DiscountPct]])</f>
        <v>22380.204000000002</v>
      </c>
      <c r="AE173" s="6">
        <f>Data3[[#This Row],[UnitPrice]]*Data3[[#This Row],[Quantity]]</f>
        <v>24221</v>
      </c>
      <c r="AF173" s="6">
        <f>Data3[[#This Row],[GrossRevenue]]-(Data3[[#This Row],[Quantity]]*Data3[[#This Row],[UnitCost]])</f>
        <v>12511.704000000002</v>
      </c>
      <c r="AG173" s="6" t="str">
        <f>TEXT(Data3[[#This Row],[OrderDate]], "mmm-yyyy")</f>
        <v>May-2024</v>
      </c>
      <c r="AH173" s="7">
        <f>IF(Data3[[#This Row],[GrossRevenue]]=0, 0,Data3[[#This Row],[GrossProfit]]/Data3[[#This Row],[GrossRevenue]])</f>
        <v>0.55905227673527913</v>
      </c>
      <c r="AI173" s="5">
        <f t="shared" si="12"/>
        <v>22380.204000000002</v>
      </c>
    </row>
    <row r="174" spans="1:35" x14ac:dyDescent="0.35">
      <c r="A174" s="4" t="s">
        <v>746</v>
      </c>
      <c r="B174" s="2">
        <v>44985</v>
      </c>
      <c r="C174" s="2" t="str">
        <f>TEXT(Data3[[#This Row],[OrderDate]],"MMM-YYYY")</f>
        <v>Feb-2023</v>
      </c>
      <c r="D174" s="4" t="str">
        <f>"Q"&amp;INT((MONTH(Data3[[#This Row],[OrderDate]])-1)/3)+1&amp;"-"&amp;YEAR(Data3[[#This Row],[OrderDate]])</f>
        <v>Q1-2023</v>
      </c>
      <c r="E174" s="2">
        <v>44984</v>
      </c>
      <c r="F174" t="s">
        <v>78</v>
      </c>
      <c r="G174" t="s">
        <v>90</v>
      </c>
      <c r="H174" s="4" t="s">
        <v>91</v>
      </c>
      <c r="I174" t="s">
        <v>19</v>
      </c>
      <c r="J174" s="4" t="s">
        <v>20</v>
      </c>
      <c r="K174" s="4" t="s">
        <v>95</v>
      </c>
      <c r="L174" t="s">
        <v>35</v>
      </c>
      <c r="M174" s="4" t="s">
        <v>747</v>
      </c>
      <c r="N174" s="3">
        <v>1299.81</v>
      </c>
      <c r="O174" s="3">
        <v>3149.13</v>
      </c>
      <c r="P174" s="3">
        <v>0.10299999999999999</v>
      </c>
      <c r="Q174" s="3">
        <v>14</v>
      </c>
      <c r="R174" t="s">
        <v>95</v>
      </c>
      <c r="S174" t="s">
        <v>91</v>
      </c>
      <c r="T174" t="s">
        <v>20</v>
      </c>
      <c r="U174">
        <v>3149.13</v>
      </c>
      <c r="V174" t="str" cm="1">
        <f t="array" ref="V174">_xlfn.IFS(Data3[[#This Row],[CorrectedUnitPriceCustom]]&lt;=$W$2, "Low",Data3[[#This Row],[CorrectedUnitPriceCustom]]&lt;=$Y$2, "Medium", TRUE, "High")</f>
        <v>High</v>
      </c>
      <c r="W174">
        <f t="shared" si="9"/>
        <v>830.03250000000003</v>
      </c>
      <c r="X174">
        <f t="shared" si="10"/>
        <v>1439.48</v>
      </c>
      <c r="Y174">
        <f t="shared" si="11"/>
        <v>2149.8575000000001</v>
      </c>
      <c r="Z174">
        <v>0.10299999999999999</v>
      </c>
      <c r="AA174" t="s">
        <v>1372</v>
      </c>
      <c r="AB174" s="1">
        <v>44992</v>
      </c>
      <c r="AC174">
        <v>7</v>
      </c>
      <c r="AD174" s="5">
        <f>Data3[[#This Row],[UnitPrice]]*Data3[[#This Row],[Quantity]]*(1-Data3[[#This Row],[DiscountPct]])</f>
        <v>39546.774539999999</v>
      </c>
      <c r="AE174" s="6">
        <f>Data3[[#This Row],[UnitPrice]]*Data3[[#This Row],[Quantity]]</f>
        <v>44087.82</v>
      </c>
      <c r="AF174" s="6">
        <f>Data3[[#This Row],[GrossRevenue]]-(Data3[[#This Row],[Quantity]]*Data3[[#This Row],[UnitCost]])</f>
        <v>21349.434539999998</v>
      </c>
      <c r="AG174" s="6" t="str">
        <f>TEXT(Data3[[#This Row],[OrderDate]], "mmm-yyyy")</f>
        <v>Feb-2023</v>
      </c>
      <c r="AH174" s="7">
        <f>IF(Data3[[#This Row],[GrossRevenue]]=0, 0,Data3[[#This Row],[GrossProfit]]/Data3[[#This Row],[GrossRevenue]])</f>
        <v>0.53985273864511729</v>
      </c>
      <c r="AI174" s="5">
        <f t="shared" si="12"/>
        <v>39546.774539999999</v>
      </c>
    </row>
    <row r="175" spans="1:35" x14ac:dyDescent="0.35">
      <c r="A175" s="4" t="s">
        <v>752</v>
      </c>
      <c r="B175" s="2">
        <v>45053</v>
      </c>
      <c r="C175" s="2" t="str">
        <f>TEXT(Data3[[#This Row],[OrderDate]],"MMM-YYYY")</f>
        <v>May-2023</v>
      </c>
      <c r="D175" s="4" t="str">
        <f>"Q"&amp;INT((MONTH(Data3[[#This Row],[OrderDate]])-1)/3)+1&amp;"-"&amp;YEAR(Data3[[#This Row],[OrderDate]])</f>
        <v>Q2-2023</v>
      </c>
      <c r="E175" s="2">
        <v>45075</v>
      </c>
      <c r="F175" t="s">
        <v>16</v>
      </c>
      <c r="G175" t="s">
        <v>148</v>
      </c>
      <c r="H175" s="4" t="s">
        <v>172</v>
      </c>
      <c r="I175" t="s">
        <v>27</v>
      </c>
      <c r="J175" s="4" t="s">
        <v>55</v>
      </c>
      <c r="K175" s="4" t="s">
        <v>95</v>
      </c>
      <c r="L175" t="s">
        <v>81</v>
      </c>
      <c r="M175" s="4" t="s">
        <v>753</v>
      </c>
      <c r="N175" s="3">
        <v>653.86</v>
      </c>
      <c r="O175" s="3">
        <v>931.84</v>
      </c>
      <c r="P175" s="3">
        <v>0.121</v>
      </c>
      <c r="Q175" s="3">
        <v>12</v>
      </c>
      <c r="R175" t="s">
        <v>95</v>
      </c>
      <c r="S175" t="s">
        <v>172</v>
      </c>
      <c r="T175" t="s">
        <v>55</v>
      </c>
      <c r="U175">
        <v>931.84</v>
      </c>
      <c r="V175" t="str" cm="1">
        <f t="array" ref="V175">_xlfn.IFS(Data3[[#This Row],[CorrectedUnitPriceCustom]]&lt;=$W$2, "Low",Data3[[#This Row],[CorrectedUnitPriceCustom]]&lt;=$Y$2, "Medium", TRUE, "High")</f>
        <v>Medium</v>
      </c>
      <c r="W175">
        <f t="shared" si="9"/>
        <v>826.375</v>
      </c>
      <c r="X175">
        <f t="shared" si="10"/>
        <v>1424.74</v>
      </c>
      <c r="Y175">
        <f t="shared" si="11"/>
        <v>2134.6999999999998</v>
      </c>
      <c r="Z175">
        <v>0.121</v>
      </c>
      <c r="AA175" t="s">
        <v>1372</v>
      </c>
      <c r="AB175" s="1">
        <v>45075</v>
      </c>
      <c r="AC175">
        <v>22</v>
      </c>
      <c r="AD175" s="5">
        <f>Data3[[#This Row],[UnitPrice]]*Data3[[#This Row],[Quantity]]*(1-Data3[[#This Row],[DiscountPct]])</f>
        <v>9829.0483199999999</v>
      </c>
      <c r="AE175" s="6">
        <f>Data3[[#This Row],[UnitPrice]]*Data3[[#This Row],[Quantity]]</f>
        <v>11182.08</v>
      </c>
      <c r="AF175" s="6">
        <f>Data3[[#This Row],[GrossRevenue]]-(Data3[[#This Row],[Quantity]]*Data3[[#This Row],[UnitCost]])</f>
        <v>1982.7283200000002</v>
      </c>
      <c r="AG175" s="6" t="str">
        <f>TEXT(Data3[[#This Row],[OrderDate]], "mmm-yyyy")</f>
        <v>May-2023</v>
      </c>
      <c r="AH175" s="7">
        <f>IF(Data3[[#This Row],[GrossRevenue]]=0, 0,Data3[[#This Row],[GrossProfit]]/Data3[[#This Row],[GrossRevenue]])</f>
        <v>0.20172129136506273</v>
      </c>
      <c r="AI175" s="5">
        <f t="shared" si="12"/>
        <v>9829.0483199999999</v>
      </c>
    </row>
    <row r="176" spans="1:35" x14ac:dyDescent="0.35">
      <c r="A176" s="4" t="s">
        <v>754</v>
      </c>
      <c r="B176" s="2">
        <v>45303</v>
      </c>
      <c r="C176" s="2" t="str">
        <f>TEXT(Data3[[#This Row],[OrderDate]],"MMM-YYYY")</f>
        <v>Jan-2024</v>
      </c>
      <c r="D176" s="4" t="str">
        <f>"Q"&amp;INT((MONTH(Data3[[#This Row],[OrderDate]])-1)/3)+1&amp;"-"&amp;YEAR(Data3[[#This Row],[OrderDate]])</f>
        <v>Q1-2024</v>
      </c>
      <c r="E176" s="2">
        <v>45320</v>
      </c>
      <c r="F176" t="s">
        <v>45</v>
      </c>
      <c r="G176" t="s">
        <v>60</v>
      </c>
      <c r="H176" s="4" t="s">
        <v>281</v>
      </c>
      <c r="I176" t="s">
        <v>62</v>
      </c>
      <c r="J176" s="4" t="s">
        <v>98</v>
      </c>
      <c r="K176" s="4" t="s">
        <v>56</v>
      </c>
      <c r="L176" t="s">
        <v>22</v>
      </c>
      <c r="M176" s="4" t="s">
        <v>755</v>
      </c>
      <c r="N176" s="3">
        <v>310.02</v>
      </c>
      <c r="O176" s="3">
        <v>619.51</v>
      </c>
      <c r="P176" s="3">
        <v>4.2000000000000003E-2</v>
      </c>
      <c r="Q176" s="3">
        <v>4</v>
      </c>
      <c r="R176" t="s">
        <v>56</v>
      </c>
      <c r="S176" t="s">
        <v>281</v>
      </c>
      <c r="T176" t="s">
        <v>98</v>
      </c>
      <c r="U176">
        <v>619.51</v>
      </c>
      <c r="V176" t="str" cm="1">
        <f t="array" ref="V176">_xlfn.IFS(Data3[[#This Row],[CorrectedUnitPriceCustom]]&lt;=$W$2, "Low",Data3[[#This Row],[CorrectedUnitPriceCustom]]&lt;=$Y$2, "Medium", TRUE, "High")</f>
        <v>Low</v>
      </c>
      <c r="W176">
        <f t="shared" si="9"/>
        <v>822.71749999999997</v>
      </c>
      <c r="X176">
        <f t="shared" si="10"/>
        <v>1439.48</v>
      </c>
      <c r="Y176">
        <f t="shared" si="11"/>
        <v>2135.9549999999999</v>
      </c>
      <c r="Z176">
        <v>4.2000000000000003E-2</v>
      </c>
      <c r="AA176" t="s">
        <v>1372</v>
      </c>
      <c r="AB176" s="1">
        <v>45320</v>
      </c>
      <c r="AC176">
        <v>17</v>
      </c>
      <c r="AD176" s="5">
        <f>Data3[[#This Row],[UnitPrice]]*Data3[[#This Row],[Quantity]]*(1-Data3[[#This Row],[DiscountPct]])</f>
        <v>2373.9623200000001</v>
      </c>
      <c r="AE176" s="6">
        <f>Data3[[#This Row],[UnitPrice]]*Data3[[#This Row],[Quantity]]</f>
        <v>2478.04</v>
      </c>
      <c r="AF176" s="6">
        <f>Data3[[#This Row],[GrossRevenue]]-(Data3[[#This Row],[Quantity]]*Data3[[#This Row],[UnitCost]])</f>
        <v>1133.8823200000002</v>
      </c>
      <c r="AG176" s="6" t="str">
        <f>TEXT(Data3[[#This Row],[OrderDate]], "mmm-yyyy")</f>
        <v>Jan-2024</v>
      </c>
      <c r="AH176" s="7">
        <f>IF(Data3[[#This Row],[GrossRevenue]]=0, 0,Data3[[#This Row],[GrossProfit]]/Data3[[#This Row],[GrossRevenue]])</f>
        <v>0.47763282106347843</v>
      </c>
      <c r="AI176" s="5">
        <f t="shared" si="12"/>
        <v>2373.9623200000001</v>
      </c>
    </row>
    <row r="177" spans="1:35" x14ac:dyDescent="0.35">
      <c r="A177" s="4" t="s">
        <v>758</v>
      </c>
      <c r="B177" s="2">
        <v>45796</v>
      </c>
      <c r="C177" s="2" t="str">
        <f>TEXT(Data3[[#This Row],[OrderDate]],"MMM-YYYY")</f>
        <v>May-2025</v>
      </c>
      <c r="D177" s="4" t="str">
        <f>"Q"&amp;INT((MONTH(Data3[[#This Row],[OrderDate]])-1)/3)+1&amp;"-"&amp;YEAR(Data3[[#This Row],[OrderDate]])</f>
        <v>Q2-2025</v>
      </c>
      <c r="E177" s="2">
        <v>45794</v>
      </c>
      <c r="F177" t="s">
        <v>52</v>
      </c>
      <c r="G177" t="s">
        <v>73</v>
      </c>
      <c r="H177" s="4" t="s">
        <v>74</v>
      </c>
      <c r="I177" t="s">
        <v>62</v>
      </c>
      <c r="J177" s="4" t="s">
        <v>55</v>
      </c>
      <c r="K177" s="4" t="s">
        <v>49</v>
      </c>
      <c r="L177" t="s">
        <v>64</v>
      </c>
      <c r="M177" s="4" t="s">
        <v>759</v>
      </c>
      <c r="N177" s="3">
        <v>383.77</v>
      </c>
      <c r="O177" s="3">
        <v>952.56</v>
      </c>
      <c r="P177" s="3">
        <v>0.34599999999999997</v>
      </c>
      <c r="Q177" s="3">
        <v>10</v>
      </c>
      <c r="R177" t="s">
        <v>49</v>
      </c>
      <c r="S177" t="s">
        <v>74</v>
      </c>
      <c r="T177" t="s">
        <v>55</v>
      </c>
      <c r="U177">
        <v>952.56</v>
      </c>
      <c r="V177" t="str" cm="1">
        <f t="array" ref="V177">_xlfn.IFS(Data3[[#This Row],[CorrectedUnitPriceCustom]]&lt;=$W$2, "Low",Data3[[#This Row],[CorrectedUnitPriceCustom]]&lt;=$Y$2, "Medium", TRUE, "High")</f>
        <v>Medium</v>
      </c>
      <c r="W177">
        <f t="shared" si="9"/>
        <v>833.69</v>
      </c>
      <c r="X177">
        <f t="shared" si="10"/>
        <v>1454.22</v>
      </c>
      <c r="Y177">
        <f t="shared" si="11"/>
        <v>2137.21</v>
      </c>
      <c r="Z177">
        <v>0.3</v>
      </c>
      <c r="AA177" t="s">
        <v>1373</v>
      </c>
      <c r="AB177" s="1">
        <v>45803</v>
      </c>
      <c r="AC177">
        <v>7</v>
      </c>
      <c r="AD177" s="5">
        <f>Data3[[#This Row],[UnitPrice]]*Data3[[#This Row],[Quantity]]*(1-Data3[[#This Row],[DiscountPct]])</f>
        <v>6229.7423999999992</v>
      </c>
      <c r="AE177" s="6">
        <f>Data3[[#This Row],[UnitPrice]]*Data3[[#This Row],[Quantity]]</f>
        <v>9525.5999999999985</v>
      </c>
      <c r="AF177" s="6">
        <f>Data3[[#This Row],[GrossRevenue]]-(Data3[[#This Row],[Quantity]]*Data3[[#This Row],[UnitCost]])</f>
        <v>2392.0423999999994</v>
      </c>
      <c r="AG177" s="6" t="str">
        <f>TEXT(Data3[[#This Row],[OrderDate]], "mmm-yyyy")</f>
        <v>May-2025</v>
      </c>
      <c r="AH177" s="7">
        <f>IF(Data3[[#This Row],[GrossRevenue]]=0, 0,Data3[[#This Row],[GrossProfit]]/Data3[[#This Row],[GrossRevenue]])</f>
        <v>0.38397131797937578</v>
      </c>
      <c r="AI177" s="5">
        <f t="shared" si="12"/>
        <v>6229.7423999999992</v>
      </c>
    </row>
    <row r="178" spans="1:35" x14ac:dyDescent="0.35">
      <c r="A178" s="4" t="s">
        <v>762</v>
      </c>
      <c r="B178" s="2">
        <v>45668</v>
      </c>
      <c r="C178" s="2" t="str">
        <f>TEXT(Data3[[#This Row],[OrderDate]],"MMM-YYYY")</f>
        <v>Jan-2025</v>
      </c>
      <c r="D178" s="4" t="str">
        <f>"Q"&amp;INT((MONTH(Data3[[#This Row],[OrderDate]])-1)/3)+1&amp;"-"&amp;YEAR(Data3[[#This Row],[OrderDate]])</f>
        <v>Q1-2025</v>
      </c>
      <c r="E178" s="2">
        <v>45680</v>
      </c>
      <c r="F178" t="s">
        <v>52</v>
      </c>
      <c r="G178" t="s">
        <v>122</v>
      </c>
      <c r="H178" s="4" t="s">
        <v>326</v>
      </c>
      <c r="I178" t="s">
        <v>48</v>
      </c>
      <c r="J178" s="4" t="s">
        <v>55</v>
      </c>
      <c r="K178" s="4" t="s">
        <v>92</v>
      </c>
      <c r="L178" t="s">
        <v>42</v>
      </c>
      <c r="M178" s="4" t="s">
        <v>763</v>
      </c>
      <c r="N178" s="3">
        <v>100.69</v>
      </c>
      <c r="O178" s="3">
        <v>226.14</v>
      </c>
      <c r="P178" s="3">
        <v>6.5000000000000002E-2</v>
      </c>
      <c r="Q178" s="3">
        <v>12</v>
      </c>
      <c r="R178" t="s">
        <v>92</v>
      </c>
      <c r="S178" t="s">
        <v>326</v>
      </c>
      <c r="T178" t="s">
        <v>55</v>
      </c>
      <c r="U178">
        <v>226.14</v>
      </c>
      <c r="V178" t="str" cm="1">
        <f t="array" ref="V178">_xlfn.IFS(Data3[[#This Row],[CorrectedUnitPriceCustom]]&lt;=$W$2, "Low",Data3[[#This Row],[CorrectedUnitPriceCustom]]&lt;=$Y$2, "Medium", TRUE, "High")</f>
        <v>Low</v>
      </c>
      <c r="W178">
        <f t="shared" si="9"/>
        <v>830.03250000000003</v>
      </c>
      <c r="X178">
        <f t="shared" si="10"/>
        <v>1511.5250000000001</v>
      </c>
      <c r="Y178">
        <f t="shared" si="11"/>
        <v>2149.8575000000001</v>
      </c>
      <c r="Z178">
        <v>6.5000000000000002E-2</v>
      </c>
      <c r="AA178" t="s">
        <v>1372</v>
      </c>
      <c r="AB178" s="1">
        <v>45680</v>
      </c>
      <c r="AC178">
        <v>12</v>
      </c>
      <c r="AD178" s="5">
        <f>Data3[[#This Row],[UnitPrice]]*Data3[[#This Row],[Quantity]]*(1-Data3[[#This Row],[DiscountPct]])</f>
        <v>2537.2908000000002</v>
      </c>
      <c r="AE178" s="6">
        <f>Data3[[#This Row],[UnitPrice]]*Data3[[#This Row],[Quantity]]</f>
        <v>2713.68</v>
      </c>
      <c r="AF178" s="6">
        <f>Data3[[#This Row],[GrossRevenue]]-(Data3[[#This Row],[Quantity]]*Data3[[#This Row],[UnitCost]])</f>
        <v>1329.0108000000002</v>
      </c>
      <c r="AG178" s="6" t="str">
        <f>TEXT(Data3[[#This Row],[OrderDate]], "mmm-yyyy")</f>
        <v>Jan-2025</v>
      </c>
      <c r="AH178" s="7">
        <f>IF(Data3[[#This Row],[GrossRevenue]]=0, 0,Data3[[#This Row],[GrossProfit]]/Data3[[#This Row],[GrossRevenue]])</f>
        <v>0.52379128162999689</v>
      </c>
      <c r="AI178" s="5">
        <f t="shared" si="12"/>
        <v>2537.2908000000002</v>
      </c>
    </row>
    <row r="179" spans="1:35" x14ac:dyDescent="0.35">
      <c r="A179" s="4" t="s">
        <v>764</v>
      </c>
      <c r="B179" s="2">
        <v>45914</v>
      </c>
      <c r="C179" s="2" t="str">
        <f>TEXT(Data3[[#This Row],[OrderDate]],"MMM-YYYY")</f>
        <v>Sep-2025</v>
      </c>
      <c r="D179" s="4" t="str">
        <f>"Q"&amp;INT((MONTH(Data3[[#This Row],[OrderDate]])-1)/3)+1&amp;"-"&amp;YEAR(Data3[[#This Row],[OrderDate]])</f>
        <v>Q3-2025</v>
      </c>
      <c r="E179" s="2">
        <v>45926</v>
      </c>
      <c r="F179" t="s">
        <v>78</v>
      </c>
      <c r="G179" t="s">
        <v>108</v>
      </c>
      <c r="H179" s="4" t="s">
        <v>152</v>
      </c>
      <c r="I179" t="s">
        <v>62</v>
      </c>
      <c r="J179" s="4" t="s">
        <v>98</v>
      </c>
      <c r="K179" s="4" t="s">
        <v>126</v>
      </c>
      <c r="L179" t="s">
        <v>35</v>
      </c>
      <c r="M179" s="4" t="s">
        <v>765</v>
      </c>
      <c r="N179" s="3">
        <v>425.15</v>
      </c>
      <c r="O179" s="3">
        <v>885.92</v>
      </c>
      <c r="P179" s="3">
        <v>0.23899999999999999</v>
      </c>
      <c r="Q179" s="3">
        <v>13</v>
      </c>
      <c r="R179" t="s">
        <v>126</v>
      </c>
      <c r="S179" t="s">
        <v>152</v>
      </c>
      <c r="T179" t="s">
        <v>98</v>
      </c>
      <c r="U179">
        <v>885.92</v>
      </c>
      <c r="V179" t="str" cm="1">
        <f t="array" ref="V179">_xlfn.IFS(Data3[[#This Row],[CorrectedUnitPriceCustom]]&lt;=$W$2, "Low",Data3[[#This Row],[CorrectedUnitPriceCustom]]&lt;=$Y$2, "Medium", TRUE, "High")</f>
        <v>Medium</v>
      </c>
      <c r="W179">
        <f t="shared" si="9"/>
        <v>837.8900000000001</v>
      </c>
      <c r="X179">
        <f t="shared" si="10"/>
        <v>1568.83</v>
      </c>
      <c r="Y179">
        <f t="shared" si="11"/>
        <v>2162.5050000000001</v>
      </c>
      <c r="Z179">
        <v>0.23899999999999999</v>
      </c>
      <c r="AA179" t="s">
        <v>1372</v>
      </c>
      <c r="AB179" s="1">
        <v>45926</v>
      </c>
      <c r="AC179">
        <v>12</v>
      </c>
      <c r="AD179" s="5">
        <f>Data3[[#This Row],[UnitPrice]]*Data3[[#This Row],[Quantity]]*(1-Data3[[#This Row],[DiscountPct]])</f>
        <v>8764.4065599999994</v>
      </c>
      <c r="AE179" s="6">
        <f>Data3[[#This Row],[UnitPrice]]*Data3[[#This Row],[Quantity]]</f>
        <v>11516.96</v>
      </c>
      <c r="AF179" s="6">
        <f>Data3[[#This Row],[GrossRevenue]]-(Data3[[#This Row],[Quantity]]*Data3[[#This Row],[UnitCost]])</f>
        <v>3237.4565599999996</v>
      </c>
      <c r="AG179" s="6" t="str">
        <f>TEXT(Data3[[#This Row],[OrderDate]], "mmm-yyyy")</f>
        <v>Sep-2025</v>
      </c>
      <c r="AH179" s="7">
        <f>IF(Data3[[#This Row],[GrossRevenue]]=0, 0,Data3[[#This Row],[GrossProfit]]/Data3[[#This Row],[GrossRevenue]])</f>
        <v>0.3693868532725848</v>
      </c>
      <c r="AI179" s="5">
        <f t="shared" si="12"/>
        <v>8764.4065599999994</v>
      </c>
    </row>
    <row r="180" spans="1:35" x14ac:dyDescent="0.35">
      <c r="A180" s="4" t="s">
        <v>766</v>
      </c>
      <c r="B180" s="2">
        <v>45168</v>
      </c>
      <c r="C180" s="2" t="str">
        <f>TEXT(Data3[[#This Row],[OrderDate]],"MMM-YYYY")</f>
        <v>Aug-2023</v>
      </c>
      <c r="D180" s="4" t="str">
        <f>"Q"&amp;INT((MONTH(Data3[[#This Row],[OrderDate]])-1)/3)+1&amp;"-"&amp;YEAR(Data3[[#This Row],[OrderDate]])</f>
        <v>Q3-2023</v>
      </c>
      <c r="E180" s="2">
        <v>45172</v>
      </c>
      <c r="F180" t="s">
        <v>45</v>
      </c>
      <c r="G180" t="s">
        <v>60</v>
      </c>
      <c r="H180" s="4" t="s">
        <v>141</v>
      </c>
      <c r="I180" t="s">
        <v>62</v>
      </c>
      <c r="J180" s="4" t="s">
        <v>40</v>
      </c>
      <c r="K180" s="4" t="s">
        <v>49</v>
      </c>
      <c r="L180" t="s">
        <v>81</v>
      </c>
      <c r="M180" s="4" t="s">
        <v>767</v>
      </c>
      <c r="N180" s="3">
        <v>1082.25</v>
      </c>
      <c r="O180" s="3">
        <v>2433.34</v>
      </c>
      <c r="P180" s="3">
        <v>0.27</v>
      </c>
      <c r="Q180" s="3">
        <v>4</v>
      </c>
      <c r="R180" t="s">
        <v>49</v>
      </c>
      <c r="S180" t="s">
        <v>141</v>
      </c>
      <c r="T180" t="s">
        <v>40</v>
      </c>
      <c r="U180">
        <v>2433.34</v>
      </c>
      <c r="V180" t="str" cm="1">
        <f t="array" ref="V180">_xlfn.IFS(Data3[[#This Row],[CorrectedUnitPriceCustom]]&lt;=$W$2, "Low",Data3[[#This Row],[CorrectedUnitPriceCustom]]&lt;=$Y$2, "Medium", TRUE, "High")</f>
        <v>High</v>
      </c>
      <c r="W180">
        <f t="shared" si="9"/>
        <v>835.79000000000008</v>
      </c>
      <c r="X180">
        <f t="shared" si="10"/>
        <v>1579.5949999999998</v>
      </c>
      <c r="Y180">
        <f t="shared" si="11"/>
        <v>2175.1525000000001</v>
      </c>
      <c r="Z180">
        <v>0.27</v>
      </c>
      <c r="AA180" t="s">
        <v>1372</v>
      </c>
      <c r="AB180" s="1">
        <v>45172</v>
      </c>
      <c r="AC180">
        <v>4</v>
      </c>
      <c r="AD180" s="5">
        <f>Data3[[#This Row],[UnitPrice]]*Data3[[#This Row],[Quantity]]*(1-Data3[[#This Row],[DiscountPct]])</f>
        <v>7105.3528000000006</v>
      </c>
      <c r="AE180" s="6">
        <f>Data3[[#This Row],[UnitPrice]]*Data3[[#This Row],[Quantity]]</f>
        <v>9733.36</v>
      </c>
      <c r="AF180" s="6">
        <f>Data3[[#This Row],[GrossRevenue]]-(Data3[[#This Row],[Quantity]]*Data3[[#This Row],[UnitCost]])</f>
        <v>2776.3528000000006</v>
      </c>
      <c r="AG180" s="6" t="str">
        <f>TEXT(Data3[[#This Row],[OrderDate]], "mmm-yyyy")</f>
        <v>Aug-2023</v>
      </c>
      <c r="AH180" s="7">
        <f>IF(Data3[[#This Row],[GrossRevenue]]=0, 0,Data3[[#This Row],[GrossProfit]]/Data3[[#This Row],[GrossRevenue]])</f>
        <v>0.3907410199251472</v>
      </c>
      <c r="AI180" s="5">
        <f t="shared" si="12"/>
        <v>7105.3528000000006</v>
      </c>
    </row>
    <row r="181" spans="1:35" x14ac:dyDescent="0.35">
      <c r="A181" s="4" t="s">
        <v>768</v>
      </c>
      <c r="B181" s="2">
        <v>45245</v>
      </c>
      <c r="C181" s="2" t="str">
        <f>TEXT(Data3[[#This Row],[OrderDate]],"MMM-YYYY")</f>
        <v>Nov-2023</v>
      </c>
      <c r="D181" s="4" t="str">
        <f>"Q"&amp;INT((MONTH(Data3[[#This Row],[OrderDate]])-1)/3)+1&amp;"-"&amp;YEAR(Data3[[#This Row],[OrderDate]])</f>
        <v>Q4-2023</v>
      </c>
      <c r="E181" s="2">
        <v>45266</v>
      </c>
      <c r="F181" t="s">
        <v>78</v>
      </c>
      <c r="G181" t="s">
        <v>108</v>
      </c>
      <c r="H181" s="4" t="s">
        <v>228</v>
      </c>
      <c r="I181" t="s">
        <v>27</v>
      </c>
      <c r="J181" s="4" t="s">
        <v>98</v>
      </c>
      <c r="K181" s="4" t="s">
        <v>92</v>
      </c>
      <c r="L181" t="s">
        <v>81</v>
      </c>
      <c r="M181" s="4" t="s">
        <v>769</v>
      </c>
      <c r="N181" s="3">
        <v>1184.99</v>
      </c>
      <c r="O181" s="3">
        <v>1154.3399999999999</v>
      </c>
      <c r="P181" s="3">
        <v>2.8000000000000001E-2</v>
      </c>
      <c r="Q181" s="3">
        <v>5</v>
      </c>
      <c r="R181" t="s">
        <v>92</v>
      </c>
      <c r="S181" t="s">
        <v>228</v>
      </c>
      <c r="T181" t="s">
        <v>98</v>
      </c>
      <c r="U181">
        <v>1154.3399999999999</v>
      </c>
      <c r="V181" t="str" cm="1">
        <f t="array" ref="V181">_xlfn.IFS(Data3[[#This Row],[CorrectedUnitPriceCustom]]&lt;=$W$2, "Low",Data3[[#This Row],[CorrectedUnitPriceCustom]]&lt;=$Y$2, "Medium", TRUE, "High")</f>
        <v>Medium</v>
      </c>
      <c r="W181">
        <f t="shared" si="9"/>
        <v>833.69</v>
      </c>
      <c r="X181">
        <f t="shared" si="10"/>
        <v>1568.83</v>
      </c>
      <c r="Y181">
        <f t="shared" si="11"/>
        <v>2137.21</v>
      </c>
      <c r="Z181">
        <v>2.8000000000000001E-2</v>
      </c>
      <c r="AA181" t="s">
        <v>1372</v>
      </c>
      <c r="AB181" s="1">
        <v>45266</v>
      </c>
      <c r="AC181">
        <v>21</v>
      </c>
      <c r="AD181" s="5">
        <f>Data3[[#This Row],[UnitPrice]]*Data3[[#This Row],[Quantity]]*(1-Data3[[#This Row],[DiscountPct]])</f>
        <v>5610.0923999999995</v>
      </c>
      <c r="AE181" s="6">
        <f>Data3[[#This Row],[UnitPrice]]*Data3[[#This Row],[Quantity]]</f>
        <v>5771.7</v>
      </c>
      <c r="AF181" s="6">
        <f>Data3[[#This Row],[GrossRevenue]]-(Data3[[#This Row],[Quantity]]*Data3[[#This Row],[UnitCost]])</f>
        <v>-314.85760000000028</v>
      </c>
      <c r="AG181" s="6" t="str">
        <f>TEXT(Data3[[#This Row],[OrderDate]], "mmm-yyyy")</f>
        <v>Nov-2023</v>
      </c>
      <c r="AH181" s="7">
        <f>IF(Data3[[#This Row],[GrossRevenue]]=0, 0,Data3[[#This Row],[GrossProfit]]/Data3[[#This Row],[GrossRevenue]])</f>
        <v>-5.6123424990290764E-2</v>
      </c>
      <c r="AI181" s="5">
        <f t="shared" si="12"/>
        <v>5610.0923999999995</v>
      </c>
    </row>
    <row r="182" spans="1:35" x14ac:dyDescent="0.35">
      <c r="A182" s="4" t="s">
        <v>770</v>
      </c>
      <c r="B182" s="2">
        <v>45774</v>
      </c>
      <c r="C182" s="2" t="str">
        <f>TEXT(Data3[[#This Row],[OrderDate]],"MMM-YYYY")</f>
        <v>Apr-2025</v>
      </c>
      <c r="D182" s="4" t="str">
        <f>"Q"&amp;INT((MONTH(Data3[[#This Row],[OrderDate]])-1)/3)+1&amp;"-"&amp;YEAR(Data3[[#This Row],[OrderDate]])</f>
        <v>Q2-2025</v>
      </c>
      <c r="E182" s="2">
        <v>45804</v>
      </c>
      <c r="F182" t="s">
        <v>45</v>
      </c>
      <c r="G182" t="s">
        <v>60</v>
      </c>
      <c r="I182" t="s">
        <v>105</v>
      </c>
      <c r="J182" s="4" t="s">
        <v>40</v>
      </c>
      <c r="K182" s="4" t="s">
        <v>92</v>
      </c>
      <c r="L182" t="s">
        <v>42</v>
      </c>
      <c r="M182" s="4" t="s">
        <v>771</v>
      </c>
      <c r="N182" s="3">
        <v>481.32</v>
      </c>
      <c r="O182" s="3">
        <v>1135.99</v>
      </c>
      <c r="P182" s="3">
        <v>0.14499999999999999</v>
      </c>
      <c r="Q182" s="3">
        <v>5</v>
      </c>
      <c r="R182" t="s">
        <v>92</v>
      </c>
      <c r="S182" t="s">
        <v>1376</v>
      </c>
      <c r="T182" t="s">
        <v>40</v>
      </c>
      <c r="U182">
        <v>1135.99</v>
      </c>
      <c r="V182" t="str" cm="1">
        <f t="array" ref="V182">_xlfn.IFS(Data3[[#This Row],[CorrectedUnitPriceCustom]]&lt;=$W$2, "Low",Data3[[#This Row],[CorrectedUnitPriceCustom]]&lt;=$Y$2, "Medium", TRUE, "High")</f>
        <v>Medium</v>
      </c>
      <c r="W182">
        <f t="shared" si="9"/>
        <v>830.03250000000003</v>
      </c>
      <c r="X182">
        <f t="shared" si="10"/>
        <v>1579.5949999999998</v>
      </c>
      <c r="Y182">
        <f t="shared" si="11"/>
        <v>2149.8575000000001</v>
      </c>
      <c r="Z182">
        <v>0.14499999999999999</v>
      </c>
      <c r="AA182" t="s">
        <v>1372</v>
      </c>
      <c r="AB182" s="1">
        <v>45804</v>
      </c>
      <c r="AC182">
        <v>30</v>
      </c>
      <c r="AD182" s="5">
        <f>Data3[[#This Row],[UnitPrice]]*Data3[[#This Row],[Quantity]]*(1-Data3[[#This Row],[DiscountPct]])</f>
        <v>4856.35725</v>
      </c>
      <c r="AE182" s="6">
        <f>Data3[[#This Row],[UnitPrice]]*Data3[[#This Row],[Quantity]]</f>
        <v>5679.95</v>
      </c>
      <c r="AF182" s="6">
        <f>Data3[[#This Row],[GrossRevenue]]-(Data3[[#This Row],[Quantity]]*Data3[[#This Row],[UnitCost]])</f>
        <v>2449.7572500000001</v>
      </c>
      <c r="AG182" s="6" t="str">
        <f>TEXT(Data3[[#This Row],[OrderDate]], "mmm-yyyy")</f>
        <v>Apr-2025</v>
      </c>
      <c r="AH182" s="7">
        <f>IF(Data3[[#This Row],[GrossRevenue]]=0, 0,Data3[[#This Row],[GrossProfit]]/Data3[[#This Row],[GrossRevenue]])</f>
        <v>0.50444337677175621</v>
      </c>
      <c r="AI182" s="5">
        <f t="shared" si="12"/>
        <v>4856.35725</v>
      </c>
    </row>
    <row r="183" spans="1:35" x14ac:dyDescent="0.35">
      <c r="A183" s="4" t="s">
        <v>772</v>
      </c>
      <c r="B183" s="2">
        <v>45391</v>
      </c>
      <c r="C183" s="2" t="str">
        <f>TEXT(Data3[[#This Row],[OrderDate]],"MMM-YYYY")</f>
        <v>Apr-2024</v>
      </c>
      <c r="D183" s="4" t="str">
        <f>"Q"&amp;INT((MONTH(Data3[[#This Row],[OrderDate]])-1)/3)+1&amp;"-"&amp;YEAR(Data3[[#This Row],[OrderDate]])</f>
        <v>Q2-2024</v>
      </c>
      <c r="E183" s="2">
        <v>45400</v>
      </c>
      <c r="F183" t="s">
        <v>78</v>
      </c>
      <c r="G183" t="s">
        <v>90</v>
      </c>
      <c r="H183" s="4" t="s">
        <v>138</v>
      </c>
      <c r="I183" t="s">
        <v>48</v>
      </c>
      <c r="J183" s="4" t="s">
        <v>28</v>
      </c>
      <c r="K183" s="4" t="s">
        <v>63</v>
      </c>
      <c r="L183" t="s">
        <v>30</v>
      </c>
      <c r="M183" s="4" t="s">
        <v>773</v>
      </c>
      <c r="N183" s="3">
        <v>1288.8499999999999</v>
      </c>
      <c r="O183" s="3">
        <v>2751.84</v>
      </c>
      <c r="P183" s="3">
        <v>0.158</v>
      </c>
      <c r="Q183" s="3">
        <v>7</v>
      </c>
      <c r="R183" t="s">
        <v>63</v>
      </c>
      <c r="S183" t="s">
        <v>138</v>
      </c>
      <c r="T183" t="s">
        <v>28</v>
      </c>
      <c r="U183">
        <v>2751.84</v>
      </c>
      <c r="V183" t="str" cm="1">
        <f t="array" ref="V183">_xlfn.IFS(Data3[[#This Row],[CorrectedUnitPriceCustom]]&lt;=$W$2, "Low",Data3[[#This Row],[CorrectedUnitPriceCustom]]&lt;=$Y$2, "Medium", TRUE, "High")</f>
        <v>High</v>
      </c>
      <c r="W183">
        <f t="shared" si="9"/>
        <v>826.375</v>
      </c>
      <c r="X183">
        <f t="shared" si="10"/>
        <v>1590.36</v>
      </c>
      <c r="Y183">
        <f t="shared" si="11"/>
        <v>2162.5050000000001</v>
      </c>
      <c r="Z183">
        <v>0.158</v>
      </c>
      <c r="AA183" t="s">
        <v>1372</v>
      </c>
      <c r="AB183" s="1">
        <v>45400</v>
      </c>
      <c r="AC183">
        <v>9</v>
      </c>
      <c r="AD183" s="5">
        <f>Data3[[#This Row],[UnitPrice]]*Data3[[#This Row],[Quantity]]*(1-Data3[[#This Row],[DiscountPct]])</f>
        <v>16219.34496</v>
      </c>
      <c r="AE183" s="6">
        <f>Data3[[#This Row],[UnitPrice]]*Data3[[#This Row],[Quantity]]</f>
        <v>19262.88</v>
      </c>
      <c r="AF183" s="6">
        <f>Data3[[#This Row],[GrossRevenue]]-(Data3[[#This Row],[Quantity]]*Data3[[#This Row],[UnitCost]])</f>
        <v>7197.3949600000014</v>
      </c>
      <c r="AG183" s="6" t="str">
        <f>TEXT(Data3[[#This Row],[OrderDate]], "mmm-yyyy")</f>
        <v>Apr-2024</v>
      </c>
      <c r="AH183" s="7">
        <f>IF(Data3[[#This Row],[GrossRevenue]]=0, 0,Data3[[#This Row],[GrossProfit]]/Data3[[#This Row],[GrossRevenue]])</f>
        <v>0.44375373837538756</v>
      </c>
      <c r="AI183" s="5">
        <f t="shared" si="12"/>
        <v>16219.34496</v>
      </c>
    </row>
    <row r="184" spans="1:35" x14ac:dyDescent="0.35">
      <c r="A184" s="4" t="s">
        <v>776</v>
      </c>
      <c r="B184" s="2">
        <v>45340</v>
      </c>
      <c r="C184" s="2" t="str">
        <f>TEXT(Data3[[#This Row],[OrderDate]],"MMM-YYYY")</f>
        <v>Feb-2024</v>
      </c>
      <c r="D184" s="4" t="str">
        <f>"Q"&amp;INT((MONTH(Data3[[#This Row],[OrderDate]])-1)/3)+1&amp;"-"&amp;YEAR(Data3[[#This Row],[OrderDate]])</f>
        <v>Q1-2024</v>
      </c>
      <c r="E184" s="2">
        <v>45354</v>
      </c>
      <c r="F184" t="s">
        <v>52</v>
      </c>
      <c r="G184" t="s">
        <v>73</v>
      </c>
      <c r="I184" t="s">
        <v>105</v>
      </c>
      <c r="J184" s="4" t="s">
        <v>55</v>
      </c>
      <c r="K184" s="4" t="s">
        <v>75</v>
      </c>
      <c r="L184" t="s">
        <v>30</v>
      </c>
      <c r="M184" s="4" t="s">
        <v>777</v>
      </c>
      <c r="N184" s="3">
        <v>624.23</v>
      </c>
      <c r="O184" s="3">
        <v>1318.37</v>
      </c>
      <c r="P184" s="3">
        <v>0.21</v>
      </c>
      <c r="Q184" s="3">
        <v>37</v>
      </c>
      <c r="R184" t="s">
        <v>75</v>
      </c>
      <c r="S184" t="s">
        <v>1376</v>
      </c>
      <c r="T184" t="s">
        <v>55</v>
      </c>
      <c r="U184">
        <v>1318.37</v>
      </c>
      <c r="V184" t="str" cm="1">
        <f t="array" ref="V184">_xlfn.IFS(Data3[[#This Row],[CorrectedUnitPriceCustom]]&lt;=$W$2, "Low",Data3[[#This Row],[CorrectedUnitPriceCustom]]&lt;=$Y$2, "Medium", TRUE, "High")</f>
        <v>Medium</v>
      </c>
      <c r="W184">
        <f t="shared" si="9"/>
        <v>822.71749999999997</v>
      </c>
      <c r="X184">
        <f t="shared" si="10"/>
        <v>1579.5949999999998</v>
      </c>
      <c r="Y184">
        <f t="shared" si="11"/>
        <v>2135.9549999999999</v>
      </c>
      <c r="Z184">
        <v>0.21</v>
      </c>
      <c r="AA184" t="s">
        <v>1372</v>
      </c>
      <c r="AB184" s="1">
        <v>45354</v>
      </c>
      <c r="AC184">
        <v>14</v>
      </c>
      <c r="AD184" s="5">
        <f>Data3[[#This Row],[UnitPrice]]*Data3[[#This Row],[Quantity]]*(1-Data3[[#This Row],[DiscountPct]])</f>
        <v>38535.955099999999</v>
      </c>
      <c r="AE184" s="6">
        <f>Data3[[#This Row],[UnitPrice]]*Data3[[#This Row],[Quantity]]</f>
        <v>48779.689999999995</v>
      </c>
      <c r="AF184" s="6">
        <f>Data3[[#This Row],[GrossRevenue]]-(Data3[[#This Row],[Quantity]]*Data3[[#This Row],[UnitCost]])</f>
        <v>15439.445099999997</v>
      </c>
      <c r="AG184" s="6" t="str">
        <f>TEXT(Data3[[#This Row],[OrderDate]], "mmm-yyyy")</f>
        <v>Feb-2024</v>
      </c>
      <c r="AH184" s="7">
        <f>IF(Data3[[#This Row],[GrossRevenue]]=0, 0,Data3[[#This Row],[GrossProfit]]/Data3[[#This Row],[GrossRevenue]])</f>
        <v>0.40065038118128793</v>
      </c>
      <c r="AI184" s="5">
        <f t="shared" si="12"/>
        <v>38535.955099999999</v>
      </c>
    </row>
    <row r="185" spans="1:35" x14ac:dyDescent="0.35">
      <c r="A185" s="4" t="s">
        <v>778</v>
      </c>
      <c r="B185" s="2">
        <v>45132</v>
      </c>
      <c r="C185" s="2" t="str">
        <f>TEXT(Data3[[#This Row],[OrderDate]],"MMM-YYYY")</f>
        <v>Jul-2023</v>
      </c>
      <c r="D185" s="4" t="str">
        <f>"Q"&amp;INT((MONTH(Data3[[#This Row],[OrderDate]])-1)/3)+1&amp;"-"&amp;YEAR(Data3[[#This Row],[OrderDate]])</f>
        <v>Q3-2023</v>
      </c>
      <c r="E185" s="2">
        <v>45148</v>
      </c>
      <c r="F185" t="s">
        <v>16</v>
      </c>
      <c r="G185" t="s">
        <v>25</v>
      </c>
      <c r="H185" s="4" t="s">
        <v>26</v>
      </c>
      <c r="I185" t="s">
        <v>19</v>
      </c>
      <c r="J185" s="4" t="s">
        <v>55</v>
      </c>
      <c r="K185" s="4" t="s">
        <v>34</v>
      </c>
      <c r="L185" t="s">
        <v>81</v>
      </c>
      <c r="M185" s="4" t="s">
        <v>779</v>
      </c>
      <c r="N185" s="3">
        <v>506.83</v>
      </c>
      <c r="O185" s="3">
        <v>441.74</v>
      </c>
      <c r="P185" s="3">
        <v>0.24</v>
      </c>
      <c r="Q185" s="3">
        <v>9</v>
      </c>
      <c r="R185" t="s">
        <v>34</v>
      </c>
      <c r="S185" t="s">
        <v>26</v>
      </c>
      <c r="T185" t="s">
        <v>55</v>
      </c>
      <c r="U185">
        <v>441.74</v>
      </c>
      <c r="V185" t="str" cm="1">
        <f t="array" ref="V185">_xlfn.IFS(Data3[[#This Row],[CorrectedUnitPriceCustom]]&lt;=$W$2, "Low",Data3[[#This Row],[CorrectedUnitPriceCustom]]&lt;=$Y$2, "Medium", TRUE, "High")</f>
        <v>Low</v>
      </c>
      <c r="W185">
        <f t="shared" si="9"/>
        <v>819.06</v>
      </c>
      <c r="X185">
        <f t="shared" si="10"/>
        <v>1590.36</v>
      </c>
      <c r="Y185">
        <f t="shared" si="11"/>
        <v>2137.21</v>
      </c>
      <c r="Z185">
        <v>0.24</v>
      </c>
      <c r="AA185" t="s">
        <v>1372</v>
      </c>
      <c r="AB185" s="1">
        <v>45148</v>
      </c>
      <c r="AC185">
        <v>16</v>
      </c>
      <c r="AD185" s="5">
        <f>Data3[[#This Row],[UnitPrice]]*Data3[[#This Row],[Quantity]]*(1-Data3[[#This Row],[DiscountPct]])</f>
        <v>3021.5016000000001</v>
      </c>
      <c r="AE185" s="6">
        <f>Data3[[#This Row],[UnitPrice]]*Data3[[#This Row],[Quantity]]</f>
        <v>3975.66</v>
      </c>
      <c r="AF185" s="6">
        <f>Data3[[#This Row],[GrossRevenue]]-(Data3[[#This Row],[Quantity]]*Data3[[#This Row],[UnitCost]])</f>
        <v>-1539.9684000000002</v>
      </c>
      <c r="AG185" s="6" t="str">
        <f>TEXT(Data3[[#This Row],[OrderDate]], "mmm-yyyy")</f>
        <v>Jul-2023</v>
      </c>
      <c r="AH185" s="7">
        <f>IF(Data3[[#This Row],[GrossRevenue]]=0, 0,Data3[[#This Row],[GrossProfit]]/Data3[[#This Row],[GrossRevenue]])</f>
        <v>-0.50966989393618067</v>
      </c>
      <c r="AI185" s="5">
        <f t="shared" si="12"/>
        <v>3021.5016000000001</v>
      </c>
    </row>
    <row r="186" spans="1:35" x14ac:dyDescent="0.35">
      <c r="A186" s="4" t="s">
        <v>780</v>
      </c>
      <c r="B186" s="2">
        <v>45121</v>
      </c>
      <c r="C186" s="2" t="str">
        <f>TEXT(Data3[[#This Row],[OrderDate]],"MMM-YYYY")</f>
        <v>Jul-2023</v>
      </c>
      <c r="D186" s="4" t="str">
        <f>"Q"&amp;INT((MONTH(Data3[[#This Row],[OrderDate]])-1)/3)+1&amp;"-"&amp;YEAR(Data3[[#This Row],[OrderDate]])</f>
        <v>Q3-2023</v>
      </c>
      <c r="E186" s="2">
        <v>45128</v>
      </c>
      <c r="F186" t="s">
        <v>16</v>
      </c>
      <c r="G186" t="s">
        <v>148</v>
      </c>
      <c r="H186" s="4" t="s">
        <v>172</v>
      </c>
      <c r="I186" t="s">
        <v>105</v>
      </c>
      <c r="J186" s="4" t="s">
        <v>40</v>
      </c>
      <c r="L186" t="s">
        <v>64</v>
      </c>
      <c r="M186" s="4" t="s">
        <v>781</v>
      </c>
      <c r="N186" s="3">
        <v>620.74</v>
      </c>
      <c r="O186" s="3">
        <v>1330.07</v>
      </c>
      <c r="P186" s="3">
        <v>0.29899999999999999</v>
      </c>
      <c r="Q186" s="3">
        <v>28</v>
      </c>
      <c r="R186" t="s">
        <v>1374</v>
      </c>
      <c r="S186" t="s">
        <v>172</v>
      </c>
      <c r="T186" t="s">
        <v>40</v>
      </c>
      <c r="U186">
        <v>1330.07</v>
      </c>
      <c r="V186" t="str" cm="1">
        <f t="array" ref="V186">_xlfn.IFS(Data3[[#This Row],[CorrectedUnitPriceCustom]]&lt;=$W$2, "Low",Data3[[#This Row],[CorrectedUnitPriceCustom]]&lt;=$Y$2, "Medium", TRUE, "High")</f>
        <v>Medium</v>
      </c>
      <c r="W186">
        <f t="shared" si="9"/>
        <v>830.03250000000003</v>
      </c>
      <c r="X186">
        <f t="shared" si="10"/>
        <v>1610.375</v>
      </c>
      <c r="Y186">
        <f t="shared" si="11"/>
        <v>2149.8575000000001</v>
      </c>
      <c r="Z186">
        <v>0.29899999999999999</v>
      </c>
      <c r="AA186" t="s">
        <v>1372</v>
      </c>
      <c r="AB186" s="1">
        <v>45128</v>
      </c>
      <c r="AC186">
        <v>7</v>
      </c>
      <c r="AD186" s="5">
        <f>Data3[[#This Row],[UnitPrice]]*Data3[[#This Row],[Quantity]]*(1-Data3[[#This Row],[DiscountPct]])</f>
        <v>26106.613960000002</v>
      </c>
      <c r="AE186" s="6">
        <f>Data3[[#This Row],[UnitPrice]]*Data3[[#This Row],[Quantity]]</f>
        <v>37241.96</v>
      </c>
      <c r="AF186" s="6">
        <f>Data3[[#This Row],[GrossRevenue]]-(Data3[[#This Row],[Quantity]]*Data3[[#This Row],[UnitCost]])</f>
        <v>8725.8939600000012</v>
      </c>
      <c r="AG186" s="6" t="str">
        <f>TEXT(Data3[[#This Row],[OrderDate]], "mmm-yyyy")</f>
        <v>Jul-2023</v>
      </c>
      <c r="AH186" s="7">
        <f>IF(Data3[[#This Row],[GrossRevenue]]=0, 0,Data3[[#This Row],[GrossProfit]]/Data3[[#This Row],[GrossRevenue]])</f>
        <v>0.33424073965967516</v>
      </c>
      <c r="AI186" s="5">
        <f t="shared" si="12"/>
        <v>26106.613960000002</v>
      </c>
    </row>
    <row r="187" spans="1:35" x14ac:dyDescent="0.35">
      <c r="A187" s="4" t="s">
        <v>782</v>
      </c>
      <c r="B187" s="2">
        <v>45131</v>
      </c>
      <c r="C187" s="2" t="str">
        <f>TEXT(Data3[[#This Row],[OrderDate]],"MMM-YYYY")</f>
        <v>Jul-2023</v>
      </c>
      <c r="D187" s="4" t="str">
        <f>"Q"&amp;INT((MONTH(Data3[[#This Row],[OrderDate]])-1)/3)+1&amp;"-"&amp;YEAR(Data3[[#This Row],[OrderDate]])</f>
        <v>Q3-2023</v>
      </c>
      <c r="E187" s="2">
        <v>45157</v>
      </c>
      <c r="F187" t="s">
        <v>16</v>
      </c>
      <c r="G187" t="s">
        <v>17</v>
      </c>
      <c r="H187" s="4" t="s">
        <v>33</v>
      </c>
      <c r="I187" t="s">
        <v>105</v>
      </c>
      <c r="J187" s="4" t="s">
        <v>55</v>
      </c>
      <c r="K187" s="4" t="s">
        <v>110</v>
      </c>
      <c r="L187" t="s">
        <v>81</v>
      </c>
      <c r="M187" s="4" t="s">
        <v>783</v>
      </c>
      <c r="N187" s="3">
        <v>661.45</v>
      </c>
      <c r="O187" s="3">
        <v>1634.86</v>
      </c>
      <c r="P187" s="3">
        <v>0.56499999999999995</v>
      </c>
      <c r="Q187" s="3">
        <v>24</v>
      </c>
      <c r="R187" t="s">
        <v>110</v>
      </c>
      <c r="S187" t="s">
        <v>33</v>
      </c>
      <c r="T187" t="s">
        <v>55</v>
      </c>
      <c r="U187">
        <v>1634.86</v>
      </c>
      <c r="V187" t="str" cm="1">
        <f t="array" ref="V187">_xlfn.IFS(Data3[[#This Row],[CorrectedUnitPriceCustom]]&lt;=$W$2, "Low",Data3[[#This Row],[CorrectedUnitPriceCustom]]&lt;=$Y$2, "Medium", TRUE, "High")</f>
        <v>Medium</v>
      </c>
      <c r="W187">
        <f t="shared" si="9"/>
        <v>826.375</v>
      </c>
      <c r="X187">
        <f t="shared" si="10"/>
        <v>1630.39</v>
      </c>
      <c r="Y187">
        <f t="shared" si="11"/>
        <v>2162.5050000000001</v>
      </c>
      <c r="Z187">
        <v>0.3</v>
      </c>
      <c r="AA187" t="s">
        <v>1373</v>
      </c>
      <c r="AB187" s="1">
        <v>45157</v>
      </c>
      <c r="AC187">
        <v>26</v>
      </c>
      <c r="AD187" s="5">
        <f>Data3[[#This Row],[UnitPrice]]*Data3[[#This Row],[Quantity]]*(1-Data3[[#This Row],[DiscountPct]])</f>
        <v>17067.938400000003</v>
      </c>
      <c r="AE187" s="6">
        <f>Data3[[#This Row],[UnitPrice]]*Data3[[#This Row],[Quantity]]</f>
        <v>39236.639999999999</v>
      </c>
      <c r="AF187" s="6">
        <f>Data3[[#This Row],[GrossRevenue]]-(Data3[[#This Row],[Quantity]]*Data3[[#This Row],[UnitCost]])</f>
        <v>1193.1384000000016</v>
      </c>
      <c r="AG187" s="6" t="str">
        <f>TEXT(Data3[[#This Row],[OrderDate]], "mmm-yyyy")</f>
        <v>Jul-2023</v>
      </c>
      <c r="AH187" s="7">
        <f>IF(Data3[[#This Row],[GrossRevenue]]=0, 0,Data3[[#This Row],[GrossProfit]]/Data3[[#This Row],[GrossRevenue]])</f>
        <v>6.9905244092045793E-2</v>
      </c>
      <c r="AI187" s="5">
        <f t="shared" si="12"/>
        <v>17067.938400000003</v>
      </c>
    </row>
    <row r="188" spans="1:35" x14ac:dyDescent="0.35">
      <c r="A188" s="4" t="s">
        <v>784</v>
      </c>
      <c r="B188" s="2">
        <v>45029</v>
      </c>
      <c r="C188" s="2" t="str">
        <f>TEXT(Data3[[#This Row],[OrderDate]],"MMM-YYYY")</f>
        <v>Apr-2023</v>
      </c>
      <c r="D188" s="4" t="str">
        <f>"Q"&amp;INT((MONTH(Data3[[#This Row],[OrderDate]])-1)/3)+1&amp;"-"&amp;YEAR(Data3[[#This Row],[OrderDate]])</f>
        <v>Q2-2023</v>
      </c>
      <c r="E188" s="2">
        <v>45027</v>
      </c>
      <c r="F188" t="s">
        <v>52</v>
      </c>
      <c r="G188" t="s">
        <v>122</v>
      </c>
      <c r="H188" s="4" t="s">
        <v>167</v>
      </c>
      <c r="I188" t="s">
        <v>27</v>
      </c>
      <c r="J188" s="4" t="s">
        <v>40</v>
      </c>
      <c r="K188" s="4" t="s">
        <v>41</v>
      </c>
      <c r="L188" t="s">
        <v>35</v>
      </c>
      <c r="M188" s="4" t="s">
        <v>785</v>
      </c>
      <c r="N188" s="3">
        <v>32.1</v>
      </c>
      <c r="O188" s="3">
        <v>70.599999999999994</v>
      </c>
      <c r="P188" s="3">
        <v>0.28199999999999997</v>
      </c>
      <c r="Q188" s="3">
        <v>22</v>
      </c>
      <c r="R188" t="s">
        <v>41</v>
      </c>
      <c r="S188" t="s">
        <v>167</v>
      </c>
      <c r="T188" t="s">
        <v>40</v>
      </c>
      <c r="U188">
        <v>70.599999999999994</v>
      </c>
      <c r="V188" t="str" cm="1">
        <f t="array" ref="V188">_xlfn.IFS(Data3[[#This Row],[CorrectedUnitPriceCustom]]&lt;=$W$2, "Low",Data3[[#This Row],[CorrectedUnitPriceCustom]]&lt;=$Y$2, "Medium", TRUE, "High")</f>
        <v>Low</v>
      </c>
      <c r="W188">
        <f t="shared" si="9"/>
        <v>822.71749999999997</v>
      </c>
      <c r="X188">
        <f t="shared" si="10"/>
        <v>1610.375</v>
      </c>
      <c r="Y188">
        <f t="shared" si="11"/>
        <v>2175.1525000000001</v>
      </c>
      <c r="Z188">
        <v>0.28199999999999997</v>
      </c>
      <c r="AA188" t="s">
        <v>1372</v>
      </c>
      <c r="AB188" s="1">
        <v>45036</v>
      </c>
      <c r="AC188">
        <v>7</v>
      </c>
      <c r="AD188" s="5">
        <f>Data3[[#This Row],[UnitPrice]]*Data3[[#This Row],[Quantity]]*(1-Data3[[#This Row],[DiscountPct]])</f>
        <v>1115.1975999999997</v>
      </c>
      <c r="AE188" s="6">
        <f>Data3[[#This Row],[UnitPrice]]*Data3[[#This Row],[Quantity]]</f>
        <v>1553.1999999999998</v>
      </c>
      <c r="AF188" s="6">
        <f>Data3[[#This Row],[GrossRevenue]]-(Data3[[#This Row],[Quantity]]*Data3[[#This Row],[UnitCost]])</f>
        <v>408.99759999999969</v>
      </c>
      <c r="AG188" s="6" t="str">
        <f>TEXT(Data3[[#This Row],[OrderDate]], "mmm-yyyy")</f>
        <v>Apr-2023</v>
      </c>
      <c r="AH188" s="7">
        <f>IF(Data3[[#This Row],[GrossRevenue]]=0, 0,Data3[[#This Row],[GrossProfit]]/Data3[[#This Row],[GrossRevenue]])</f>
        <v>0.36674899587301818</v>
      </c>
      <c r="AI188" s="5">
        <f t="shared" si="12"/>
        <v>1115.1975999999997</v>
      </c>
    </row>
    <row r="189" spans="1:35" x14ac:dyDescent="0.35">
      <c r="A189" s="4" t="s">
        <v>788</v>
      </c>
      <c r="B189" s="2">
        <v>45339</v>
      </c>
      <c r="C189" s="2" t="str">
        <f>TEXT(Data3[[#This Row],[OrderDate]],"MMM-YYYY")</f>
        <v>Feb-2024</v>
      </c>
      <c r="D189" s="4" t="str">
        <f>"Q"&amp;INT((MONTH(Data3[[#This Row],[OrderDate]])-1)/3)+1&amp;"-"&amp;YEAR(Data3[[#This Row],[OrderDate]])</f>
        <v>Q1-2024</v>
      </c>
      <c r="E189" s="2">
        <v>45355</v>
      </c>
      <c r="F189" t="s">
        <v>45</v>
      </c>
      <c r="G189" t="s">
        <v>60</v>
      </c>
      <c r="H189" s="4" t="s">
        <v>141</v>
      </c>
      <c r="I189" t="s">
        <v>62</v>
      </c>
      <c r="J189" s="4" t="s">
        <v>40</v>
      </c>
      <c r="K189" s="4" t="s">
        <v>84</v>
      </c>
      <c r="L189" t="s">
        <v>42</v>
      </c>
      <c r="M189" s="4" t="s">
        <v>789</v>
      </c>
      <c r="N189" s="3">
        <v>1231.8</v>
      </c>
      <c r="O189" s="3">
        <v>2015.99</v>
      </c>
      <c r="P189" s="3">
        <v>0.26100000000000001</v>
      </c>
      <c r="Q189" s="3">
        <v>6</v>
      </c>
      <c r="R189" t="s">
        <v>84</v>
      </c>
      <c r="S189" t="s">
        <v>141</v>
      </c>
      <c r="T189" t="s">
        <v>40</v>
      </c>
      <c r="U189">
        <v>2015.99</v>
      </c>
      <c r="V189" t="str" cm="1">
        <f t="array" ref="V189">_xlfn.IFS(Data3[[#This Row],[CorrectedUnitPriceCustom]]&lt;=$W$2, "Low",Data3[[#This Row],[CorrectedUnitPriceCustom]]&lt;=$Y$2, "Medium", TRUE, "High")</f>
        <v>High</v>
      </c>
      <c r="W189">
        <f t="shared" si="9"/>
        <v>833.69</v>
      </c>
      <c r="X189">
        <f t="shared" si="10"/>
        <v>1630.39</v>
      </c>
      <c r="Y189">
        <f t="shared" si="11"/>
        <v>2187.8000000000002</v>
      </c>
      <c r="Z189">
        <v>0.26100000000000001</v>
      </c>
      <c r="AA189" t="s">
        <v>1372</v>
      </c>
      <c r="AB189" s="1">
        <v>45355</v>
      </c>
      <c r="AC189">
        <v>16</v>
      </c>
      <c r="AD189" s="5">
        <f>Data3[[#This Row],[UnitPrice]]*Data3[[#This Row],[Quantity]]*(1-Data3[[#This Row],[DiscountPct]])</f>
        <v>8938.8996600000009</v>
      </c>
      <c r="AE189" s="6">
        <f>Data3[[#This Row],[UnitPrice]]*Data3[[#This Row],[Quantity]]</f>
        <v>12095.94</v>
      </c>
      <c r="AF189" s="6">
        <f>Data3[[#This Row],[GrossRevenue]]-(Data3[[#This Row],[Quantity]]*Data3[[#This Row],[UnitCost]])</f>
        <v>1548.0996600000017</v>
      </c>
      <c r="AG189" s="6" t="str">
        <f>TEXT(Data3[[#This Row],[OrderDate]], "mmm-yyyy")</f>
        <v>Feb-2024</v>
      </c>
      <c r="AH189" s="7">
        <f>IF(Data3[[#This Row],[GrossRevenue]]=0, 0,Data3[[#This Row],[GrossProfit]]/Data3[[#This Row],[GrossRevenue]])</f>
        <v>0.17318682599464391</v>
      </c>
      <c r="AI189" s="5">
        <f t="shared" si="12"/>
        <v>8938.8996600000009</v>
      </c>
    </row>
    <row r="190" spans="1:35" x14ac:dyDescent="0.35">
      <c r="A190" s="4" t="s">
        <v>806</v>
      </c>
      <c r="B190" s="2">
        <v>45121</v>
      </c>
      <c r="C190" s="2" t="str">
        <f>TEXT(Data3[[#This Row],[OrderDate]],"MMM-YYYY")</f>
        <v>Jul-2023</v>
      </c>
      <c r="D190" s="4" t="str">
        <f>"Q"&amp;INT((MONTH(Data3[[#This Row],[OrderDate]])-1)/3)+1&amp;"-"&amp;YEAR(Data3[[#This Row],[OrderDate]])</f>
        <v>Q3-2023</v>
      </c>
      <c r="E190" s="2">
        <v>45121</v>
      </c>
      <c r="F190" t="s">
        <v>16</v>
      </c>
      <c r="G190" t="s">
        <v>25</v>
      </c>
      <c r="H190" s="4" t="s">
        <v>38</v>
      </c>
      <c r="I190" t="s">
        <v>27</v>
      </c>
      <c r="J190" s="4" t="s">
        <v>20</v>
      </c>
      <c r="K190" s="4" t="s">
        <v>34</v>
      </c>
      <c r="L190" t="s">
        <v>81</v>
      </c>
      <c r="M190" s="4" t="s">
        <v>807</v>
      </c>
      <c r="N190" s="3">
        <v>956.38</v>
      </c>
      <c r="O190" s="3">
        <v>1454.22</v>
      </c>
      <c r="P190" s="3">
        <v>3.9E-2</v>
      </c>
      <c r="Q190" s="3">
        <v>19</v>
      </c>
      <c r="R190" t="s">
        <v>34</v>
      </c>
      <c r="S190" t="s">
        <v>38</v>
      </c>
      <c r="T190" t="s">
        <v>20</v>
      </c>
      <c r="U190">
        <v>1454.22</v>
      </c>
      <c r="V190" t="str" cm="1">
        <f t="array" ref="V190">_xlfn.IFS(Data3[[#This Row],[CorrectedUnitPriceCustom]]&lt;=$W$2, "Low",Data3[[#This Row],[CorrectedUnitPriceCustom]]&lt;=$Y$2, "Medium", TRUE, "High")</f>
        <v>Medium</v>
      </c>
      <c r="W190">
        <f t="shared" si="9"/>
        <v>830.03250000000003</v>
      </c>
      <c r="X190">
        <f t="shared" si="10"/>
        <v>1610.375</v>
      </c>
      <c r="Y190">
        <f t="shared" si="11"/>
        <v>2191.2350000000001</v>
      </c>
      <c r="Z190">
        <v>3.9E-2</v>
      </c>
      <c r="AA190" t="s">
        <v>1372</v>
      </c>
      <c r="AB190" s="1">
        <v>45121</v>
      </c>
      <c r="AC190">
        <v>0</v>
      </c>
      <c r="AD190" s="5">
        <f>Data3[[#This Row],[UnitPrice]]*Data3[[#This Row],[Quantity]]*(1-Data3[[#This Row],[DiscountPct]])</f>
        <v>26552.60298</v>
      </c>
      <c r="AE190" s="6">
        <f>Data3[[#This Row],[UnitPrice]]*Data3[[#This Row],[Quantity]]</f>
        <v>27630.18</v>
      </c>
      <c r="AF190" s="6">
        <f>Data3[[#This Row],[GrossRevenue]]-(Data3[[#This Row],[Quantity]]*Data3[[#This Row],[UnitCost]])</f>
        <v>8381.3829799999985</v>
      </c>
      <c r="AG190" s="6" t="str">
        <f>TEXT(Data3[[#This Row],[OrderDate]], "mmm-yyyy")</f>
        <v>Jul-2023</v>
      </c>
      <c r="AH190" s="7">
        <f>IF(Data3[[#This Row],[GrossRevenue]]=0, 0,Data3[[#This Row],[GrossProfit]]/Data3[[#This Row],[GrossRevenue]])</f>
        <v>0.31565202802576603</v>
      </c>
      <c r="AI190" s="5">
        <f t="shared" si="12"/>
        <v>26552.60298</v>
      </c>
    </row>
    <row r="191" spans="1:35" x14ac:dyDescent="0.35">
      <c r="A191" s="4" t="s">
        <v>816</v>
      </c>
      <c r="B191" s="2">
        <v>45385</v>
      </c>
      <c r="C191" s="2" t="str">
        <f>TEXT(Data3[[#This Row],[OrderDate]],"MMM-YYYY")</f>
        <v>Apr-2024</v>
      </c>
      <c r="D191" s="4" t="str">
        <f>"Q"&amp;INT((MONTH(Data3[[#This Row],[OrderDate]])-1)/3)+1&amp;"-"&amp;YEAR(Data3[[#This Row],[OrderDate]])</f>
        <v>Q2-2024</v>
      </c>
      <c r="E191" s="2">
        <v>45403</v>
      </c>
      <c r="F191" t="s">
        <v>52</v>
      </c>
      <c r="G191" t="s">
        <v>73</v>
      </c>
      <c r="H191" s="4" t="s">
        <v>87</v>
      </c>
      <c r="I191" t="s">
        <v>62</v>
      </c>
      <c r="J191" s="4" t="s">
        <v>55</v>
      </c>
      <c r="K191" s="4" t="s">
        <v>56</v>
      </c>
      <c r="L191" t="s">
        <v>35</v>
      </c>
      <c r="M191" s="4" t="s">
        <v>817</v>
      </c>
      <c r="N191" s="3">
        <v>1176.69</v>
      </c>
      <c r="O191" s="3">
        <v>2201.54</v>
      </c>
      <c r="P191" s="3">
        <v>0.17</v>
      </c>
      <c r="Q191" s="3">
        <v>27</v>
      </c>
      <c r="R191" t="s">
        <v>56</v>
      </c>
      <c r="S191" t="s">
        <v>87</v>
      </c>
      <c r="T191" t="s">
        <v>55</v>
      </c>
      <c r="U191">
        <v>2201.54</v>
      </c>
      <c r="V191" t="str" cm="1">
        <f t="array" ref="V191">_xlfn.IFS(Data3[[#This Row],[CorrectedUnitPriceCustom]]&lt;=$W$2, "Low",Data3[[#This Row],[CorrectedUnitPriceCustom]]&lt;=$Y$2, "Medium", TRUE, "High")</f>
        <v>High</v>
      </c>
      <c r="W191">
        <f t="shared" si="9"/>
        <v>826.375</v>
      </c>
      <c r="X191">
        <f t="shared" si="10"/>
        <v>1630.39</v>
      </c>
      <c r="Y191">
        <f t="shared" si="11"/>
        <v>2194.67</v>
      </c>
      <c r="Z191">
        <v>0.17</v>
      </c>
      <c r="AA191" t="s">
        <v>1372</v>
      </c>
      <c r="AB191" s="1">
        <v>45403</v>
      </c>
      <c r="AC191">
        <v>18</v>
      </c>
      <c r="AD191" s="5">
        <f>Data3[[#This Row],[UnitPrice]]*Data3[[#This Row],[Quantity]]*(1-Data3[[#This Row],[DiscountPct]])</f>
        <v>49336.511399999996</v>
      </c>
      <c r="AE191" s="6">
        <f>Data3[[#This Row],[UnitPrice]]*Data3[[#This Row],[Quantity]]</f>
        <v>59441.58</v>
      </c>
      <c r="AF191" s="6">
        <f>Data3[[#This Row],[GrossRevenue]]-(Data3[[#This Row],[Quantity]]*Data3[[#This Row],[UnitCost]])</f>
        <v>17565.881399999995</v>
      </c>
      <c r="AG191" s="6" t="str">
        <f>TEXT(Data3[[#This Row],[OrderDate]], "mmm-yyyy")</f>
        <v>Apr-2024</v>
      </c>
      <c r="AH191" s="7">
        <f>IF(Data3[[#This Row],[GrossRevenue]]=0, 0,Data3[[#This Row],[GrossProfit]]/Data3[[#This Row],[GrossRevenue]])</f>
        <v>0.35604222717701106</v>
      </c>
      <c r="AI191" s="5">
        <f t="shared" si="12"/>
        <v>49336.511399999996</v>
      </c>
    </row>
    <row r="192" spans="1:35" x14ac:dyDescent="0.35">
      <c r="A192" s="4" t="s">
        <v>828</v>
      </c>
      <c r="B192" s="2">
        <v>45360</v>
      </c>
      <c r="C192" s="2" t="str">
        <f>TEXT(Data3[[#This Row],[OrderDate]],"MMM-YYYY")</f>
        <v>Mar-2024</v>
      </c>
      <c r="D192" s="4" t="str">
        <f>"Q"&amp;INT((MONTH(Data3[[#This Row],[OrderDate]])-1)/3)+1&amp;"-"&amp;YEAR(Data3[[#This Row],[OrderDate]])</f>
        <v>Q1-2024</v>
      </c>
      <c r="E192" s="2">
        <v>45377</v>
      </c>
      <c r="F192" t="s">
        <v>45</v>
      </c>
      <c r="G192" t="s">
        <v>116</v>
      </c>
      <c r="H192" s="4" t="s">
        <v>117</v>
      </c>
      <c r="I192" t="s">
        <v>105</v>
      </c>
      <c r="J192" s="4" t="s">
        <v>28</v>
      </c>
      <c r="K192" s="4" t="s">
        <v>95</v>
      </c>
      <c r="L192" t="s">
        <v>64</v>
      </c>
      <c r="M192" s="4" t="s">
        <v>829</v>
      </c>
      <c r="N192" s="3">
        <v>1029.67</v>
      </c>
      <c r="O192" s="3">
        <v>1118.43</v>
      </c>
      <c r="P192" s="3">
        <v>0.27200000000000002</v>
      </c>
      <c r="Q192" s="3">
        <v>9</v>
      </c>
      <c r="R192" t="s">
        <v>95</v>
      </c>
      <c r="S192" t="s">
        <v>117</v>
      </c>
      <c r="T192" t="s">
        <v>28</v>
      </c>
      <c r="U192">
        <v>1118.43</v>
      </c>
      <c r="V192" t="str" cm="1">
        <f t="array" ref="V192">_xlfn.IFS(Data3[[#This Row],[CorrectedUnitPriceCustom]]&lt;=$W$2, "Low",Data3[[#This Row],[CorrectedUnitPriceCustom]]&lt;=$Y$2, "Medium", TRUE, "High")</f>
        <v>Medium</v>
      </c>
      <c r="W192">
        <f t="shared" si="9"/>
        <v>822.71749999999997</v>
      </c>
      <c r="X192">
        <f t="shared" si="10"/>
        <v>1610.375</v>
      </c>
      <c r="Y192">
        <f t="shared" si="11"/>
        <v>2175.1525000000001</v>
      </c>
      <c r="Z192">
        <v>0.27200000000000002</v>
      </c>
      <c r="AA192" t="s">
        <v>1372</v>
      </c>
      <c r="AB192" s="1">
        <v>45377</v>
      </c>
      <c r="AC192">
        <v>17</v>
      </c>
      <c r="AD192" s="5">
        <f>Data3[[#This Row],[UnitPrice]]*Data3[[#This Row],[Quantity]]*(1-Data3[[#This Row],[DiscountPct]])</f>
        <v>7327.9533600000004</v>
      </c>
      <c r="AE192" s="6">
        <f>Data3[[#This Row],[UnitPrice]]*Data3[[#This Row],[Quantity]]</f>
        <v>10065.870000000001</v>
      </c>
      <c r="AF192" s="6">
        <f>Data3[[#This Row],[GrossRevenue]]-(Data3[[#This Row],[Quantity]]*Data3[[#This Row],[UnitCost]])</f>
        <v>-1939.0766400000002</v>
      </c>
      <c r="AG192" s="6" t="str">
        <f>TEXT(Data3[[#This Row],[OrderDate]], "mmm-yyyy")</f>
        <v>Mar-2024</v>
      </c>
      <c r="AH192" s="7">
        <f>IF(Data3[[#This Row],[GrossRevenue]]=0, 0,Data3[[#This Row],[GrossProfit]]/Data3[[#This Row],[GrossRevenue]])</f>
        <v>-0.26461367106736061</v>
      </c>
      <c r="AI192" s="5">
        <f t="shared" si="12"/>
        <v>7327.9533600000004</v>
      </c>
    </row>
    <row r="193" spans="1:35" x14ac:dyDescent="0.35">
      <c r="A193" s="4" t="s">
        <v>830</v>
      </c>
      <c r="B193" s="2">
        <v>45082</v>
      </c>
      <c r="C193" s="2" t="str">
        <f>TEXT(Data3[[#This Row],[OrderDate]],"MMM-YYYY")</f>
        <v>Jun-2023</v>
      </c>
      <c r="D193" s="4" t="str">
        <f>"Q"&amp;INT((MONTH(Data3[[#This Row],[OrderDate]])-1)/3)+1&amp;"-"&amp;YEAR(Data3[[#This Row],[OrderDate]])</f>
        <v>Q2-2023</v>
      </c>
      <c r="E193" s="2">
        <v>45105</v>
      </c>
      <c r="F193" t="s">
        <v>78</v>
      </c>
      <c r="G193" t="s">
        <v>108</v>
      </c>
      <c r="H193" s="4" t="s">
        <v>109</v>
      </c>
      <c r="I193" t="s">
        <v>19</v>
      </c>
      <c r="J193" s="4" t="s">
        <v>98</v>
      </c>
      <c r="K193" s="4" t="s">
        <v>95</v>
      </c>
      <c r="L193" t="s">
        <v>30</v>
      </c>
      <c r="M193" s="4" t="s">
        <v>831</v>
      </c>
      <c r="N193" s="3">
        <v>605.82000000000005</v>
      </c>
      <c r="O193" s="3">
        <v>771.12</v>
      </c>
      <c r="P193" s="3">
        <v>0.13200000000000001</v>
      </c>
      <c r="Q193" s="3">
        <v>19</v>
      </c>
      <c r="R193" t="s">
        <v>95</v>
      </c>
      <c r="S193" t="s">
        <v>109</v>
      </c>
      <c r="T193" t="s">
        <v>98</v>
      </c>
      <c r="U193">
        <v>771.12</v>
      </c>
      <c r="V193" t="str" cm="1">
        <f t="array" ref="V193">_xlfn.IFS(Data3[[#This Row],[CorrectedUnitPriceCustom]]&lt;=$W$2, "Low",Data3[[#This Row],[CorrectedUnitPriceCustom]]&lt;=$Y$2, "Medium", TRUE, "High")</f>
        <v>Medium</v>
      </c>
      <c r="W193">
        <f t="shared" si="9"/>
        <v>819.06</v>
      </c>
      <c r="X193">
        <f t="shared" si="10"/>
        <v>1630.39</v>
      </c>
      <c r="Y193">
        <f t="shared" si="11"/>
        <v>2187.8000000000002</v>
      </c>
      <c r="Z193">
        <v>0.13200000000000001</v>
      </c>
      <c r="AA193" t="s">
        <v>1372</v>
      </c>
      <c r="AB193" s="1">
        <v>45105</v>
      </c>
      <c r="AC193">
        <v>23</v>
      </c>
      <c r="AD193" s="5">
        <f>Data3[[#This Row],[UnitPrice]]*Data3[[#This Row],[Quantity]]*(1-Data3[[#This Row],[DiscountPct]])</f>
        <v>12717.311040000001</v>
      </c>
      <c r="AE193" s="6">
        <f>Data3[[#This Row],[UnitPrice]]*Data3[[#This Row],[Quantity]]</f>
        <v>14651.28</v>
      </c>
      <c r="AF193" s="6">
        <f>Data3[[#This Row],[GrossRevenue]]-(Data3[[#This Row],[Quantity]]*Data3[[#This Row],[UnitCost]])</f>
        <v>1206.7310399999988</v>
      </c>
      <c r="AG193" s="6" t="str">
        <f>TEXT(Data3[[#This Row],[OrderDate]], "mmm-yyyy")</f>
        <v>Jun-2023</v>
      </c>
      <c r="AH193" s="7">
        <f>IF(Data3[[#This Row],[GrossRevenue]]=0, 0,Data3[[#This Row],[GrossProfit]]/Data3[[#This Row],[GrossRevenue]])</f>
        <v>9.4888851597986767E-2</v>
      </c>
      <c r="AI193" s="5">
        <f t="shared" si="12"/>
        <v>12717.311040000001</v>
      </c>
    </row>
    <row r="194" spans="1:35" x14ac:dyDescent="0.35">
      <c r="A194" s="4" t="s">
        <v>838</v>
      </c>
      <c r="B194" s="2">
        <v>45194</v>
      </c>
      <c r="C194" s="2" t="str">
        <f>TEXT(Data3[[#This Row],[OrderDate]],"MMM-YYYY")</f>
        <v>Sep-2023</v>
      </c>
      <c r="D194" s="4" t="str">
        <f>"Q"&amp;INT((MONTH(Data3[[#This Row],[OrderDate]])-1)/3)+1&amp;"-"&amp;YEAR(Data3[[#This Row],[OrderDate]])</f>
        <v>Q3-2023</v>
      </c>
      <c r="E194" s="2">
        <v>45208</v>
      </c>
      <c r="F194" t="s">
        <v>52</v>
      </c>
      <c r="G194" t="s">
        <v>122</v>
      </c>
      <c r="H194" s="4" t="s">
        <v>387</v>
      </c>
      <c r="I194" t="s">
        <v>62</v>
      </c>
      <c r="J194" s="4" t="s">
        <v>40</v>
      </c>
      <c r="K194" s="4" t="s">
        <v>29</v>
      </c>
      <c r="L194" t="s">
        <v>57</v>
      </c>
      <c r="M194" s="4" t="s">
        <v>839</v>
      </c>
      <c r="N194" s="3">
        <v>1279.56</v>
      </c>
      <c r="O194" s="3">
        <v>3083.8</v>
      </c>
      <c r="P194" s="3">
        <v>0.106</v>
      </c>
      <c r="Q194" s="3">
        <v>5</v>
      </c>
      <c r="R194" t="s">
        <v>29</v>
      </c>
      <c r="S194" t="s">
        <v>387</v>
      </c>
      <c r="T194" t="s">
        <v>40</v>
      </c>
      <c r="U194">
        <v>3083.8</v>
      </c>
      <c r="V194" t="str" cm="1">
        <f t="array" ref="V194">_xlfn.IFS(Data3[[#This Row],[CorrectedUnitPriceCustom]]&lt;=$W$2, "Low",Data3[[#This Row],[CorrectedUnitPriceCustom]]&lt;=$Y$2, "Medium", TRUE, "High")</f>
        <v>High</v>
      </c>
      <c r="W194">
        <f t="shared" ref="W194:W229" si="13">_xlfn.PERCENTILE.INC(U194:U421,0.25)</f>
        <v>830.03250000000003</v>
      </c>
      <c r="X194">
        <f t="shared" ref="X194:X229" si="14">_xlfn.PERCENTILE.INC(U194:U421,0.5)</f>
        <v>1663.37</v>
      </c>
      <c r="Y194">
        <f t="shared" ref="Y194:Y229" si="15">_xlfn.PERCENTILE.INC(U194:U421,0.75)</f>
        <v>2193.585</v>
      </c>
      <c r="Z194">
        <v>0.106</v>
      </c>
      <c r="AA194" t="s">
        <v>1372</v>
      </c>
      <c r="AB194" s="1">
        <v>45208</v>
      </c>
      <c r="AC194">
        <v>14</v>
      </c>
      <c r="AD194" s="5">
        <f>Data3[[#This Row],[UnitPrice]]*Data3[[#This Row],[Quantity]]*(1-Data3[[#This Row],[DiscountPct]])</f>
        <v>13784.586000000001</v>
      </c>
      <c r="AE194" s="6">
        <f>Data3[[#This Row],[UnitPrice]]*Data3[[#This Row],[Quantity]]</f>
        <v>15419</v>
      </c>
      <c r="AF194" s="6">
        <f>Data3[[#This Row],[GrossRevenue]]-(Data3[[#This Row],[Quantity]]*Data3[[#This Row],[UnitCost]])</f>
        <v>7386.7860000000019</v>
      </c>
      <c r="AG194" s="6" t="str">
        <f>TEXT(Data3[[#This Row],[OrderDate]], "mmm-yyyy")</f>
        <v>Sep-2023</v>
      </c>
      <c r="AH194" s="7">
        <f>IF(Data3[[#This Row],[GrossRevenue]]=0, 0,Data3[[#This Row],[GrossProfit]]/Data3[[#This Row],[GrossRevenue]])</f>
        <v>0.53587289455047848</v>
      </c>
      <c r="AI194" s="5">
        <f t="shared" ref="AI194:AI229" si="16">AD194</f>
        <v>13784.586000000001</v>
      </c>
    </row>
    <row r="195" spans="1:35" x14ac:dyDescent="0.35">
      <c r="A195" s="4" t="s">
        <v>842</v>
      </c>
      <c r="B195" s="2">
        <v>45286</v>
      </c>
      <c r="C195" s="2" t="str">
        <f>TEXT(Data3[[#This Row],[OrderDate]],"MMM-YYYY")</f>
        <v>Dec-2023</v>
      </c>
      <c r="D195" s="4" t="str">
        <f>"Q"&amp;INT((MONTH(Data3[[#This Row],[OrderDate]])-1)/3)+1&amp;"-"&amp;YEAR(Data3[[#This Row],[OrderDate]])</f>
        <v>Q4-2023</v>
      </c>
      <c r="E195" s="2">
        <v>45294</v>
      </c>
      <c r="F195" t="s">
        <v>78</v>
      </c>
      <c r="G195" t="s">
        <v>90</v>
      </c>
      <c r="H195" s="4" t="s">
        <v>138</v>
      </c>
      <c r="I195" t="s">
        <v>62</v>
      </c>
      <c r="J195" s="4" t="s">
        <v>20</v>
      </c>
      <c r="K195" s="4" t="s">
        <v>110</v>
      </c>
      <c r="L195" t="s">
        <v>57</v>
      </c>
      <c r="M195" s="4" t="s">
        <v>843</v>
      </c>
      <c r="N195" s="3">
        <v>492.75</v>
      </c>
      <c r="O195" s="3">
        <v>731.29</v>
      </c>
      <c r="P195" s="3">
        <v>5.8000000000000003E-2</v>
      </c>
      <c r="Q195" s="3">
        <v>6</v>
      </c>
      <c r="R195" t="s">
        <v>110</v>
      </c>
      <c r="S195" t="s">
        <v>138</v>
      </c>
      <c r="T195" t="s">
        <v>20</v>
      </c>
      <c r="U195">
        <v>731.29</v>
      </c>
      <c r="V195" t="str" cm="1">
        <f t="array" ref="V195">_xlfn.IFS(Data3[[#This Row],[CorrectedUnitPriceCustom]]&lt;=$W$2, "Low",Data3[[#This Row],[CorrectedUnitPriceCustom]]&lt;=$Y$2, "Medium", TRUE, "High")</f>
        <v>Medium</v>
      </c>
      <c r="W195">
        <f t="shared" si="13"/>
        <v>826.375</v>
      </c>
      <c r="X195">
        <f t="shared" si="14"/>
        <v>1630.39</v>
      </c>
      <c r="Y195">
        <f t="shared" si="15"/>
        <v>2162.5050000000001</v>
      </c>
      <c r="Z195">
        <v>5.8000000000000003E-2</v>
      </c>
      <c r="AA195" t="s">
        <v>1372</v>
      </c>
      <c r="AB195" s="1">
        <v>45294</v>
      </c>
      <c r="AC195">
        <v>8</v>
      </c>
      <c r="AD195" s="5">
        <f>Data3[[#This Row],[UnitPrice]]*Data3[[#This Row],[Quantity]]*(1-Data3[[#This Row],[DiscountPct]])</f>
        <v>4133.25108</v>
      </c>
      <c r="AE195" s="6">
        <f>Data3[[#This Row],[UnitPrice]]*Data3[[#This Row],[Quantity]]</f>
        <v>4387.74</v>
      </c>
      <c r="AF195" s="6">
        <f>Data3[[#This Row],[GrossRevenue]]-(Data3[[#This Row],[Quantity]]*Data3[[#This Row],[UnitCost]])</f>
        <v>1176.75108</v>
      </c>
      <c r="AG195" s="6" t="str">
        <f>TEXT(Data3[[#This Row],[OrderDate]], "mmm-yyyy")</f>
        <v>Dec-2023</v>
      </c>
      <c r="AH195" s="7">
        <f>IF(Data3[[#This Row],[GrossRevenue]]=0, 0,Data3[[#This Row],[GrossProfit]]/Data3[[#This Row],[GrossRevenue]])</f>
        <v>0.28470350753528384</v>
      </c>
      <c r="AI195" s="5">
        <f t="shared" si="16"/>
        <v>4133.25108</v>
      </c>
    </row>
    <row r="196" spans="1:35" x14ac:dyDescent="0.35">
      <c r="A196" s="4" t="s">
        <v>850</v>
      </c>
      <c r="B196" s="2">
        <v>45429</v>
      </c>
      <c r="C196" s="2" t="str">
        <f>TEXT(Data3[[#This Row],[OrderDate]],"MMM-YYYY")</f>
        <v>May-2024</v>
      </c>
      <c r="D196" s="4" t="str">
        <f>"Q"&amp;INT((MONTH(Data3[[#This Row],[OrderDate]])-1)/3)+1&amp;"-"&amp;YEAR(Data3[[#This Row],[OrderDate]])</f>
        <v>Q2-2024</v>
      </c>
      <c r="E196" s="2">
        <v>45439</v>
      </c>
      <c r="F196" t="s">
        <v>52</v>
      </c>
      <c r="G196" t="s">
        <v>122</v>
      </c>
      <c r="H196" s="4" t="s">
        <v>326</v>
      </c>
      <c r="I196" t="s">
        <v>39</v>
      </c>
      <c r="J196" s="4" t="s">
        <v>28</v>
      </c>
      <c r="K196" s="4" t="s">
        <v>21</v>
      </c>
      <c r="L196" t="s">
        <v>42</v>
      </c>
      <c r="M196" s="4" t="s">
        <v>851</v>
      </c>
      <c r="N196" s="3">
        <v>1484.23</v>
      </c>
      <c r="O196" s="3">
        <v>3472.81</v>
      </c>
      <c r="P196" s="3">
        <v>0.25600000000000001</v>
      </c>
      <c r="Q196" s="3">
        <v>12</v>
      </c>
      <c r="R196" t="s">
        <v>21</v>
      </c>
      <c r="S196" t="s">
        <v>326</v>
      </c>
      <c r="T196" t="s">
        <v>28</v>
      </c>
      <c r="U196">
        <v>3472.81</v>
      </c>
      <c r="V196" t="str" cm="1">
        <f t="array" ref="V196">_xlfn.IFS(Data3[[#This Row],[CorrectedUnitPriceCustom]]&lt;=$W$2, "Low",Data3[[#This Row],[CorrectedUnitPriceCustom]]&lt;=$Y$2, "Medium", TRUE, "High")</f>
        <v>High</v>
      </c>
      <c r="W196">
        <f t="shared" si="13"/>
        <v>835.79000000000008</v>
      </c>
      <c r="X196">
        <f t="shared" si="14"/>
        <v>1663.37</v>
      </c>
      <c r="Y196">
        <f t="shared" si="15"/>
        <v>2175.1525000000001</v>
      </c>
      <c r="Z196">
        <v>0.25600000000000001</v>
      </c>
      <c r="AA196" t="s">
        <v>1372</v>
      </c>
      <c r="AB196" s="1">
        <v>45439</v>
      </c>
      <c r="AC196">
        <v>10</v>
      </c>
      <c r="AD196" s="5">
        <f>Data3[[#This Row],[UnitPrice]]*Data3[[#This Row],[Quantity]]*(1-Data3[[#This Row],[DiscountPct]])</f>
        <v>31005.24768</v>
      </c>
      <c r="AE196" s="6">
        <f>Data3[[#This Row],[UnitPrice]]*Data3[[#This Row],[Quantity]]</f>
        <v>41673.72</v>
      </c>
      <c r="AF196" s="6">
        <f>Data3[[#This Row],[GrossRevenue]]-(Data3[[#This Row],[Quantity]]*Data3[[#This Row],[UnitCost]])</f>
        <v>13194.487679999998</v>
      </c>
      <c r="AG196" s="6" t="str">
        <f>TEXT(Data3[[#This Row],[OrderDate]], "mmm-yyyy")</f>
        <v>May-2024</v>
      </c>
      <c r="AH196" s="7">
        <f>IF(Data3[[#This Row],[GrossRevenue]]=0, 0,Data3[[#This Row],[GrossProfit]]/Data3[[#This Row],[GrossRevenue]])</f>
        <v>0.42555659661803413</v>
      </c>
      <c r="AI196" s="5">
        <f t="shared" si="16"/>
        <v>31005.24768</v>
      </c>
    </row>
    <row r="197" spans="1:35" x14ac:dyDescent="0.35">
      <c r="A197" s="4" t="s">
        <v>860</v>
      </c>
      <c r="B197" s="2">
        <v>45694</v>
      </c>
      <c r="C197" s="2" t="str">
        <f>TEXT(Data3[[#This Row],[OrderDate]],"MMM-YYYY")</f>
        <v>Feb-2025</v>
      </c>
      <c r="D197" s="4" t="str">
        <f>"Q"&amp;INT((MONTH(Data3[[#This Row],[OrderDate]])-1)/3)+1&amp;"-"&amp;YEAR(Data3[[#This Row],[OrderDate]])</f>
        <v>Q1-2025</v>
      </c>
      <c r="E197" s="2">
        <v>45703</v>
      </c>
      <c r="F197" t="s">
        <v>52</v>
      </c>
      <c r="G197" t="s">
        <v>73</v>
      </c>
      <c r="H197" s="4" t="s">
        <v>74</v>
      </c>
      <c r="I197" t="s">
        <v>39</v>
      </c>
      <c r="J197" s="4" t="s">
        <v>55</v>
      </c>
      <c r="K197" s="4" t="s">
        <v>84</v>
      </c>
      <c r="L197" t="s">
        <v>35</v>
      </c>
      <c r="M197" s="4" t="s">
        <v>861</v>
      </c>
      <c r="N197" s="3">
        <v>837.39</v>
      </c>
      <c r="O197" s="3">
        <v>1905.42</v>
      </c>
      <c r="P197" s="3">
        <v>3.2000000000000001E-2</v>
      </c>
      <c r="Q197" s="3">
        <v>18</v>
      </c>
      <c r="R197" t="s">
        <v>84</v>
      </c>
      <c r="S197" t="s">
        <v>74</v>
      </c>
      <c r="T197" t="s">
        <v>55</v>
      </c>
      <c r="U197">
        <v>1905.42</v>
      </c>
      <c r="V197" t="str" cm="1">
        <f t="array" ref="V197">_xlfn.IFS(Data3[[#This Row],[CorrectedUnitPriceCustom]]&lt;=$W$2, "Low",Data3[[#This Row],[CorrectedUnitPriceCustom]]&lt;=$Y$2, "Medium", TRUE, "High")</f>
        <v>Medium</v>
      </c>
      <c r="W197">
        <f t="shared" si="13"/>
        <v>833.69</v>
      </c>
      <c r="X197">
        <f t="shared" si="14"/>
        <v>1630.39</v>
      </c>
      <c r="Y197">
        <f t="shared" si="15"/>
        <v>2137.21</v>
      </c>
      <c r="Z197">
        <v>3.2000000000000001E-2</v>
      </c>
      <c r="AA197" t="s">
        <v>1372</v>
      </c>
      <c r="AB197" s="1">
        <v>45703</v>
      </c>
      <c r="AC197">
        <v>9</v>
      </c>
      <c r="AD197" s="5">
        <f>Data3[[#This Row],[UnitPrice]]*Data3[[#This Row],[Quantity]]*(1-Data3[[#This Row],[DiscountPct]])</f>
        <v>33200.038079999998</v>
      </c>
      <c r="AE197" s="6">
        <f>Data3[[#This Row],[UnitPrice]]*Data3[[#This Row],[Quantity]]</f>
        <v>34297.56</v>
      </c>
      <c r="AF197" s="6">
        <f>Data3[[#This Row],[GrossRevenue]]-(Data3[[#This Row],[Quantity]]*Data3[[#This Row],[UnitCost]])</f>
        <v>18127.018079999998</v>
      </c>
      <c r="AG197" s="6" t="str">
        <f>TEXT(Data3[[#This Row],[OrderDate]], "mmm-yyyy")</f>
        <v>Feb-2025</v>
      </c>
      <c r="AH197" s="7">
        <f>IF(Data3[[#This Row],[GrossRevenue]]=0, 0,Data3[[#This Row],[GrossProfit]]/Data3[[#This Row],[GrossRevenue]])</f>
        <v>0.54599389423350919</v>
      </c>
      <c r="AI197" s="5">
        <f t="shared" si="16"/>
        <v>33200.038079999998</v>
      </c>
    </row>
    <row r="198" spans="1:35" x14ac:dyDescent="0.35">
      <c r="A198" s="4" t="s">
        <v>862</v>
      </c>
      <c r="B198" s="2">
        <v>45688</v>
      </c>
      <c r="C198" s="2" t="str">
        <f>TEXT(Data3[[#This Row],[OrderDate]],"MMM-YYYY")</f>
        <v>Jan-2025</v>
      </c>
      <c r="D198" s="4" t="str">
        <f>"Q"&amp;INT((MONTH(Data3[[#This Row],[OrderDate]])-1)/3)+1&amp;"-"&amp;YEAR(Data3[[#This Row],[OrderDate]])</f>
        <v>Q1-2025</v>
      </c>
      <c r="E198" s="2">
        <v>45705</v>
      </c>
      <c r="F198" t="s">
        <v>78</v>
      </c>
      <c r="G198" t="s">
        <v>108</v>
      </c>
      <c r="H198" s="4" t="s">
        <v>152</v>
      </c>
      <c r="I198" t="s">
        <v>105</v>
      </c>
      <c r="J198" s="4" t="s">
        <v>20</v>
      </c>
      <c r="K198" s="4" t="s">
        <v>92</v>
      </c>
      <c r="L198" t="s">
        <v>22</v>
      </c>
      <c r="M198" s="4" t="s">
        <v>254</v>
      </c>
      <c r="N198" s="3">
        <v>378.26</v>
      </c>
      <c r="O198" s="3">
        <v>541.55999999999995</v>
      </c>
      <c r="P198" s="3">
        <v>0.16300000000000001</v>
      </c>
      <c r="Q198" s="3">
        <v>25</v>
      </c>
      <c r="R198" t="s">
        <v>92</v>
      </c>
      <c r="S198" t="s">
        <v>152</v>
      </c>
      <c r="T198" t="s">
        <v>20</v>
      </c>
      <c r="U198">
        <v>541.55999999999995</v>
      </c>
      <c r="V198" t="str" cm="1">
        <f t="array" ref="V198">_xlfn.IFS(Data3[[#This Row],[CorrectedUnitPriceCustom]]&lt;=$W$2, "Low",Data3[[#This Row],[CorrectedUnitPriceCustom]]&lt;=$Y$2, "Medium", TRUE, "High")</f>
        <v>Low</v>
      </c>
      <c r="W198">
        <f t="shared" si="13"/>
        <v>830.03250000000003</v>
      </c>
      <c r="X198">
        <f t="shared" si="14"/>
        <v>1610.375</v>
      </c>
      <c r="Y198">
        <f t="shared" si="15"/>
        <v>2149.8575000000001</v>
      </c>
      <c r="Z198">
        <v>0.16300000000000001</v>
      </c>
      <c r="AA198" t="s">
        <v>1372</v>
      </c>
      <c r="AB198" s="1">
        <v>45705</v>
      </c>
      <c r="AC198">
        <v>17</v>
      </c>
      <c r="AD198" s="5">
        <f>Data3[[#This Row],[UnitPrice]]*Data3[[#This Row],[Quantity]]*(1-Data3[[#This Row],[DiscountPct]])</f>
        <v>11332.142999999998</v>
      </c>
      <c r="AE198" s="6">
        <f>Data3[[#This Row],[UnitPrice]]*Data3[[#This Row],[Quantity]]</f>
        <v>13538.999999999998</v>
      </c>
      <c r="AF198" s="6">
        <f>Data3[[#This Row],[GrossRevenue]]-(Data3[[#This Row],[Quantity]]*Data3[[#This Row],[UnitCost]])</f>
        <v>1875.6429999999982</v>
      </c>
      <c r="AG198" s="6" t="str">
        <f>TEXT(Data3[[#This Row],[OrderDate]], "mmm-yyyy")</f>
        <v>Jan-2025</v>
      </c>
      <c r="AH198" s="7">
        <f>IF(Data3[[#This Row],[GrossRevenue]]=0, 0,Data3[[#This Row],[GrossProfit]]/Data3[[#This Row],[GrossRevenue]])</f>
        <v>0.16551529573885526</v>
      </c>
      <c r="AI198" s="5">
        <f t="shared" si="16"/>
        <v>11332.142999999998</v>
      </c>
    </row>
    <row r="199" spans="1:35" x14ac:dyDescent="0.35">
      <c r="A199" s="4" t="s">
        <v>871</v>
      </c>
      <c r="B199" s="2">
        <v>45066</v>
      </c>
      <c r="C199" s="2" t="str">
        <f>TEXT(Data3[[#This Row],[OrderDate]],"MMM-YYYY")</f>
        <v>May-2023</v>
      </c>
      <c r="D199" s="4" t="str">
        <f>"Q"&amp;INT((MONTH(Data3[[#This Row],[OrderDate]])-1)/3)+1&amp;"-"&amp;YEAR(Data3[[#This Row],[OrderDate]])</f>
        <v>Q2-2023</v>
      </c>
      <c r="E199" s="2">
        <v>45096</v>
      </c>
      <c r="F199" t="s">
        <v>45</v>
      </c>
      <c r="G199" t="s">
        <v>60</v>
      </c>
      <c r="H199" s="4" t="s">
        <v>141</v>
      </c>
      <c r="I199" t="s">
        <v>39</v>
      </c>
      <c r="J199" s="4" t="s">
        <v>40</v>
      </c>
      <c r="K199" s="4" t="s">
        <v>92</v>
      </c>
      <c r="L199" t="s">
        <v>57</v>
      </c>
      <c r="M199" s="4" t="s">
        <v>872</v>
      </c>
      <c r="N199" s="3">
        <v>1161.2</v>
      </c>
      <c r="O199" s="3">
        <v>878.73</v>
      </c>
      <c r="P199" s="3">
        <v>0.19</v>
      </c>
      <c r="Q199" s="3">
        <v>31</v>
      </c>
      <c r="R199" t="s">
        <v>92</v>
      </c>
      <c r="S199" t="s">
        <v>141</v>
      </c>
      <c r="T199" t="s">
        <v>40</v>
      </c>
      <c r="U199">
        <v>878.73</v>
      </c>
      <c r="V199" t="str" cm="1">
        <f t="array" ref="V199">_xlfn.IFS(Data3[[#This Row],[CorrectedUnitPriceCustom]]&lt;=$W$2, "Low",Data3[[#This Row],[CorrectedUnitPriceCustom]]&lt;=$Y$2, "Medium", TRUE, "High")</f>
        <v>Medium</v>
      </c>
      <c r="W199">
        <f t="shared" si="13"/>
        <v>837.8900000000001</v>
      </c>
      <c r="X199">
        <f t="shared" si="14"/>
        <v>1630.39</v>
      </c>
      <c r="Y199">
        <f t="shared" si="15"/>
        <v>2162.5050000000001</v>
      </c>
      <c r="Z199">
        <v>0.19</v>
      </c>
      <c r="AA199" t="s">
        <v>1372</v>
      </c>
      <c r="AB199" s="1">
        <v>45096</v>
      </c>
      <c r="AC199">
        <v>30</v>
      </c>
      <c r="AD199" s="5">
        <f>Data3[[#This Row],[UnitPrice]]*Data3[[#This Row],[Quantity]]*(1-Data3[[#This Row],[DiscountPct]])</f>
        <v>22064.910300000003</v>
      </c>
      <c r="AE199" s="6">
        <f>Data3[[#This Row],[UnitPrice]]*Data3[[#This Row],[Quantity]]</f>
        <v>27240.63</v>
      </c>
      <c r="AF199" s="6">
        <f>Data3[[#This Row],[GrossRevenue]]-(Data3[[#This Row],[Quantity]]*Data3[[#This Row],[UnitCost]])</f>
        <v>-13932.289700000001</v>
      </c>
      <c r="AG199" s="6" t="str">
        <f>TEXT(Data3[[#This Row],[OrderDate]], "mmm-yyyy")</f>
        <v>May-2023</v>
      </c>
      <c r="AH199" s="7">
        <f>IF(Data3[[#This Row],[GrossRevenue]]=0, 0,Data3[[#This Row],[GrossProfit]]/Data3[[#This Row],[GrossRevenue]])</f>
        <v>-0.63142290227212028</v>
      </c>
      <c r="AI199" s="5">
        <f t="shared" si="16"/>
        <v>22064.910300000003</v>
      </c>
    </row>
    <row r="200" spans="1:35" x14ac:dyDescent="0.35">
      <c r="A200" s="4" t="s">
        <v>885</v>
      </c>
      <c r="B200" s="2">
        <v>45208</v>
      </c>
      <c r="C200" s="2" t="str">
        <f>TEXT(Data3[[#This Row],[OrderDate]],"MMM-YYYY")</f>
        <v>Oct-2023</v>
      </c>
      <c r="D200" s="4" t="str">
        <f>"Q"&amp;INT((MONTH(Data3[[#This Row],[OrderDate]])-1)/3)+1&amp;"-"&amp;YEAR(Data3[[#This Row],[OrderDate]])</f>
        <v>Q4-2023</v>
      </c>
      <c r="E200" s="2">
        <v>45225</v>
      </c>
      <c r="F200" t="s">
        <v>45</v>
      </c>
      <c r="G200" t="s">
        <v>116</v>
      </c>
      <c r="H200" s="4" t="s">
        <v>162</v>
      </c>
      <c r="I200" t="s">
        <v>48</v>
      </c>
      <c r="J200" s="4" t="s">
        <v>40</v>
      </c>
      <c r="K200" s="4" t="s">
        <v>21</v>
      </c>
      <c r="L200" t="s">
        <v>22</v>
      </c>
      <c r="M200" s="4" t="s">
        <v>886</v>
      </c>
      <c r="N200" s="3">
        <v>1132.03</v>
      </c>
      <c r="O200" s="3">
        <v>2137.21</v>
      </c>
      <c r="P200" s="3">
        <v>0.35699999999999998</v>
      </c>
      <c r="Q200" s="3">
        <v>35</v>
      </c>
      <c r="R200" t="s">
        <v>21</v>
      </c>
      <c r="S200" t="s">
        <v>162</v>
      </c>
      <c r="T200" t="s">
        <v>40</v>
      </c>
      <c r="U200">
        <v>2137.21</v>
      </c>
      <c r="V200" t="str" cm="1">
        <f t="array" ref="V200">_xlfn.IFS(Data3[[#This Row],[CorrectedUnitPriceCustom]]&lt;=$W$2, "Low",Data3[[#This Row],[CorrectedUnitPriceCustom]]&lt;=$Y$2, "Medium", TRUE, "High")</f>
        <v>High</v>
      </c>
      <c r="W200">
        <f t="shared" si="13"/>
        <v>835.79000000000008</v>
      </c>
      <c r="X200">
        <f t="shared" si="14"/>
        <v>1663.37</v>
      </c>
      <c r="Y200">
        <f t="shared" si="15"/>
        <v>2175.1525000000001</v>
      </c>
      <c r="Z200">
        <v>0.3</v>
      </c>
      <c r="AA200" t="s">
        <v>1373</v>
      </c>
      <c r="AB200" s="1">
        <v>45225</v>
      </c>
      <c r="AC200">
        <v>17</v>
      </c>
      <c r="AD200" s="5">
        <f>Data3[[#This Row],[UnitPrice]]*Data3[[#This Row],[Quantity]]*(1-Data3[[#This Row],[DiscountPct]])</f>
        <v>48097.911050000002</v>
      </c>
      <c r="AE200" s="6">
        <f>Data3[[#This Row],[UnitPrice]]*Data3[[#This Row],[Quantity]]</f>
        <v>74802.350000000006</v>
      </c>
      <c r="AF200" s="6">
        <f>Data3[[#This Row],[GrossRevenue]]-(Data3[[#This Row],[Quantity]]*Data3[[#This Row],[UnitCost]])</f>
        <v>8476.8610500000068</v>
      </c>
      <c r="AG200" s="6" t="str">
        <f>TEXT(Data3[[#This Row],[OrderDate]], "mmm-yyyy")</f>
        <v>Oct-2023</v>
      </c>
      <c r="AH200" s="7">
        <f>IF(Data3[[#This Row],[GrossRevenue]]=0, 0,Data3[[#This Row],[GrossProfit]]/Data3[[#This Row],[GrossRevenue]])</f>
        <v>0.17624177152284051</v>
      </c>
      <c r="AI200" s="5">
        <f t="shared" si="16"/>
        <v>48097.911050000002</v>
      </c>
    </row>
    <row r="201" spans="1:35" x14ac:dyDescent="0.35">
      <c r="A201" s="4" t="s">
        <v>891</v>
      </c>
      <c r="B201" s="2">
        <v>45804</v>
      </c>
      <c r="C201" s="2" t="str">
        <f>TEXT(Data3[[#This Row],[OrderDate]],"MMM-YYYY")</f>
        <v>May-2025</v>
      </c>
      <c r="D201" s="4" t="str">
        <f>"Q"&amp;INT((MONTH(Data3[[#This Row],[OrderDate]])-1)/3)+1&amp;"-"&amp;YEAR(Data3[[#This Row],[OrderDate]])</f>
        <v>Q2-2025</v>
      </c>
      <c r="E201" s="2">
        <v>45816</v>
      </c>
      <c r="F201" t="s">
        <v>45</v>
      </c>
      <c r="G201" t="s">
        <v>46</v>
      </c>
      <c r="H201" s="4" t="s">
        <v>47</v>
      </c>
      <c r="I201" t="s">
        <v>19</v>
      </c>
      <c r="J201" s="4" t="s">
        <v>20</v>
      </c>
      <c r="K201" s="4" t="s">
        <v>92</v>
      </c>
      <c r="L201" t="s">
        <v>81</v>
      </c>
      <c r="M201" s="4" t="s">
        <v>892</v>
      </c>
      <c r="N201" s="3">
        <v>653.6</v>
      </c>
      <c r="O201" s="3">
        <v>842.09</v>
      </c>
      <c r="P201" s="3">
        <v>9.8000000000000004E-2</v>
      </c>
      <c r="Q201" s="3">
        <v>19</v>
      </c>
      <c r="R201" t="s">
        <v>92</v>
      </c>
      <c r="S201" t="s">
        <v>47</v>
      </c>
      <c r="T201" t="s">
        <v>20</v>
      </c>
      <c r="U201">
        <v>842.09</v>
      </c>
      <c r="V201" t="str" cm="1">
        <f t="array" ref="V201">_xlfn.IFS(Data3[[#This Row],[CorrectedUnitPriceCustom]]&lt;=$W$2, "Low",Data3[[#This Row],[CorrectedUnitPriceCustom]]&lt;=$Y$2, "Medium", TRUE, "High")</f>
        <v>Medium</v>
      </c>
      <c r="W201">
        <f t="shared" si="13"/>
        <v>833.69</v>
      </c>
      <c r="X201">
        <f t="shared" si="14"/>
        <v>1630.39</v>
      </c>
      <c r="Y201">
        <f t="shared" si="15"/>
        <v>2187.8000000000002</v>
      </c>
      <c r="Z201">
        <v>9.8000000000000004E-2</v>
      </c>
      <c r="AA201" t="s">
        <v>1372</v>
      </c>
      <c r="AB201" s="1">
        <v>45816</v>
      </c>
      <c r="AC201">
        <v>12</v>
      </c>
      <c r="AD201" s="5">
        <f>Data3[[#This Row],[UnitPrice]]*Data3[[#This Row],[Quantity]]*(1-Data3[[#This Row],[DiscountPct]])</f>
        <v>14431.738420000001</v>
      </c>
      <c r="AE201" s="6">
        <f>Data3[[#This Row],[UnitPrice]]*Data3[[#This Row],[Quantity]]</f>
        <v>15999.710000000001</v>
      </c>
      <c r="AF201" s="6">
        <f>Data3[[#This Row],[GrossRevenue]]-(Data3[[#This Row],[Quantity]]*Data3[[#This Row],[UnitCost]])</f>
        <v>2013.3384200000019</v>
      </c>
      <c r="AG201" s="6" t="str">
        <f>TEXT(Data3[[#This Row],[OrderDate]], "mmm-yyyy")</f>
        <v>May-2025</v>
      </c>
      <c r="AH201" s="7">
        <f>IF(Data3[[#This Row],[GrossRevenue]]=0, 0,Data3[[#This Row],[GrossProfit]]/Data3[[#This Row],[GrossRevenue]])</f>
        <v>0.13950768517324622</v>
      </c>
      <c r="AI201" s="5">
        <f t="shared" si="16"/>
        <v>14431.738420000001</v>
      </c>
    </row>
    <row r="202" spans="1:35" x14ac:dyDescent="0.35">
      <c r="A202" s="4" t="s">
        <v>897</v>
      </c>
      <c r="B202" s="2">
        <v>45914</v>
      </c>
      <c r="C202" s="2" t="str">
        <f>TEXT(Data3[[#This Row],[OrderDate]],"MMM-YYYY")</f>
        <v>Sep-2025</v>
      </c>
      <c r="D202" s="4" t="str">
        <f>"Q"&amp;INT((MONTH(Data3[[#This Row],[OrderDate]])-1)/3)+1&amp;"-"&amp;YEAR(Data3[[#This Row],[OrderDate]])</f>
        <v>Q3-2025</v>
      </c>
      <c r="E202" s="2">
        <v>45923</v>
      </c>
      <c r="F202" t="s">
        <v>16</v>
      </c>
      <c r="G202" t="s">
        <v>148</v>
      </c>
      <c r="H202" s="4" t="s">
        <v>172</v>
      </c>
      <c r="I202" t="s">
        <v>39</v>
      </c>
      <c r="J202" s="4" t="s">
        <v>28</v>
      </c>
      <c r="K202" s="4" t="s">
        <v>145</v>
      </c>
      <c r="L202" t="s">
        <v>22</v>
      </c>
      <c r="M202" s="4" t="s">
        <v>898</v>
      </c>
      <c r="N202" s="3">
        <v>1310.3</v>
      </c>
      <c r="O202" s="3">
        <v>2875.8</v>
      </c>
      <c r="P202" s="3">
        <v>8.3000000000000004E-2</v>
      </c>
      <c r="Q202" s="3">
        <v>5</v>
      </c>
      <c r="R202" t="s">
        <v>145</v>
      </c>
      <c r="S202" t="s">
        <v>172</v>
      </c>
      <c r="T202" t="s">
        <v>28</v>
      </c>
      <c r="U202">
        <v>2875.8</v>
      </c>
      <c r="V202" t="str" cm="1">
        <f t="array" ref="V202">_xlfn.IFS(Data3[[#This Row],[CorrectedUnitPriceCustom]]&lt;=$W$2, "Low",Data3[[#This Row],[CorrectedUnitPriceCustom]]&lt;=$Y$2, "Medium", TRUE, "High")</f>
        <v>High</v>
      </c>
      <c r="W202">
        <f t="shared" si="13"/>
        <v>830.03250000000003</v>
      </c>
      <c r="X202">
        <f t="shared" si="14"/>
        <v>1663.37</v>
      </c>
      <c r="Y202">
        <f t="shared" si="15"/>
        <v>2193.585</v>
      </c>
      <c r="Z202">
        <v>8.3000000000000004E-2</v>
      </c>
      <c r="AA202" t="s">
        <v>1372</v>
      </c>
      <c r="AB202" s="1">
        <v>45923</v>
      </c>
      <c r="AC202">
        <v>9</v>
      </c>
      <c r="AD202" s="5">
        <f>Data3[[#This Row],[UnitPrice]]*Data3[[#This Row],[Quantity]]*(1-Data3[[#This Row],[DiscountPct]])</f>
        <v>13185.543</v>
      </c>
      <c r="AE202" s="6">
        <f>Data3[[#This Row],[UnitPrice]]*Data3[[#This Row],[Quantity]]</f>
        <v>14379</v>
      </c>
      <c r="AF202" s="6">
        <f>Data3[[#This Row],[GrossRevenue]]-(Data3[[#This Row],[Quantity]]*Data3[[#This Row],[UnitCost]])</f>
        <v>6634.0429999999997</v>
      </c>
      <c r="AG202" s="6" t="str">
        <f>TEXT(Data3[[#This Row],[OrderDate]], "mmm-yyyy")</f>
        <v>Sep-2025</v>
      </c>
      <c r="AH202" s="7">
        <f>IF(Data3[[#This Row],[GrossRevenue]]=0, 0,Data3[[#This Row],[GrossProfit]]/Data3[[#This Row],[GrossRevenue]])</f>
        <v>0.50313005691157353</v>
      </c>
      <c r="AI202" s="5">
        <f t="shared" si="16"/>
        <v>13185.543</v>
      </c>
    </row>
    <row r="203" spans="1:35" x14ac:dyDescent="0.35">
      <c r="A203" s="4" t="s">
        <v>911</v>
      </c>
      <c r="B203" s="2">
        <v>44991</v>
      </c>
      <c r="C203" s="2" t="str">
        <f>TEXT(Data3[[#This Row],[OrderDate]],"MMM-YYYY")</f>
        <v>Mar-2023</v>
      </c>
      <c r="D203" s="4" t="str">
        <f>"Q"&amp;INT((MONTH(Data3[[#This Row],[OrderDate]])-1)/3)+1&amp;"-"&amp;YEAR(Data3[[#This Row],[OrderDate]])</f>
        <v>Q1-2023</v>
      </c>
      <c r="E203" s="2">
        <v>45020</v>
      </c>
      <c r="F203" t="s">
        <v>45</v>
      </c>
      <c r="G203" t="s">
        <v>116</v>
      </c>
      <c r="H203" s="4" t="s">
        <v>338</v>
      </c>
      <c r="I203" t="s">
        <v>62</v>
      </c>
      <c r="J203" s="4" t="s">
        <v>98</v>
      </c>
      <c r="K203" s="4" t="s">
        <v>21</v>
      </c>
      <c r="L203" t="s">
        <v>64</v>
      </c>
      <c r="M203" s="4" t="s">
        <v>912</v>
      </c>
      <c r="N203" s="3">
        <v>1126.29</v>
      </c>
      <c r="O203" s="3">
        <v>2050.87</v>
      </c>
      <c r="P203" s="3">
        <v>6.4000000000000001E-2</v>
      </c>
      <c r="Q203" s="3">
        <v>7</v>
      </c>
      <c r="R203" t="s">
        <v>21</v>
      </c>
      <c r="S203" t="s">
        <v>338</v>
      </c>
      <c r="T203" t="s">
        <v>98</v>
      </c>
      <c r="U203">
        <v>2050.87</v>
      </c>
      <c r="V203" t="str" cm="1">
        <f t="array" ref="V203">_xlfn.IFS(Data3[[#This Row],[CorrectedUnitPriceCustom]]&lt;=$W$2, "Low",Data3[[#This Row],[CorrectedUnitPriceCustom]]&lt;=$Y$2, "Medium", TRUE, "High")</f>
        <v>High</v>
      </c>
      <c r="W203">
        <f t="shared" si="13"/>
        <v>826.375</v>
      </c>
      <c r="X203">
        <f t="shared" si="14"/>
        <v>1630.39</v>
      </c>
      <c r="Y203">
        <f t="shared" si="15"/>
        <v>2159.9949999999999</v>
      </c>
      <c r="Z203">
        <v>6.4000000000000001E-2</v>
      </c>
      <c r="AA203" t="s">
        <v>1372</v>
      </c>
      <c r="AB203" s="1">
        <v>45020</v>
      </c>
      <c r="AC203">
        <v>29</v>
      </c>
      <c r="AD203" s="5">
        <f>Data3[[#This Row],[UnitPrice]]*Data3[[#This Row],[Quantity]]*(1-Data3[[#This Row],[DiscountPct]])</f>
        <v>13437.300239999999</v>
      </c>
      <c r="AE203" s="6">
        <f>Data3[[#This Row],[UnitPrice]]*Data3[[#This Row],[Quantity]]</f>
        <v>14356.09</v>
      </c>
      <c r="AF203" s="6">
        <f>Data3[[#This Row],[GrossRevenue]]-(Data3[[#This Row],[Quantity]]*Data3[[#This Row],[UnitCost]])</f>
        <v>5553.2702399999989</v>
      </c>
      <c r="AG203" s="6" t="str">
        <f>TEXT(Data3[[#This Row],[OrderDate]], "mmm-yyyy")</f>
        <v>Mar-2023</v>
      </c>
      <c r="AH203" s="7">
        <f>IF(Data3[[#This Row],[GrossRevenue]]=0, 0,Data3[[#This Row],[GrossProfit]]/Data3[[#This Row],[GrossRevenue]])</f>
        <v>0.41327276616690373</v>
      </c>
      <c r="AI203" s="5">
        <f t="shared" si="16"/>
        <v>13437.300239999999</v>
      </c>
    </row>
    <row r="204" spans="1:35" x14ac:dyDescent="0.35">
      <c r="A204" s="4" t="s">
        <v>913</v>
      </c>
      <c r="B204" s="2">
        <v>45646</v>
      </c>
      <c r="C204" s="2" t="str">
        <f>TEXT(Data3[[#This Row],[OrderDate]],"MMM-YYYY")</f>
        <v>Dec-2024</v>
      </c>
      <c r="D204" s="4" t="str">
        <f>"Q"&amp;INT((MONTH(Data3[[#This Row],[OrderDate]])-1)/3)+1&amp;"-"&amp;YEAR(Data3[[#This Row],[OrderDate]])</f>
        <v>Q4-2024</v>
      </c>
      <c r="E204" s="2">
        <v>45671</v>
      </c>
      <c r="F204" t="s">
        <v>45</v>
      </c>
      <c r="G204" t="s">
        <v>60</v>
      </c>
      <c r="H204" s="4" t="s">
        <v>141</v>
      </c>
      <c r="I204" t="s">
        <v>62</v>
      </c>
      <c r="J204" s="4" t="s">
        <v>20</v>
      </c>
      <c r="K204" s="4" t="s">
        <v>110</v>
      </c>
      <c r="L204" t="s">
        <v>30</v>
      </c>
      <c r="M204" s="4" t="s">
        <v>914</v>
      </c>
      <c r="N204" s="3">
        <v>1361.34</v>
      </c>
      <c r="O204" s="3">
        <v>1737.9</v>
      </c>
      <c r="P204" s="3">
        <v>7.6999999999999999E-2</v>
      </c>
      <c r="Q204" s="3">
        <v>14</v>
      </c>
      <c r="R204" t="s">
        <v>110</v>
      </c>
      <c r="S204" t="s">
        <v>141</v>
      </c>
      <c r="T204" t="s">
        <v>20</v>
      </c>
      <c r="U204">
        <v>1737.9</v>
      </c>
      <c r="V204" t="str" cm="1">
        <f t="array" ref="V204">_xlfn.IFS(Data3[[#This Row],[CorrectedUnitPriceCustom]]&lt;=$W$2, "Low",Data3[[#This Row],[CorrectedUnitPriceCustom]]&lt;=$Y$2, "Medium", TRUE, "High")</f>
        <v>Medium</v>
      </c>
      <c r="W204">
        <f t="shared" si="13"/>
        <v>822.71749999999997</v>
      </c>
      <c r="X204">
        <f t="shared" si="14"/>
        <v>1610.375</v>
      </c>
      <c r="Y204">
        <f t="shared" si="15"/>
        <v>2173.8975</v>
      </c>
      <c r="Z204">
        <v>7.6999999999999999E-2</v>
      </c>
      <c r="AA204" t="s">
        <v>1372</v>
      </c>
      <c r="AB204" s="1">
        <v>45671</v>
      </c>
      <c r="AC204">
        <v>25</v>
      </c>
      <c r="AD204" s="5">
        <f>Data3[[#This Row],[UnitPrice]]*Data3[[#This Row],[Quantity]]*(1-Data3[[#This Row],[DiscountPct]])</f>
        <v>22457.143800000002</v>
      </c>
      <c r="AE204" s="6">
        <f>Data3[[#This Row],[UnitPrice]]*Data3[[#This Row],[Quantity]]</f>
        <v>24330.600000000002</v>
      </c>
      <c r="AF204" s="6">
        <f>Data3[[#This Row],[GrossRevenue]]-(Data3[[#This Row],[Quantity]]*Data3[[#This Row],[UnitCost]])</f>
        <v>3398.3838000000032</v>
      </c>
      <c r="AG204" s="6" t="str">
        <f>TEXT(Data3[[#This Row],[OrderDate]], "mmm-yyyy")</f>
        <v>Dec-2024</v>
      </c>
      <c r="AH204" s="7">
        <f>IF(Data3[[#This Row],[GrossRevenue]]=0, 0,Data3[[#This Row],[GrossProfit]]/Data3[[#This Row],[GrossRevenue]])</f>
        <v>0.15132751654731813</v>
      </c>
      <c r="AI204" s="5">
        <f t="shared" si="16"/>
        <v>22457.143800000002</v>
      </c>
    </row>
    <row r="205" spans="1:35" x14ac:dyDescent="0.35">
      <c r="A205" s="4" t="s">
        <v>937</v>
      </c>
      <c r="B205" s="2">
        <v>45730</v>
      </c>
      <c r="C205" s="2" t="str">
        <f>TEXT(Data3[[#This Row],[OrderDate]],"MMM-YYYY")</f>
        <v>Mar-2025</v>
      </c>
      <c r="D205" s="4" t="str">
        <f>"Q"&amp;INT((MONTH(Data3[[#This Row],[OrderDate]])-1)/3)+1&amp;"-"&amp;YEAR(Data3[[#This Row],[OrderDate]])</f>
        <v>Q1-2025</v>
      </c>
      <c r="E205" s="2">
        <v>45755</v>
      </c>
      <c r="F205" t="s">
        <v>45</v>
      </c>
      <c r="G205" t="s">
        <v>116</v>
      </c>
      <c r="I205" t="s">
        <v>19</v>
      </c>
      <c r="J205" s="4" t="s">
        <v>55</v>
      </c>
      <c r="K205" s="4" t="s">
        <v>145</v>
      </c>
      <c r="L205" t="s">
        <v>30</v>
      </c>
      <c r="M205" s="4" t="s">
        <v>938</v>
      </c>
      <c r="N205" s="3">
        <v>80.59</v>
      </c>
      <c r="O205" s="3">
        <v>157.82</v>
      </c>
      <c r="P205" s="3">
        <v>0.217</v>
      </c>
      <c r="Q205" s="3">
        <v>6</v>
      </c>
      <c r="R205" t="s">
        <v>145</v>
      </c>
      <c r="S205" t="s">
        <v>1376</v>
      </c>
      <c r="T205" t="s">
        <v>55</v>
      </c>
      <c r="U205">
        <v>157.82</v>
      </c>
      <c r="V205" t="str" cm="1">
        <f t="array" ref="V205">_xlfn.IFS(Data3[[#This Row],[CorrectedUnitPriceCustom]]&lt;=$W$2, "Low",Data3[[#This Row],[CorrectedUnitPriceCustom]]&lt;=$Y$2, "Medium", TRUE, "High")</f>
        <v>Low</v>
      </c>
      <c r="W205">
        <f t="shared" si="13"/>
        <v>819.06</v>
      </c>
      <c r="X205">
        <f t="shared" si="14"/>
        <v>1590.36</v>
      </c>
      <c r="Y205">
        <f t="shared" si="15"/>
        <v>2187.8000000000002</v>
      </c>
      <c r="Z205">
        <v>0.217</v>
      </c>
      <c r="AA205" t="s">
        <v>1372</v>
      </c>
      <c r="AB205" s="1">
        <v>45755</v>
      </c>
      <c r="AC205">
        <v>25</v>
      </c>
      <c r="AD205" s="5">
        <f>Data3[[#This Row],[UnitPrice]]*Data3[[#This Row],[Quantity]]*(1-Data3[[#This Row],[DiscountPct]])</f>
        <v>741.43835999999999</v>
      </c>
      <c r="AE205" s="6">
        <f>Data3[[#This Row],[UnitPrice]]*Data3[[#This Row],[Quantity]]</f>
        <v>946.92</v>
      </c>
      <c r="AF205" s="6">
        <f>Data3[[#This Row],[GrossRevenue]]-(Data3[[#This Row],[Quantity]]*Data3[[#This Row],[UnitCost]])</f>
        <v>257.89835999999997</v>
      </c>
      <c r="AG205" s="6" t="str">
        <f>TEXT(Data3[[#This Row],[OrderDate]], "mmm-yyyy")</f>
        <v>Mar-2025</v>
      </c>
      <c r="AH205" s="7">
        <f>IF(Data3[[#This Row],[GrossRevenue]]=0, 0,Data3[[#This Row],[GrossProfit]]/Data3[[#This Row],[GrossRevenue]])</f>
        <v>0.34783519967863541</v>
      </c>
      <c r="AI205" s="5">
        <f t="shared" si="16"/>
        <v>741.43835999999999</v>
      </c>
    </row>
    <row r="206" spans="1:35" x14ac:dyDescent="0.35">
      <c r="A206" s="4" t="s">
        <v>939</v>
      </c>
      <c r="B206" s="2">
        <v>45307</v>
      </c>
      <c r="C206" s="2" t="str">
        <f>TEXT(Data3[[#This Row],[OrderDate]],"MMM-YYYY")</f>
        <v>Jan-2024</v>
      </c>
      <c r="D206" s="4" t="str">
        <f>"Q"&amp;INT((MONTH(Data3[[#This Row],[OrderDate]])-1)/3)+1&amp;"-"&amp;YEAR(Data3[[#This Row],[OrderDate]])</f>
        <v>Q1-2024</v>
      </c>
      <c r="E206" s="2">
        <v>45333</v>
      </c>
      <c r="F206" t="s">
        <v>78</v>
      </c>
      <c r="G206" t="s">
        <v>79</v>
      </c>
      <c r="H206" s="4" t="s">
        <v>335</v>
      </c>
      <c r="I206" t="s">
        <v>39</v>
      </c>
      <c r="J206" s="4" t="s">
        <v>55</v>
      </c>
      <c r="K206" s="4" t="s">
        <v>63</v>
      </c>
      <c r="L206" t="s">
        <v>64</v>
      </c>
      <c r="M206" s="4" t="s">
        <v>940</v>
      </c>
      <c r="N206" s="3">
        <v>504.93</v>
      </c>
      <c r="O206" s="3">
        <v>819.06</v>
      </c>
      <c r="P206" s="3">
        <v>0.22600000000000001</v>
      </c>
      <c r="Q206" s="3">
        <v>15</v>
      </c>
      <c r="R206" t="s">
        <v>63</v>
      </c>
      <c r="S206" t="s">
        <v>335</v>
      </c>
      <c r="T206" t="s">
        <v>55</v>
      </c>
      <c r="U206">
        <v>819.06</v>
      </c>
      <c r="V206" t="str" cm="1">
        <f t="array" ref="V206">_xlfn.IFS(Data3[[#This Row],[CorrectedUnitPriceCustom]]&lt;=$W$2, "Low",Data3[[#This Row],[CorrectedUnitPriceCustom]]&lt;=$Y$2, "Medium", TRUE, "High")</f>
        <v>Medium</v>
      </c>
      <c r="W206">
        <f t="shared" si="13"/>
        <v>830.03250000000003</v>
      </c>
      <c r="X206">
        <f t="shared" si="14"/>
        <v>1610.375</v>
      </c>
      <c r="Y206">
        <f t="shared" si="15"/>
        <v>2193.585</v>
      </c>
      <c r="Z206">
        <v>0.22600000000000001</v>
      </c>
      <c r="AA206" t="s">
        <v>1372</v>
      </c>
      <c r="AB206" s="1">
        <v>45333</v>
      </c>
      <c r="AC206">
        <v>26</v>
      </c>
      <c r="AD206" s="5">
        <f>Data3[[#This Row],[UnitPrice]]*Data3[[#This Row],[Quantity]]*(1-Data3[[#This Row],[DiscountPct]])</f>
        <v>9509.2865999999995</v>
      </c>
      <c r="AE206" s="6">
        <f>Data3[[#This Row],[UnitPrice]]*Data3[[#This Row],[Quantity]]</f>
        <v>12285.9</v>
      </c>
      <c r="AF206" s="6">
        <f>Data3[[#This Row],[GrossRevenue]]-(Data3[[#This Row],[Quantity]]*Data3[[#This Row],[UnitCost]])</f>
        <v>1935.3365999999996</v>
      </c>
      <c r="AG206" s="6" t="str">
        <f>TEXT(Data3[[#This Row],[OrderDate]], "mmm-yyyy")</f>
        <v>Jan-2024</v>
      </c>
      <c r="AH206" s="7">
        <f>IF(Data3[[#This Row],[GrossRevenue]]=0, 0,Data3[[#This Row],[GrossProfit]]/Data3[[#This Row],[GrossRevenue]])</f>
        <v>0.20352069312959814</v>
      </c>
      <c r="AI206" s="5">
        <f t="shared" si="16"/>
        <v>9509.2865999999995</v>
      </c>
    </row>
    <row r="207" spans="1:35" x14ac:dyDescent="0.35">
      <c r="A207" s="4" t="s">
        <v>943</v>
      </c>
      <c r="B207" s="2">
        <v>45713</v>
      </c>
      <c r="C207" s="2" t="str">
        <f>TEXT(Data3[[#This Row],[OrderDate]],"MMM-YYYY")</f>
        <v>Feb-2025</v>
      </c>
      <c r="D207" s="4" t="str">
        <f>"Q"&amp;INT((MONTH(Data3[[#This Row],[OrderDate]])-1)/3)+1&amp;"-"&amp;YEAR(Data3[[#This Row],[OrderDate]])</f>
        <v>Q1-2025</v>
      </c>
      <c r="E207" s="2">
        <v>45733</v>
      </c>
      <c r="F207" t="s">
        <v>52</v>
      </c>
      <c r="G207" t="s">
        <v>122</v>
      </c>
      <c r="H207" s="4" t="s">
        <v>167</v>
      </c>
      <c r="I207" t="s">
        <v>39</v>
      </c>
      <c r="J207" s="4" t="s">
        <v>40</v>
      </c>
      <c r="K207" s="4" t="s">
        <v>92</v>
      </c>
      <c r="L207" t="s">
        <v>42</v>
      </c>
      <c r="M207" s="4" t="s">
        <v>944</v>
      </c>
      <c r="N207" s="3">
        <v>1205.26</v>
      </c>
      <c r="O207" s="3">
        <v>1696.35</v>
      </c>
      <c r="P207" s="3">
        <v>1.9E-2</v>
      </c>
      <c r="Q207" s="3">
        <v>6</v>
      </c>
      <c r="R207" t="s">
        <v>92</v>
      </c>
      <c r="S207" t="s">
        <v>167</v>
      </c>
      <c r="T207" t="s">
        <v>40</v>
      </c>
      <c r="U207">
        <v>1696.35</v>
      </c>
      <c r="V207" t="str" cm="1">
        <f t="array" ref="V207">_xlfn.IFS(Data3[[#This Row],[CorrectedUnitPriceCustom]]&lt;=$W$2, "Low",Data3[[#This Row],[CorrectedUnitPriceCustom]]&lt;=$Y$2, "Medium", TRUE, "High")</f>
        <v>Medium</v>
      </c>
      <c r="W207">
        <f t="shared" si="13"/>
        <v>873.73500000000001</v>
      </c>
      <c r="X207">
        <f t="shared" si="14"/>
        <v>1630.39</v>
      </c>
      <c r="Y207">
        <f t="shared" si="15"/>
        <v>2199.37</v>
      </c>
      <c r="Z207">
        <v>1.9E-2</v>
      </c>
      <c r="AA207" t="s">
        <v>1372</v>
      </c>
      <c r="AB207" s="1">
        <v>45733</v>
      </c>
      <c r="AC207">
        <v>20</v>
      </c>
      <c r="AD207" s="5">
        <f>Data3[[#This Row],[UnitPrice]]*Data3[[#This Row],[Quantity]]*(1-Data3[[#This Row],[DiscountPct]])</f>
        <v>9984.7160999999978</v>
      </c>
      <c r="AE207" s="6">
        <f>Data3[[#This Row],[UnitPrice]]*Data3[[#This Row],[Quantity]]</f>
        <v>10178.099999999999</v>
      </c>
      <c r="AF207" s="6">
        <f>Data3[[#This Row],[GrossRevenue]]-(Data3[[#This Row],[Quantity]]*Data3[[#This Row],[UnitCost]])</f>
        <v>2753.1560999999983</v>
      </c>
      <c r="AG207" s="6" t="str">
        <f>TEXT(Data3[[#This Row],[OrderDate]], "mmm-yyyy")</f>
        <v>Feb-2025</v>
      </c>
      <c r="AH207" s="7">
        <f>IF(Data3[[#This Row],[GrossRevenue]]=0, 0,Data3[[#This Row],[GrossProfit]]/Data3[[#This Row],[GrossRevenue]])</f>
        <v>0.27573704374028213</v>
      </c>
      <c r="AI207" s="5">
        <f t="shared" si="16"/>
        <v>9984.7160999999978</v>
      </c>
    </row>
    <row r="208" spans="1:35" x14ac:dyDescent="0.35">
      <c r="A208" s="4" t="s">
        <v>955</v>
      </c>
      <c r="B208" s="2">
        <v>45522</v>
      </c>
      <c r="C208" s="2" t="str">
        <f>TEXT(Data3[[#This Row],[OrderDate]],"MMM-YYYY")</f>
        <v>Aug-2024</v>
      </c>
      <c r="D208" s="4" t="str">
        <f>"Q"&amp;INT((MONTH(Data3[[#This Row],[OrderDate]])-1)/3)+1&amp;"-"&amp;YEAR(Data3[[#This Row],[OrderDate]])</f>
        <v>Q3-2024</v>
      </c>
      <c r="E208" s="2">
        <v>45547</v>
      </c>
      <c r="F208" t="s">
        <v>45</v>
      </c>
      <c r="G208" t="s">
        <v>60</v>
      </c>
      <c r="H208" s="4" t="s">
        <v>220</v>
      </c>
      <c r="I208" t="s">
        <v>48</v>
      </c>
      <c r="J208" s="4" t="s">
        <v>40</v>
      </c>
      <c r="K208" s="4" t="s">
        <v>21</v>
      </c>
      <c r="L208" t="s">
        <v>42</v>
      </c>
      <c r="M208" s="4" t="s">
        <v>956</v>
      </c>
      <c r="N208" s="3">
        <v>1154.03</v>
      </c>
      <c r="O208" s="3">
        <v>1590.36</v>
      </c>
      <c r="P208" s="3">
        <v>0.314</v>
      </c>
      <c r="Q208" s="3">
        <v>18</v>
      </c>
      <c r="R208" t="s">
        <v>21</v>
      </c>
      <c r="S208" t="s">
        <v>220</v>
      </c>
      <c r="T208" t="s">
        <v>40</v>
      </c>
      <c r="U208">
        <v>1590.36</v>
      </c>
      <c r="V208" t="str" cm="1">
        <f t="array" ref="V208">_xlfn.IFS(Data3[[#This Row],[CorrectedUnitPriceCustom]]&lt;=$W$2, "Low",Data3[[#This Row],[CorrectedUnitPriceCustom]]&lt;=$Y$2, "Medium", TRUE, "High")</f>
        <v>Medium</v>
      </c>
      <c r="W208">
        <f t="shared" si="13"/>
        <v>853.71250000000009</v>
      </c>
      <c r="X208">
        <f t="shared" si="14"/>
        <v>1610.375</v>
      </c>
      <c r="Y208">
        <f t="shared" si="15"/>
        <v>2205.1550000000002</v>
      </c>
      <c r="Z208">
        <v>0.3</v>
      </c>
      <c r="AA208" t="s">
        <v>1373</v>
      </c>
      <c r="AB208" s="1">
        <v>45547</v>
      </c>
      <c r="AC208">
        <v>25</v>
      </c>
      <c r="AD208" s="5">
        <f>Data3[[#This Row],[UnitPrice]]*Data3[[#This Row],[Quantity]]*(1-Data3[[#This Row],[DiscountPct]])</f>
        <v>19637.76528</v>
      </c>
      <c r="AE208" s="6">
        <f>Data3[[#This Row],[UnitPrice]]*Data3[[#This Row],[Quantity]]</f>
        <v>28626.48</v>
      </c>
      <c r="AF208" s="6">
        <f>Data3[[#This Row],[GrossRevenue]]-(Data3[[#This Row],[Quantity]]*Data3[[#This Row],[UnitCost]])</f>
        <v>-1134.7747200000013</v>
      </c>
      <c r="AG208" s="6" t="str">
        <f>TEXT(Data3[[#This Row],[OrderDate]], "mmm-yyyy")</f>
        <v>Aug-2024</v>
      </c>
      <c r="AH208" s="7">
        <f>IF(Data3[[#This Row],[GrossRevenue]]=0, 0,Data3[[#This Row],[GrossProfit]]/Data3[[#This Row],[GrossRevenue]])</f>
        <v>-5.7785328616576745E-2</v>
      </c>
      <c r="AI208" s="5">
        <f t="shared" si="16"/>
        <v>19637.76528</v>
      </c>
    </row>
    <row r="209" spans="1:35" x14ac:dyDescent="0.35">
      <c r="A209" s="4" t="s">
        <v>969</v>
      </c>
      <c r="B209" s="2">
        <v>45542</v>
      </c>
      <c r="C209" s="2" t="str">
        <f>TEXT(Data3[[#This Row],[OrderDate]],"MMM-YYYY")</f>
        <v>Sep-2024</v>
      </c>
      <c r="D209" s="4" t="str">
        <f>"Q"&amp;INT((MONTH(Data3[[#This Row],[OrderDate]])-1)/3)+1&amp;"-"&amp;YEAR(Data3[[#This Row],[OrderDate]])</f>
        <v>Q3-2024</v>
      </c>
      <c r="E209" s="2">
        <v>45553</v>
      </c>
      <c r="F209" t="s">
        <v>45</v>
      </c>
      <c r="G209" t="s">
        <v>116</v>
      </c>
      <c r="H209" s="4" t="s">
        <v>338</v>
      </c>
      <c r="I209" t="s">
        <v>48</v>
      </c>
      <c r="J209" s="4" t="s">
        <v>55</v>
      </c>
      <c r="K209" s="4" t="s">
        <v>68</v>
      </c>
      <c r="L209" t="s">
        <v>35</v>
      </c>
      <c r="M209" s="4" t="s">
        <v>970</v>
      </c>
      <c r="N209" s="3">
        <v>181.74</v>
      </c>
      <c r="O209" s="3">
        <v>190.84</v>
      </c>
      <c r="P209" s="3">
        <v>0.214</v>
      </c>
      <c r="Q209" s="3">
        <v>13</v>
      </c>
      <c r="R209" t="s">
        <v>68</v>
      </c>
      <c r="S209" t="s">
        <v>338</v>
      </c>
      <c r="T209" t="s">
        <v>55</v>
      </c>
      <c r="U209">
        <v>190.84</v>
      </c>
      <c r="V209" t="str" cm="1">
        <f t="array" ref="V209">_xlfn.IFS(Data3[[#This Row],[CorrectedUnitPriceCustom]]&lt;=$W$2, "Low",Data3[[#This Row],[CorrectedUnitPriceCustom]]&lt;=$Y$2, "Medium", TRUE, "High")</f>
        <v>Low</v>
      </c>
      <c r="W209">
        <f t="shared" si="13"/>
        <v>833.69</v>
      </c>
      <c r="X209">
        <f t="shared" si="14"/>
        <v>1630.39</v>
      </c>
      <c r="Y209">
        <f t="shared" si="15"/>
        <v>2210.94</v>
      </c>
      <c r="Z209">
        <v>0.214</v>
      </c>
      <c r="AA209" t="s">
        <v>1372</v>
      </c>
      <c r="AB209" s="1">
        <v>45553</v>
      </c>
      <c r="AC209">
        <v>11</v>
      </c>
      <c r="AD209" s="5">
        <f>Data3[[#This Row],[UnitPrice]]*Data3[[#This Row],[Quantity]]*(1-Data3[[#This Row],[DiscountPct]])</f>
        <v>1950.0031200000001</v>
      </c>
      <c r="AE209" s="6">
        <f>Data3[[#This Row],[UnitPrice]]*Data3[[#This Row],[Quantity]]</f>
        <v>2480.92</v>
      </c>
      <c r="AF209" s="6">
        <f>Data3[[#This Row],[GrossRevenue]]-(Data3[[#This Row],[Quantity]]*Data3[[#This Row],[UnitCost]])</f>
        <v>-412.61687999999981</v>
      </c>
      <c r="AG209" s="6" t="str">
        <f>TEXT(Data3[[#This Row],[OrderDate]], "mmm-yyyy")</f>
        <v>Sep-2024</v>
      </c>
      <c r="AH209" s="7">
        <f>IF(Data3[[#This Row],[GrossRevenue]]=0, 0,Data3[[#This Row],[GrossProfit]]/Data3[[#This Row],[GrossRevenue]])</f>
        <v>-0.21159806144310159</v>
      </c>
      <c r="AI209" s="5">
        <f t="shared" si="16"/>
        <v>1950.0031200000001</v>
      </c>
    </row>
    <row r="210" spans="1:35" x14ac:dyDescent="0.35">
      <c r="A210" s="4" t="s">
        <v>979</v>
      </c>
      <c r="B210" s="2">
        <v>44978</v>
      </c>
      <c r="C210" s="2" t="str">
        <f>TEXT(Data3[[#This Row],[OrderDate]],"MMM-YYYY")</f>
        <v>Feb-2023</v>
      </c>
      <c r="D210" s="4" t="str">
        <f>"Q"&amp;INT((MONTH(Data3[[#This Row],[OrderDate]])-1)/3)+1&amp;"-"&amp;YEAR(Data3[[#This Row],[OrderDate]])</f>
        <v>Q1-2023</v>
      </c>
      <c r="E210" s="2">
        <v>44997</v>
      </c>
      <c r="F210" t="s">
        <v>16</v>
      </c>
      <c r="G210" t="s">
        <v>17</v>
      </c>
      <c r="H210" s="4" t="s">
        <v>135</v>
      </c>
      <c r="I210" t="s">
        <v>19</v>
      </c>
      <c r="J210" s="4" t="s">
        <v>28</v>
      </c>
      <c r="K210" s="4" t="s">
        <v>84</v>
      </c>
      <c r="L210" t="s">
        <v>35</v>
      </c>
      <c r="M210" s="4" t="s">
        <v>980</v>
      </c>
      <c r="N210" s="3">
        <v>352.65</v>
      </c>
      <c r="O210" s="3">
        <v>485.86</v>
      </c>
      <c r="P210" s="3">
        <v>4.1000000000000002E-2</v>
      </c>
      <c r="Q210" s="3">
        <v>6</v>
      </c>
      <c r="R210" t="s">
        <v>84</v>
      </c>
      <c r="S210" t="s">
        <v>135</v>
      </c>
      <c r="T210" t="s">
        <v>28</v>
      </c>
      <c r="U210">
        <v>485.86</v>
      </c>
      <c r="V210" t="str" cm="1">
        <f t="array" ref="V210">_xlfn.IFS(Data3[[#This Row],[CorrectedUnitPriceCustom]]&lt;=$W$2, "Low",Data3[[#This Row],[CorrectedUnitPriceCustom]]&lt;=$Y$2, "Medium", TRUE, "High")</f>
        <v>Low</v>
      </c>
      <c r="W210">
        <f t="shared" si="13"/>
        <v>893.75749999999994</v>
      </c>
      <c r="X210">
        <f t="shared" si="14"/>
        <v>1764.0650000000001</v>
      </c>
      <c r="Y210">
        <f t="shared" si="15"/>
        <v>2257.5300000000002</v>
      </c>
      <c r="Z210">
        <v>4.1000000000000002E-2</v>
      </c>
      <c r="AA210" t="s">
        <v>1372</v>
      </c>
      <c r="AB210" s="1">
        <v>44997</v>
      </c>
      <c r="AC210">
        <v>19</v>
      </c>
      <c r="AD210" s="5">
        <f>Data3[[#This Row],[UnitPrice]]*Data3[[#This Row],[Quantity]]*(1-Data3[[#This Row],[DiscountPct]])</f>
        <v>2795.6384399999997</v>
      </c>
      <c r="AE210" s="6">
        <f>Data3[[#This Row],[UnitPrice]]*Data3[[#This Row],[Quantity]]</f>
        <v>2915.16</v>
      </c>
      <c r="AF210" s="6">
        <f>Data3[[#This Row],[GrossRevenue]]-(Data3[[#This Row],[Quantity]]*Data3[[#This Row],[UnitCost]])</f>
        <v>679.73844000000008</v>
      </c>
      <c r="AG210" s="6" t="str">
        <f>TEXT(Data3[[#This Row],[OrderDate]], "mmm-yyyy")</f>
        <v>Feb-2023</v>
      </c>
      <c r="AH210" s="7">
        <f>IF(Data3[[#This Row],[GrossRevenue]]=0, 0,Data3[[#This Row],[GrossProfit]]/Data3[[#This Row],[GrossRevenue]])</f>
        <v>0.24314247159943908</v>
      </c>
      <c r="AI210" s="5">
        <f t="shared" si="16"/>
        <v>2795.6384399999997</v>
      </c>
    </row>
    <row r="211" spans="1:35" x14ac:dyDescent="0.35">
      <c r="A211" s="4" t="s">
        <v>981</v>
      </c>
      <c r="B211" s="2">
        <v>45063</v>
      </c>
      <c r="C211" s="2" t="str">
        <f>TEXT(Data3[[#This Row],[OrderDate]],"MMM-YYYY")</f>
        <v>May-2023</v>
      </c>
      <c r="D211" s="4" t="str">
        <f>"Q"&amp;INT((MONTH(Data3[[#This Row],[OrderDate]])-1)/3)+1&amp;"-"&amp;YEAR(Data3[[#This Row],[OrderDate]])</f>
        <v>Q2-2023</v>
      </c>
      <c r="E211" s="2">
        <v>45080</v>
      </c>
      <c r="F211" t="s">
        <v>45</v>
      </c>
      <c r="G211" t="s">
        <v>116</v>
      </c>
      <c r="H211" s="4" t="s">
        <v>338</v>
      </c>
      <c r="I211" t="s">
        <v>39</v>
      </c>
      <c r="J211" s="4" t="s">
        <v>55</v>
      </c>
      <c r="K211" s="4" t="s">
        <v>110</v>
      </c>
      <c r="L211" t="s">
        <v>30</v>
      </c>
      <c r="M211" s="4" t="s">
        <v>982</v>
      </c>
      <c r="N211" s="3">
        <v>979.59</v>
      </c>
      <c r="O211" s="3">
        <v>2210.94</v>
      </c>
      <c r="P211" s="3">
        <v>0.15</v>
      </c>
      <c r="Q211" s="3">
        <v>11</v>
      </c>
      <c r="R211" t="s">
        <v>110</v>
      </c>
      <c r="S211" t="s">
        <v>338</v>
      </c>
      <c r="T211" t="s">
        <v>55</v>
      </c>
      <c r="U211">
        <v>2210.94</v>
      </c>
      <c r="V211" t="str" cm="1">
        <f t="array" ref="V211">_xlfn.IFS(Data3[[#This Row],[CorrectedUnitPriceCustom]]&lt;=$W$2, "Low",Data3[[#This Row],[CorrectedUnitPriceCustom]]&lt;=$Y$2, "Medium", TRUE, "High")</f>
        <v>High</v>
      </c>
      <c r="W211">
        <f t="shared" si="13"/>
        <v>957.94499999999994</v>
      </c>
      <c r="X211">
        <f t="shared" si="14"/>
        <v>1897.74</v>
      </c>
      <c r="Y211">
        <f t="shared" si="15"/>
        <v>2304.12</v>
      </c>
      <c r="Z211">
        <v>0.15</v>
      </c>
      <c r="AA211" t="s">
        <v>1372</v>
      </c>
      <c r="AB211" s="1">
        <v>45080</v>
      </c>
      <c r="AC211">
        <v>17</v>
      </c>
      <c r="AD211" s="5">
        <f>Data3[[#This Row],[UnitPrice]]*Data3[[#This Row],[Quantity]]*(1-Data3[[#This Row],[DiscountPct]])</f>
        <v>20672.289000000001</v>
      </c>
      <c r="AE211" s="6">
        <f>Data3[[#This Row],[UnitPrice]]*Data3[[#This Row],[Quantity]]</f>
        <v>24320.34</v>
      </c>
      <c r="AF211" s="6">
        <f>Data3[[#This Row],[GrossRevenue]]-(Data3[[#This Row],[Quantity]]*Data3[[#This Row],[UnitCost]])</f>
        <v>9896.7990000000009</v>
      </c>
      <c r="AG211" s="6" t="str">
        <f>TEXT(Data3[[#This Row],[OrderDate]], "mmm-yyyy")</f>
        <v>May-2023</v>
      </c>
      <c r="AH211" s="7">
        <f>IF(Data3[[#This Row],[GrossRevenue]]=0, 0,Data3[[#This Row],[GrossProfit]]/Data3[[#This Row],[GrossRevenue]])</f>
        <v>0.47874712858358359</v>
      </c>
      <c r="AI211" s="5">
        <f t="shared" si="16"/>
        <v>20672.289000000001</v>
      </c>
    </row>
    <row r="212" spans="1:35" x14ac:dyDescent="0.35">
      <c r="A212" s="4" t="s">
        <v>995</v>
      </c>
      <c r="B212" s="2">
        <v>45746</v>
      </c>
      <c r="C212" s="2" t="str">
        <f>TEXT(Data3[[#This Row],[OrderDate]],"MMM-YYYY")</f>
        <v>Mar-2025</v>
      </c>
      <c r="D212" s="4" t="str">
        <f>"Q"&amp;INT((MONTH(Data3[[#This Row],[OrderDate]])-1)/3)+1&amp;"-"&amp;YEAR(Data3[[#This Row],[OrderDate]])</f>
        <v>Q1-2025</v>
      </c>
      <c r="E212" s="2">
        <v>45776</v>
      </c>
      <c r="F212" t="s">
        <v>16</v>
      </c>
      <c r="G212" t="s">
        <v>148</v>
      </c>
      <c r="H212" s="4" t="s">
        <v>172</v>
      </c>
      <c r="I212" t="s">
        <v>48</v>
      </c>
      <c r="J212" s="4" t="s">
        <v>40</v>
      </c>
      <c r="K212" s="4" t="s">
        <v>29</v>
      </c>
      <c r="L212" t="s">
        <v>64</v>
      </c>
      <c r="M212" s="4" t="s">
        <v>996</v>
      </c>
      <c r="N212" s="3">
        <v>194.6</v>
      </c>
      <c r="O212" s="3">
        <v>314.87</v>
      </c>
      <c r="P212" s="3">
        <v>0.29299999999999998</v>
      </c>
      <c r="Q212" s="3">
        <v>25</v>
      </c>
      <c r="R212" t="s">
        <v>29</v>
      </c>
      <c r="S212" t="s">
        <v>172</v>
      </c>
      <c r="T212" t="s">
        <v>40</v>
      </c>
      <c r="U212">
        <v>314.87</v>
      </c>
      <c r="V212" t="str" cm="1">
        <f t="array" ref="V212">_xlfn.IFS(Data3[[#This Row],[CorrectedUnitPriceCustom]]&lt;=$W$2, "Low",Data3[[#This Row],[CorrectedUnitPriceCustom]]&lt;=$Y$2, "Medium", TRUE, "High")</f>
        <v>Low</v>
      </c>
      <c r="W212">
        <f t="shared" si="13"/>
        <v>935.86249999999995</v>
      </c>
      <c r="X212">
        <f t="shared" si="14"/>
        <v>1764.0650000000001</v>
      </c>
      <c r="Y212">
        <f t="shared" si="15"/>
        <v>2344.9250000000002</v>
      </c>
      <c r="Z212">
        <v>0.29299999999999998</v>
      </c>
      <c r="AA212" t="s">
        <v>1372</v>
      </c>
      <c r="AB212" s="1">
        <v>45776</v>
      </c>
      <c r="AC212">
        <v>30</v>
      </c>
      <c r="AD212" s="5">
        <f>Data3[[#This Row],[UnitPrice]]*Data3[[#This Row],[Quantity]]*(1-Data3[[#This Row],[DiscountPct]])</f>
        <v>5565.3272500000003</v>
      </c>
      <c r="AE212" s="6">
        <f>Data3[[#This Row],[UnitPrice]]*Data3[[#This Row],[Quantity]]</f>
        <v>7871.75</v>
      </c>
      <c r="AF212" s="6">
        <f>Data3[[#This Row],[GrossRevenue]]-(Data3[[#This Row],[Quantity]]*Data3[[#This Row],[UnitCost]])</f>
        <v>700.32725000000028</v>
      </c>
      <c r="AG212" s="6" t="str">
        <f>TEXT(Data3[[#This Row],[OrderDate]], "mmm-yyyy")</f>
        <v>Mar-2025</v>
      </c>
      <c r="AH212" s="7">
        <f>IF(Data3[[#This Row],[GrossRevenue]]=0, 0,Data3[[#This Row],[GrossProfit]]/Data3[[#This Row],[GrossRevenue]])</f>
        <v>0.1258375686712763</v>
      </c>
      <c r="AI212" s="5">
        <f t="shared" si="16"/>
        <v>5565.3272500000003</v>
      </c>
    </row>
    <row r="213" spans="1:35" x14ac:dyDescent="0.35">
      <c r="A213" s="4" t="s">
        <v>1001</v>
      </c>
      <c r="B213" s="2">
        <v>45129</v>
      </c>
      <c r="C213" s="2" t="str">
        <f>TEXT(Data3[[#This Row],[OrderDate]],"MMM-YYYY")</f>
        <v>Jul-2023</v>
      </c>
      <c r="D213" s="4" t="str">
        <f>"Q"&amp;INT((MONTH(Data3[[#This Row],[OrderDate]])-1)/3)+1&amp;"-"&amp;YEAR(Data3[[#This Row],[OrderDate]])</f>
        <v>Q3-2023</v>
      </c>
      <c r="E213" s="2">
        <v>45128</v>
      </c>
      <c r="F213" t="s">
        <v>45</v>
      </c>
      <c r="G213" t="s">
        <v>60</v>
      </c>
      <c r="H213" s="4" t="s">
        <v>141</v>
      </c>
      <c r="I213" t="s">
        <v>62</v>
      </c>
      <c r="J213" s="4" t="s">
        <v>55</v>
      </c>
      <c r="K213" s="4" t="s">
        <v>63</v>
      </c>
      <c r="L213" t="s">
        <v>30</v>
      </c>
      <c r="M213" s="4" t="s">
        <v>1002</v>
      </c>
      <c r="N213" s="3">
        <v>946.99</v>
      </c>
      <c r="O213" s="3">
        <v>2132.19</v>
      </c>
      <c r="P213" s="3">
        <v>0.16500000000000001</v>
      </c>
      <c r="Q213" s="3">
        <v>7</v>
      </c>
      <c r="R213" t="s">
        <v>63</v>
      </c>
      <c r="S213" t="s">
        <v>141</v>
      </c>
      <c r="T213" t="s">
        <v>55</v>
      </c>
      <c r="U213">
        <v>2132.19</v>
      </c>
      <c r="V213" t="str" cm="1">
        <f t="array" ref="V213">_xlfn.IFS(Data3[[#This Row],[CorrectedUnitPriceCustom]]&lt;=$W$2, "Low",Data3[[#This Row],[CorrectedUnitPriceCustom]]&lt;=$Y$2, "Medium", TRUE, "High")</f>
        <v>High</v>
      </c>
      <c r="W213">
        <f t="shared" si="13"/>
        <v>1002.11</v>
      </c>
      <c r="X213">
        <f t="shared" si="14"/>
        <v>1897.74</v>
      </c>
      <c r="Y213">
        <f t="shared" si="15"/>
        <v>2397.3000000000002</v>
      </c>
      <c r="Z213">
        <v>0.16500000000000001</v>
      </c>
      <c r="AA213" t="s">
        <v>1372</v>
      </c>
      <c r="AB213" s="1">
        <v>45136</v>
      </c>
      <c r="AC213">
        <v>7</v>
      </c>
      <c r="AD213" s="5">
        <f>Data3[[#This Row],[UnitPrice]]*Data3[[#This Row],[Quantity]]*(1-Data3[[#This Row],[DiscountPct]])</f>
        <v>12462.65055</v>
      </c>
      <c r="AE213" s="6">
        <f>Data3[[#This Row],[UnitPrice]]*Data3[[#This Row],[Quantity]]</f>
        <v>14925.33</v>
      </c>
      <c r="AF213" s="6">
        <f>Data3[[#This Row],[GrossRevenue]]-(Data3[[#This Row],[Quantity]]*Data3[[#This Row],[UnitCost]])</f>
        <v>5833.72055</v>
      </c>
      <c r="AG213" s="6" t="str">
        <f>TEXT(Data3[[#This Row],[OrderDate]], "mmm-yyyy")</f>
        <v>Jul-2023</v>
      </c>
      <c r="AH213" s="7">
        <f>IF(Data3[[#This Row],[GrossRevenue]]=0, 0,Data3[[#This Row],[GrossProfit]]/Data3[[#This Row],[GrossRevenue]])</f>
        <v>0.46809629513362228</v>
      </c>
      <c r="AI213" s="5">
        <f t="shared" si="16"/>
        <v>12462.65055</v>
      </c>
    </row>
    <row r="214" spans="1:35" x14ac:dyDescent="0.35">
      <c r="A214" s="4" t="s">
        <v>1009</v>
      </c>
      <c r="B214" s="2">
        <v>45070</v>
      </c>
      <c r="C214" s="2" t="str">
        <f>TEXT(Data3[[#This Row],[OrderDate]],"MMM-YYYY")</f>
        <v>May-2023</v>
      </c>
      <c r="D214" s="4" t="str">
        <f>"Q"&amp;INT((MONTH(Data3[[#This Row],[OrderDate]])-1)/3)+1&amp;"-"&amp;YEAR(Data3[[#This Row],[OrderDate]])</f>
        <v>Q2-2023</v>
      </c>
      <c r="E214" s="2">
        <v>45098</v>
      </c>
      <c r="F214" t="s">
        <v>52</v>
      </c>
      <c r="G214" t="s">
        <v>122</v>
      </c>
      <c r="H214" s="4" t="s">
        <v>326</v>
      </c>
      <c r="I214" t="s">
        <v>62</v>
      </c>
      <c r="J214" s="4" t="s">
        <v>40</v>
      </c>
      <c r="K214" s="4" t="s">
        <v>41</v>
      </c>
      <c r="L214" t="s">
        <v>64</v>
      </c>
      <c r="M214" s="4" t="s">
        <v>1010</v>
      </c>
      <c r="N214" s="3">
        <v>813.97</v>
      </c>
      <c r="O214" s="3">
        <v>1568.83</v>
      </c>
      <c r="P214" s="3">
        <v>1.7000000000000001E-2</v>
      </c>
      <c r="Q214" s="3">
        <v>15</v>
      </c>
      <c r="R214" t="s">
        <v>41</v>
      </c>
      <c r="S214" t="s">
        <v>326</v>
      </c>
      <c r="T214" t="s">
        <v>40</v>
      </c>
      <c r="U214">
        <v>1568.83</v>
      </c>
      <c r="V214" t="str" cm="1">
        <f t="array" ref="V214">_xlfn.IFS(Data3[[#This Row],[CorrectedUnitPriceCustom]]&lt;=$W$2, "Low",Data3[[#This Row],[CorrectedUnitPriceCustom]]&lt;=$Y$2, "Medium", TRUE, "High")</f>
        <v>Medium</v>
      </c>
      <c r="W214">
        <f t="shared" si="13"/>
        <v>980.02750000000003</v>
      </c>
      <c r="X214">
        <f t="shared" si="14"/>
        <v>1764.0650000000001</v>
      </c>
      <c r="Y214">
        <f t="shared" si="15"/>
        <v>2410.7800000000002</v>
      </c>
      <c r="Z214">
        <v>1.7000000000000001E-2</v>
      </c>
      <c r="AA214" t="s">
        <v>1372</v>
      </c>
      <c r="AB214" s="1">
        <v>45098</v>
      </c>
      <c r="AC214">
        <v>28</v>
      </c>
      <c r="AD214" s="5">
        <f>Data3[[#This Row],[UnitPrice]]*Data3[[#This Row],[Quantity]]*(1-Data3[[#This Row],[DiscountPct]])</f>
        <v>23132.398349999996</v>
      </c>
      <c r="AE214" s="6">
        <f>Data3[[#This Row],[UnitPrice]]*Data3[[#This Row],[Quantity]]</f>
        <v>23532.449999999997</v>
      </c>
      <c r="AF214" s="6">
        <f>Data3[[#This Row],[GrossRevenue]]-(Data3[[#This Row],[Quantity]]*Data3[[#This Row],[UnitCost]])</f>
        <v>10922.848349999995</v>
      </c>
      <c r="AG214" s="6" t="str">
        <f>TEXT(Data3[[#This Row],[OrderDate]], "mmm-yyyy")</f>
        <v>May-2023</v>
      </c>
      <c r="AH214" s="7">
        <f>IF(Data3[[#This Row],[GrossRevenue]]=0, 0,Data3[[#This Row],[GrossProfit]]/Data3[[#This Row],[GrossRevenue]])</f>
        <v>0.4721883215364911</v>
      </c>
      <c r="AI214" s="5">
        <f t="shared" si="16"/>
        <v>23132.398349999996</v>
      </c>
    </row>
    <row r="215" spans="1:35" x14ac:dyDescent="0.35">
      <c r="A215" s="4" t="s">
        <v>1027</v>
      </c>
      <c r="B215" s="2">
        <v>45757</v>
      </c>
      <c r="C215" s="2" t="str">
        <f>TEXT(Data3[[#This Row],[OrderDate]],"MMM-YYYY")</f>
        <v>Apr-2025</v>
      </c>
      <c r="D215" s="4" t="str">
        <f>"Q"&amp;INT((MONTH(Data3[[#This Row],[OrderDate]])-1)/3)+1&amp;"-"&amp;YEAR(Data3[[#This Row],[OrderDate]])</f>
        <v>Q2-2025</v>
      </c>
      <c r="E215" s="2">
        <v>45766</v>
      </c>
      <c r="F215" t="s">
        <v>16</v>
      </c>
      <c r="G215" t="s">
        <v>148</v>
      </c>
      <c r="H215" s="4" t="s">
        <v>172</v>
      </c>
      <c r="I215" t="s">
        <v>105</v>
      </c>
      <c r="K215" s="4" t="s">
        <v>41</v>
      </c>
      <c r="L215" t="s">
        <v>35</v>
      </c>
      <c r="M215" s="4" t="s">
        <v>1028</v>
      </c>
      <c r="N215" s="3">
        <v>113.74</v>
      </c>
      <c r="O215" s="3">
        <v>165.7</v>
      </c>
      <c r="P215" s="3">
        <v>0.124</v>
      </c>
      <c r="Q215" s="3">
        <v>13</v>
      </c>
      <c r="R215" t="s">
        <v>41</v>
      </c>
      <c r="S215" t="s">
        <v>172</v>
      </c>
      <c r="T215" t="s">
        <v>1375</v>
      </c>
      <c r="U215">
        <v>165.7</v>
      </c>
      <c r="V215" t="str" cm="1">
        <f t="array" ref="V215">_xlfn.IFS(Data3[[#This Row],[CorrectedUnitPriceCustom]]&lt;=$W$2, "Low",Data3[[#This Row],[CorrectedUnitPriceCustom]]&lt;=$Y$2, "Medium", TRUE, "High")</f>
        <v>Low</v>
      </c>
      <c r="W215">
        <f t="shared" si="13"/>
        <v>957.94499999999994</v>
      </c>
      <c r="X215">
        <f t="shared" si="14"/>
        <v>1897.74</v>
      </c>
      <c r="Y215">
        <f t="shared" si="15"/>
        <v>2424.2600000000002</v>
      </c>
      <c r="Z215">
        <v>0.124</v>
      </c>
      <c r="AA215" t="s">
        <v>1372</v>
      </c>
      <c r="AB215" s="1">
        <v>45766</v>
      </c>
      <c r="AC215">
        <v>9</v>
      </c>
      <c r="AD215" s="5">
        <f>Data3[[#This Row],[UnitPrice]]*Data3[[#This Row],[Quantity]]*(1-Data3[[#This Row],[DiscountPct]])</f>
        <v>1886.9915999999998</v>
      </c>
      <c r="AE215" s="6">
        <f>Data3[[#This Row],[UnitPrice]]*Data3[[#This Row],[Quantity]]</f>
        <v>2154.1</v>
      </c>
      <c r="AF215" s="6">
        <f>Data3[[#This Row],[GrossRevenue]]-(Data3[[#This Row],[Quantity]]*Data3[[#This Row],[UnitCost]])</f>
        <v>408.37159999999994</v>
      </c>
      <c r="AG215" s="6" t="str">
        <f>TEXT(Data3[[#This Row],[OrderDate]], "mmm-yyyy")</f>
        <v>Apr-2025</v>
      </c>
      <c r="AH215" s="7">
        <f>IF(Data3[[#This Row],[GrossRevenue]]=0, 0,Data3[[#This Row],[GrossProfit]]/Data3[[#This Row],[GrossRevenue]])</f>
        <v>0.21641410592394794</v>
      </c>
      <c r="AI215" s="5">
        <f t="shared" si="16"/>
        <v>1886.9915999999998</v>
      </c>
    </row>
    <row r="216" spans="1:35" x14ac:dyDescent="0.35">
      <c r="A216" s="4" t="s">
        <v>1037</v>
      </c>
      <c r="B216" s="2">
        <v>45809</v>
      </c>
      <c r="C216" s="2" t="str">
        <f>TEXT(Data3[[#This Row],[OrderDate]],"MMM-YYYY")</f>
        <v>Jun-2025</v>
      </c>
      <c r="D216" s="4" t="str">
        <f>"Q"&amp;INT((MONTH(Data3[[#This Row],[OrderDate]])-1)/3)+1&amp;"-"&amp;YEAR(Data3[[#This Row],[OrderDate]])</f>
        <v>Q2-2025</v>
      </c>
      <c r="E216" s="2">
        <v>45813</v>
      </c>
      <c r="F216" t="s">
        <v>78</v>
      </c>
      <c r="G216" t="s">
        <v>79</v>
      </c>
      <c r="H216" s="4" t="s">
        <v>159</v>
      </c>
      <c r="I216" t="s">
        <v>105</v>
      </c>
      <c r="J216" s="4" t="s">
        <v>98</v>
      </c>
      <c r="K216" s="4" t="s">
        <v>110</v>
      </c>
      <c r="L216" t="s">
        <v>22</v>
      </c>
      <c r="M216" s="4" t="s">
        <v>1038</v>
      </c>
      <c r="N216" s="3">
        <v>1171.42</v>
      </c>
      <c r="O216" s="3">
        <v>2187.8000000000002</v>
      </c>
      <c r="P216" s="3">
        <v>0.23</v>
      </c>
      <c r="Q216" s="3">
        <v>15</v>
      </c>
      <c r="R216" t="s">
        <v>110</v>
      </c>
      <c r="S216" t="s">
        <v>159</v>
      </c>
      <c r="T216" t="s">
        <v>98</v>
      </c>
      <c r="U216">
        <v>2187.8000000000002</v>
      </c>
      <c r="V216" t="str" cm="1">
        <f t="array" ref="V216">_xlfn.IFS(Data3[[#This Row],[CorrectedUnitPriceCustom]]&lt;=$W$2, "Low",Data3[[#This Row],[CorrectedUnitPriceCustom]]&lt;=$Y$2, "Medium", TRUE, "High")</f>
        <v>High</v>
      </c>
      <c r="W216">
        <f t="shared" si="13"/>
        <v>1107.7674999999999</v>
      </c>
      <c r="X216">
        <f t="shared" si="14"/>
        <v>1938.325</v>
      </c>
      <c r="Y216">
        <f t="shared" si="15"/>
        <v>2437.7399999999998</v>
      </c>
      <c r="Z216">
        <v>0.23</v>
      </c>
      <c r="AA216" t="s">
        <v>1372</v>
      </c>
      <c r="AB216" s="1">
        <v>45813</v>
      </c>
      <c r="AC216">
        <v>4</v>
      </c>
      <c r="AD216" s="5">
        <f>Data3[[#This Row],[UnitPrice]]*Data3[[#This Row],[Quantity]]*(1-Data3[[#This Row],[DiscountPct]])</f>
        <v>25269.09</v>
      </c>
      <c r="AE216" s="6">
        <f>Data3[[#This Row],[UnitPrice]]*Data3[[#This Row],[Quantity]]</f>
        <v>32817</v>
      </c>
      <c r="AF216" s="6">
        <f>Data3[[#This Row],[GrossRevenue]]-(Data3[[#This Row],[Quantity]]*Data3[[#This Row],[UnitCost]])</f>
        <v>7697.7899999999972</v>
      </c>
      <c r="AG216" s="6" t="str">
        <f>TEXT(Data3[[#This Row],[OrderDate]], "mmm-yyyy")</f>
        <v>Jun-2025</v>
      </c>
      <c r="AH216" s="7">
        <f>IF(Data3[[#This Row],[GrossRevenue]]=0, 0,Data3[[#This Row],[GrossProfit]]/Data3[[#This Row],[GrossRevenue]])</f>
        <v>0.30463265594447592</v>
      </c>
      <c r="AI216" s="5">
        <f t="shared" si="16"/>
        <v>25269.09</v>
      </c>
    </row>
    <row r="217" spans="1:35" x14ac:dyDescent="0.35">
      <c r="A217" s="4" t="s">
        <v>1039</v>
      </c>
      <c r="B217" s="2">
        <v>45739</v>
      </c>
      <c r="C217" s="2" t="str">
        <f>TEXT(Data3[[#This Row],[OrderDate]],"MMM-YYYY")</f>
        <v>Mar-2025</v>
      </c>
      <c r="D217" s="4" t="str">
        <f>"Q"&amp;INT((MONTH(Data3[[#This Row],[OrderDate]])-1)/3)+1&amp;"-"&amp;YEAR(Data3[[#This Row],[OrderDate]])</f>
        <v>Q1-2025</v>
      </c>
      <c r="E217" s="2">
        <v>45749</v>
      </c>
      <c r="F217" t="s">
        <v>78</v>
      </c>
      <c r="G217" t="s">
        <v>79</v>
      </c>
      <c r="H217" s="4" t="s">
        <v>80</v>
      </c>
      <c r="I217" t="s">
        <v>105</v>
      </c>
      <c r="J217" s="4" t="s">
        <v>28</v>
      </c>
      <c r="K217" s="4" t="s">
        <v>63</v>
      </c>
      <c r="L217" t="s">
        <v>30</v>
      </c>
      <c r="M217" s="4" t="s">
        <v>1040</v>
      </c>
      <c r="N217" s="3">
        <v>663.61</v>
      </c>
      <c r="O217" s="3">
        <v>1002.11</v>
      </c>
      <c r="P217" s="3">
        <v>4.5999999999999999E-2</v>
      </c>
      <c r="Q217" s="3">
        <v>17</v>
      </c>
      <c r="R217" t="s">
        <v>63</v>
      </c>
      <c r="S217" t="s">
        <v>80</v>
      </c>
      <c r="T217" t="s">
        <v>28</v>
      </c>
      <c r="U217">
        <v>1002.11</v>
      </c>
      <c r="V217" t="str" cm="1">
        <f t="array" ref="V217">_xlfn.IFS(Data3[[#This Row],[CorrectedUnitPriceCustom]]&lt;=$W$2, "Low",Data3[[#This Row],[CorrectedUnitPriceCustom]]&lt;=$Y$2, "Medium", TRUE, "High")</f>
        <v>Medium</v>
      </c>
      <c r="W217">
        <f t="shared" si="13"/>
        <v>1002.11</v>
      </c>
      <c r="X217">
        <f t="shared" si="14"/>
        <v>1897.74</v>
      </c>
      <c r="Y217">
        <f t="shared" si="15"/>
        <v>2451.2199999999998</v>
      </c>
      <c r="Z217">
        <v>4.5999999999999999E-2</v>
      </c>
      <c r="AA217" t="s">
        <v>1372</v>
      </c>
      <c r="AB217" s="1">
        <v>45749</v>
      </c>
      <c r="AC217">
        <v>10</v>
      </c>
      <c r="AD217" s="5">
        <f>Data3[[#This Row],[UnitPrice]]*Data3[[#This Row],[Quantity]]*(1-Data3[[#This Row],[DiscountPct]])</f>
        <v>16252.219979999998</v>
      </c>
      <c r="AE217" s="6">
        <f>Data3[[#This Row],[UnitPrice]]*Data3[[#This Row],[Quantity]]</f>
        <v>17035.87</v>
      </c>
      <c r="AF217" s="6">
        <f>Data3[[#This Row],[GrossRevenue]]-(Data3[[#This Row],[Quantity]]*Data3[[#This Row],[UnitCost]])</f>
        <v>4970.8499799999972</v>
      </c>
      <c r="AG217" s="6" t="str">
        <f>TEXT(Data3[[#This Row],[OrderDate]], "mmm-yyyy")</f>
        <v>Mar-2025</v>
      </c>
      <c r="AH217" s="7">
        <f>IF(Data3[[#This Row],[GrossRevenue]]=0, 0,Data3[[#This Row],[GrossProfit]]/Data3[[#This Row],[GrossRevenue]])</f>
        <v>0.30585667595670812</v>
      </c>
      <c r="AI217" s="5">
        <f t="shared" si="16"/>
        <v>16252.219979999998</v>
      </c>
    </row>
    <row r="218" spans="1:35" x14ac:dyDescent="0.35">
      <c r="A218" s="4" t="s">
        <v>1041</v>
      </c>
      <c r="B218" s="2">
        <v>45060</v>
      </c>
      <c r="C218" s="2" t="str">
        <f>TEXT(Data3[[#This Row],[OrderDate]],"MMM-YYYY")</f>
        <v>May-2023</v>
      </c>
      <c r="D218" s="4" t="str">
        <f>"Q"&amp;INT((MONTH(Data3[[#This Row],[OrderDate]])-1)/3)+1&amp;"-"&amp;YEAR(Data3[[#This Row],[OrderDate]])</f>
        <v>Q2-2023</v>
      </c>
      <c r="E218" s="2">
        <v>45068</v>
      </c>
      <c r="F218" t="s">
        <v>16</v>
      </c>
      <c r="G218" t="s">
        <v>17</v>
      </c>
      <c r="H218" s="4" t="s">
        <v>113</v>
      </c>
      <c r="I218" t="s">
        <v>62</v>
      </c>
      <c r="J218" s="4" t="s">
        <v>55</v>
      </c>
      <c r="K218" s="4" t="s">
        <v>84</v>
      </c>
      <c r="L218" t="s">
        <v>30</v>
      </c>
      <c r="M218" s="4" t="s">
        <v>1042</v>
      </c>
      <c r="N218" s="3">
        <v>432.01</v>
      </c>
      <c r="O218" s="3">
        <v>913.78</v>
      </c>
      <c r="P218" s="3">
        <v>4.9000000000000002E-2</v>
      </c>
      <c r="Q218" s="3">
        <v>12</v>
      </c>
      <c r="R218" t="s">
        <v>84</v>
      </c>
      <c r="S218" t="s">
        <v>113</v>
      </c>
      <c r="T218" t="s">
        <v>55</v>
      </c>
      <c r="U218">
        <v>913.78</v>
      </c>
      <c r="V218" t="str" cm="1">
        <f t="array" ref="V218">_xlfn.IFS(Data3[[#This Row],[CorrectedUnitPriceCustom]]&lt;=$W$2, "Low",Data3[[#This Row],[CorrectedUnitPriceCustom]]&lt;=$Y$2, "Medium", TRUE, "High")</f>
        <v>Medium</v>
      </c>
      <c r="W218">
        <f t="shared" si="13"/>
        <v>1297</v>
      </c>
      <c r="X218">
        <f t="shared" si="14"/>
        <v>1938.325</v>
      </c>
      <c r="Y218">
        <f t="shared" si="15"/>
        <v>2535.8175000000001</v>
      </c>
      <c r="Z218">
        <v>4.9000000000000002E-2</v>
      </c>
      <c r="AA218" t="s">
        <v>1372</v>
      </c>
      <c r="AB218" s="1">
        <v>45068</v>
      </c>
      <c r="AC218">
        <v>8</v>
      </c>
      <c r="AD218" s="5">
        <f>Data3[[#This Row],[UnitPrice]]*Data3[[#This Row],[Quantity]]*(1-Data3[[#This Row],[DiscountPct]])</f>
        <v>10428.057360000001</v>
      </c>
      <c r="AE218" s="6">
        <f>Data3[[#This Row],[UnitPrice]]*Data3[[#This Row],[Quantity]]</f>
        <v>10965.36</v>
      </c>
      <c r="AF218" s="6">
        <f>Data3[[#This Row],[GrossRevenue]]-(Data3[[#This Row],[Quantity]]*Data3[[#This Row],[UnitCost]])</f>
        <v>5243.9373600000008</v>
      </c>
      <c r="AG218" s="6" t="str">
        <f>TEXT(Data3[[#This Row],[OrderDate]], "mmm-yyyy")</f>
        <v>May-2023</v>
      </c>
      <c r="AH218" s="7">
        <f>IF(Data3[[#This Row],[GrossRevenue]]=0, 0,Data3[[#This Row],[GrossProfit]]/Data3[[#This Row],[GrossRevenue]])</f>
        <v>0.50286809699711899</v>
      </c>
      <c r="AI218" s="5">
        <f t="shared" si="16"/>
        <v>10428.057360000001</v>
      </c>
    </row>
    <row r="219" spans="1:35" x14ac:dyDescent="0.35">
      <c r="A219" s="4" t="s">
        <v>1073</v>
      </c>
      <c r="B219" s="2">
        <v>45224</v>
      </c>
      <c r="C219" s="2" t="str">
        <f>TEXT(Data3[[#This Row],[OrderDate]],"MMM-YYYY")</f>
        <v>Oct-2023</v>
      </c>
      <c r="D219" s="4" t="str">
        <f>"Q"&amp;INT((MONTH(Data3[[#This Row],[OrderDate]])-1)/3)+1&amp;"-"&amp;YEAR(Data3[[#This Row],[OrderDate]])</f>
        <v>Q4-2023</v>
      </c>
      <c r="E219" s="2">
        <v>45254</v>
      </c>
      <c r="F219" t="s">
        <v>78</v>
      </c>
      <c r="G219" t="s">
        <v>90</v>
      </c>
      <c r="H219" s="4" t="s">
        <v>217</v>
      </c>
      <c r="I219" t="s">
        <v>105</v>
      </c>
      <c r="J219" s="4" t="s">
        <v>55</v>
      </c>
      <c r="K219" s="4" t="s">
        <v>21</v>
      </c>
      <c r="L219" t="s">
        <v>42</v>
      </c>
      <c r="M219" s="4" t="s">
        <v>1074</v>
      </c>
      <c r="N219" s="3">
        <v>287.85000000000002</v>
      </c>
      <c r="O219" s="3">
        <v>602.91999999999996</v>
      </c>
      <c r="P219" s="3">
        <v>0.222</v>
      </c>
      <c r="Q219" s="3">
        <v>11</v>
      </c>
      <c r="R219" t="s">
        <v>21</v>
      </c>
      <c r="S219" t="s">
        <v>217</v>
      </c>
      <c r="T219" t="s">
        <v>55</v>
      </c>
      <c r="U219">
        <v>602.91999999999996</v>
      </c>
      <c r="V219" t="str" cm="1">
        <f t="array" ref="V219">_xlfn.IFS(Data3[[#This Row],[CorrectedUnitPriceCustom]]&lt;=$W$2, "Low",Data3[[#This Row],[CorrectedUnitPriceCustom]]&lt;=$Y$2, "Medium", TRUE, "High")</f>
        <v>Low</v>
      </c>
      <c r="W219">
        <f t="shared" si="13"/>
        <v>1527.5650000000001</v>
      </c>
      <c r="X219">
        <f t="shared" si="14"/>
        <v>1978.91</v>
      </c>
      <c r="Y219">
        <f t="shared" si="15"/>
        <v>2620.415</v>
      </c>
      <c r="Z219">
        <v>0.222</v>
      </c>
      <c r="AA219" t="s">
        <v>1372</v>
      </c>
      <c r="AB219" s="1">
        <v>45254</v>
      </c>
      <c r="AC219">
        <v>30</v>
      </c>
      <c r="AD219" s="5">
        <f>Data3[[#This Row],[UnitPrice]]*Data3[[#This Row],[Quantity]]*(1-Data3[[#This Row],[DiscountPct]])</f>
        <v>5159.7893599999998</v>
      </c>
      <c r="AE219" s="6">
        <f>Data3[[#This Row],[UnitPrice]]*Data3[[#This Row],[Quantity]]</f>
        <v>6632.12</v>
      </c>
      <c r="AF219" s="6">
        <f>Data3[[#This Row],[GrossRevenue]]-(Data3[[#This Row],[Quantity]]*Data3[[#This Row],[UnitCost]])</f>
        <v>1993.4393599999994</v>
      </c>
      <c r="AG219" s="6" t="str">
        <f>TEXT(Data3[[#This Row],[OrderDate]], "mmm-yyyy")</f>
        <v>Oct-2023</v>
      </c>
      <c r="AH219" s="7">
        <f>IF(Data3[[#This Row],[GrossRevenue]]=0, 0,Data3[[#This Row],[GrossProfit]]/Data3[[#This Row],[GrossRevenue]])</f>
        <v>0.38634122847216373</v>
      </c>
      <c r="AI219" s="5">
        <f t="shared" si="16"/>
        <v>5159.7893599999998</v>
      </c>
    </row>
    <row r="220" spans="1:35" x14ac:dyDescent="0.35">
      <c r="A220" s="4" t="s">
        <v>1099</v>
      </c>
      <c r="B220" s="2">
        <v>45908</v>
      </c>
      <c r="C220" s="2" t="str">
        <f>TEXT(Data3[[#This Row],[OrderDate]],"MMM-YYYY")</f>
        <v>Sep-2025</v>
      </c>
      <c r="D220" s="4" t="str">
        <f>"Q"&amp;INT((MONTH(Data3[[#This Row],[OrderDate]])-1)/3)+1&amp;"-"&amp;YEAR(Data3[[#This Row],[OrderDate]])</f>
        <v>Q3-2025</v>
      </c>
      <c r="E220" s="2">
        <v>45935</v>
      </c>
      <c r="F220" t="s">
        <v>52</v>
      </c>
      <c r="G220" t="s">
        <v>73</v>
      </c>
      <c r="H220" s="4" t="s">
        <v>225</v>
      </c>
      <c r="I220" t="s">
        <v>27</v>
      </c>
      <c r="J220" s="4" t="s">
        <v>28</v>
      </c>
      <c r="K220" s="4" t="s">
        <v>21</v>
      </c>
      <c r="L220" t="s">
        <v>64</v>
      </c>
      <c r="M220" s="4" t="s">
        <v>1100</v>
      </c>
      <c r="N220" s="3">
        <v>660.78</v>
      </c>
      <c r="O220" s="3">
        <v>1630.39</v>
      </c>
      <c r="P220" s="3">
        <v>0.218</v>
      </c>
      <c r="Q220" s="3">
        <v>13</v>
      </c>
      <c r="R220" t="s">
        <v>21</v>
      </c>
      <c r="S220" t="s">
        <v>225</v>
      </c>
      <c r="T220" t="s">
        <v>28</v>
      </c>
      <c r="U220">
        <v>1630.39</v>
      </c>
      <c r="V220" t="str" cm="1">
        <f t="array" ref="V220">_xlfn.IFS(Data3[[#This Row],[CorrectedUnitPriceCustom]]&lt;=$W$2, "Low",Data3[[#This Row],[CorrectedUnitPriceCustom]]&lt;=$Y$2, "Medium", TRUE, "High")</f>
        <v>Medium</v>
      </c>
      <c r="W220">
        <f t="shared" si="13"/>
        <v>1697.2275</v>
      </c>
      <c r="X220">
        <f t="shared" si="14"/>
        <v>2188.105</v>
      </c>
      <c r="Y220">
        <f t="shared" si="15"/>
        <v>2705.0124999999998</v>
      </c>
      <c r="Z220">
        <v>0.218</v>
      </c>
      <c r="AA220" t="s">
        <v>1372</v>
      </c>
      <c r="AB220" s="1">
        <v>45935</v>
      </c>
      <c r="AC220">
        <v>27</v>
      </c>
      <c r="AD220" s="5">
        <f>Data3[[#This Row],[UnitPrice]]*Data3[[#This Row],[Quantity]]*(1-Data3[[#This Row],[DiscountPct]])</f>
        <v>16574.544740000001</v>
      </c>
      <c r="AE220" s="6">
        <f>Data3[[#This Row],[UnitPrice]]*Data3[[#This Row],[Quantity]]</f>
        <v>21195.07</v>
      </c>
      <c r="AF220" s="6">
        <f>Data3[[#This Row],[GrossRevenue]]-(Data3[[#This Row],[Quantity]]*Data3[[#This Row],[UnitCost]])</f>
        <v>7984.4047400000018</v>
      </c>
      <c r="AG220" s="6" t="str">
        <f>TEXT(Data3[[#This Row],[OrderDate]], "mmm-yyyy")</f>
        <v>Sep-2025</v>
      </c>
      <c r="AH220" s="7">
        <f>IF(Data3[[#This Row],[GrossRevenue]]=0, 0,Data3[[#This Row],[GrossProfit]]/Data3[[#This Row],[GrossRevenue]])</f>
        <v>0.48172694123724097</v>
      </c>
      <c r="AI220" s="5">
        <f t="shared" si="16"/>
        <v>16574.544740000001</v>
      </c>
    </row>
    <row r="221" spans="1:35" x14ac:dyDescent="0.35">
      <c r="A221" s="4" t="s">
        <v>1121</v>
      </c>
      <c r="B221" s="2">
        <v>45056</v>
      </c>
      <c r="C221" s="2" t="str">
        <f>TEXT(Data3[[#This Row],[OrderDate]],"MMM-YYYY")</f>
        <v>May-2023</v>
      </c>
      <c r="D221" s="4" t="str">
        <f>"Q"&amp;INT((MONTH(Data3[[#This Row],[OrderDate]])-1)/3)+1&amp;"-"&amp;YEAR(Data3[[#This Row],[OrderDate]])</f>
        <v>Q2-2023</v>
      </c>
      <c r="E221" s="2">
        <v>45060</v>
      </c>
      <c r="F221" t="s">
        <v>45</v>
      </c>
      <c r="G221" t="s">
        <v>60</v>
      </c>
      <c r="H221" s="4" t="s">
        <v>141</v>
      </c>
      <c r="I221" t="s">
        <v>39</v>
      </c>
      <c r="J221" s="4" t="s">
        <v>55</v>
      </c>
      <c r="K221" s="4" t="s">
        <v>21</v>
      </c>
      <c r="L221" t="s">
        <v>64</v>
      </c>
      <c r="M221" s="4" t="s">
        <v>1122</v>
      </c>
      <c r="N221" s="3">
        <v>622.6</v>
      </c>
      <c r="O221" s="3">
        <v>833.69</v>
      </c>
      <c r="P221" s="3">
        <v>0.20899999999999999</v>
      </c>
      <c r="Q221" s="3">
        <v>14</v>
      </c>
      <c r="R221" t="s">
        <v>21</v>
      </c>
      <c r="S221" t="s">
        <v>141</v>
      </c>
      <c r="T221" t="s">
        <v>55</v>
      </c>
      <c r="U221">
        <v>833.69</v>
      </c>
      <c r="V221" t="str" cm="1">
        <f t="array" ref="V221">_xlfn.IFS(Data3[[#This Row],[CorrectedUnitPriceCustom]]&lt;=$W$2, "Low",Data3[[#This Row],[CorrectedUnitPriceCustom]]&lt;=$Y$2, "Medium", TRUE, "High")</f>
        <v>Medium</v>
      </c>
      <c r="W221">
        <f t="shared" si="13"/>
        <v>1897.74</v>
      </c>
      <c r="X221">
        <f t="shared" si="14"/>
        <v>2397.3000000000002</v>
      </c>
      <c r="Y221">
        <f t="shared" si="15"/>
        <v>2789.61</v>
      </c>
      <c r="Z221">
        <v>0.20899999999999999</v>
      </c>
      <c r="AA221" t="s">
        <v>1372</v>
      </c>
      <c r="AB221" s="1">
        <v>45060</v>
      </c>
      <c r="AC221">
        <v>4</v>
      </c>
      <c r="AD221" s="5">
        <f>Data3[[#This Row],[UnitPrice]]*Data3[[#This Row],[Quantity]]*(1-Data3[[#This Row],[DiscountPct]])</f>
        <v>9232.2830599999998</v>
      </c>
      <c r="AE221" s="6">
        <f>Data3[[#This Row],[UnitPrice]]*Data3[[#This Row],[Quantity]]</f>
        <v>11671.66</v>
      </c>
      <c r="AF221" s="6">
        <f>Data3[[#This Row],[GrossRevenue]]-(Data3[[#This Row],[Quantity]]*Data3[[#This Row],[UnitCost]])</f>
        <v>515.88306000000011</v>
      </c>
      <c r="AG221" s="6" t="str">
        <f>TEXT(Data3[[#This Row],[OrderDate]], "mmm-yyyy")</f>
        <v>May-2023</v>
      </c>
      <c r="AH221" s="7">
        <f>IF(Data3[[#This Row],[GrossRevenue]]=0, 0,Data3[[#This Row],[GrossProfit]]/Data3[[#This Row],[GrossRevenue]])</f>
        <v>5.5878167582959715E-2</v>
      </c>
      <c r="AI221" s="5">
        <f t="shared" si="16"/>
        <v>9232.2830599999998</v>
      </c>
    </row>
    <row r="222" spans="1:35" x14ac:dyDescent="0.35">
      <c r="A222" s="4" t="s">
        <v>1169</v>
      </c>
      <c r="B222" s="2">
        <v>45832</v>
      </c>
      <c r="C222" s="2" t="str">
        <f>TEXT(Data3[[#This Row],[OrderDate]],"MMM-YYYY")</f>
        <v>Jun-2025</v>
      </c>
      <c r="D222" s="4" t="str">
        <f>"Q"&amp;INT((MONTH(Data3[[#This Row],[OrderDate]])-1)/3)+1&amp;"-"&amp;YEAR(Data3[[#This Row],[OrderDate]])</f>
        <v>Q2-2025</v>
      </c>
      <c r="E222" s="2">
        <v>45852</v>
      </c>
      <c r="F222" t="s">
        <v>16</v>
      </c>
      <c r="G222" t="s">
        <v>148</v>
      </c>
      <c r="H222" s="4" t="s">
        <v>149</v>
      </c>
      <c r="I222" t="s">
        <v>105</v>
      </c>
      <c r="J222" s="4" t="s">
        <v>40</v>
      </c>
      <c r="K222" s="4" t="s">
        <v>29</v>
      </c>
      <c r="L222" t="s">
        <v>57</v>
      </c>
      <c r="M222" s="4" t="s">
        <v>1170</v>
      </c>
      <c r="N222" s="3">
        <v>1151.06</v>
      </c>
      <c r="O222" s="3">
        <v>2821.36</v>
      </c>
      <c r="P222" s="3">
        <v>0.248</v>
      </c>
      <c r="Q222" s="3">
        <v>20</v>
      </c>
      <c r="R222" t="s">
        <v>29</v>
      </c>
      <c r="S222" t="s">
        <v>149</v>
      </c>
      <c r="T222" t="s">
        <v>40</v>
      </c>
      <c r="U222">
        <v>2821.36</v>
      </c>
      <c r="V222" t="str" cm="1">
        <f t="array" ref="V222">_xlfn.IFS(Data3[[#This Row],[CorrectedUnitPriceCustom]]&lt;=$W$2, "Low",Data3[[#This Row],[CorrectedUnitPriceCustom]]&lt;=$Y$2, "Medium", TRUE, "High")</f>
        <v>High</v>
      </c>
      <c r="W222">
        <f t="shared" si="13"/>
        <v>1958.6175000000001</v>
      </c>
      <c r="X222">
        <f t="shared" si="14"/>
        <v>2424.2600000000002</v>
      </c>
      <c r="Y222">
        <f t="shared" si="15"/>
        <v>2797.5475000000001</v>
      </c>
      <c r="Z222">
        <v>0.248</v>
      </c>
      <c r="AA222" t="s">
        <v>1372</v>
      </c>
      <c r="AB222" s="1">
        <v>45852</v>
      </c>
      <c r="AC222">
        <v>20</v>
      </c>
      <c r="AD222" s="5">
        <f>Data3[[#This Row],[UnitPrice]]*Data3[[#This Row],[Quantity]]*(1-Data3[[#This Row],[DiscountPct]])</f>
        <v>42433.254400000005</v>
      </c>
      <c r="AE222" s="6">
        <f>Data3[[#This Row],[UnitPrice]]*Data3[[#This Row],[Quantity]]</f>
        <v>56427.200000000004</v>
      </c>
      <c r="AF222" s="6">
        <f>Data3[[#This Row],[GrossRevenue]]-(Data3[[#This Row],[Quantity]]*Data3[[#This Row],[UnitCost]])</f>
        <v>19412.054400000008</v>
      </c>
      <c r="AG222" s="6" t="str">
        <f>TEXT(Data3[[#This Row],[OrderDate]], "mmm-yyyy")</f>
        <v>Jun-2025</v>
      </c>
      <c r="AH222" s="7">
        <f>IF(Data3[[#This Row],[GrossRevenue]]=0, 0,Data3[[#This Row],[GrossProfit]]/Data3[[#This Row],[GrossRevenue]])</f>
        <v>0.45747267501594235</v>
      </c>
      <c r="AI222" s="5">
        <f t="shared" si="16"/>
        <v>42433.254400000005</v>
      </c>
    </row>
    <row r="223" spans="1:35" x14ac:dyDescent="0.35">
      <c r="A223" s="4" t="s">
        <v>1176</v>
      </c>
      <c r="B223" s="2">
        <v>45114</v>
      </c>
      <c r="C223" s="2" t="str">
        <f>TEXT(Data3[[#This Row],[OrderDate]],"MMM-YYYY")</f>
        <v>Jul-2023</v>
      </c>
      <c r="D223" s="4" t="str">
        <f>"Q"&amp;INT((MONTH(Data3[[#This Row],[OrderDate]])-1)/3)+1&amp;"-"&amp;YEAR(Data3[[#This Row],[OrderDate]])</f>
        <v>Q3-2023</v>
      </c>
      <c r="E223" s="2">
        <v>45120</v>
      </c>
      <c r="F223" t="s">
        <v>16</v>
      </c>
      <c r="G223" t="s">
        <v>148</v>
      </c>
      <c r="H223" s="4" t="s">
        <v>258</v>
      </c>
      <c r="I223" t="s">
        <v>62</v>
      </c>
      <c r="J223" s="4" t="s">
        <v>40</v>
      </c>
      <c r="K223" s="4" t="s">
        <v>56</v>
      </c>
      <c r="L223" t="s">
        <v>81</v>
      </c>
      <c r="M223" s="4" t="s">
        <v>1177</v>
      </c>
      <c r="N223" s="3">
        <v>612.59</v>
      </c>
      <c r="O223" s="3">
        <v>1424.74</v>
      </c>
      <c r="P223" s="3">
        <v>4.3999999999999997E-2</v>
      </c>
      <c r="Q223" s="3">
        <v>15</v>
      </c>
      <c r="R223" t="s">
        <v>56</v>
      </c>
      <c r="S223" t="s">
        <v>258</v>
      </c>
      <c r="T223" t="s">
        <v>40</v>
      </c>
      <c r="U223">
        <v>1424.74</v>
      </c>
      <c r="V223" t="str" cm="1">
        <f t="array" ref="V223">_xlfn.IFS(Data3[[#This Row],[CorrectedUnitPriceCustom]]&lt;=$W$2, "Low",Data3[[#This Row],[CorrectedUnitPriceCustom]]&lt;=$Y$2, "Medium", TRUE, "High")</f>
        <v>Medium</v>
      </c>
      <c r="W223">
        <f t="shared" si="13"/>
        <v>1938.325</v>
      </c>
      <c r="X223">
        <f t="shared" si="14"/>
        <v>2397.3000000000002</v>
      </c>
      <c r="Y223">
        <f t="shared" si="15"/>
        <v>2620.415</v>
      </c>
      <c r="Z223">
        <v>4.3999999999999997E-2</v>
      </c>
      <c r="AA223" t="s">
        <v>1372</v>
      </c>
      <c r="AB223" s="1">
        <v>45120</v>
      </c>
      <c r="AC223">
        <v>6</v>
      </c>
      <c r="AD223" s="5">
        <f>Data3[[#This Row],[UnitPrice]]*Data3[[#This Row],[Quantity]]*(1-Data3[[#This Row],[DiscountPct]])</f>
        <v>20430.771599999996</v>
      </c>
      <c r="AE223" s="6">
        <f>Data3[[#This Row],[UnitPrice]]*Data3[[#This Row],[Quantity]]</f>
        <v>21371.1</v>
      </c>
      <c r="AF223" s="6">
        <f>Data3[[#This Row],[GrossRevenue]]-(Data3[[#This Row],[Quantity]]*Data3[[#This Row],[UnitCost]])</f>
        <v>11241.921599999996</v>
      </c>
      <c r="AG223" s="6" t="str">
        <f>TEXT(Data3[[#This Row],[OrderDate]], "mmm-yyyy")</f>
        <v>Jul-2023</v>
      </c>
      <c r="AH223" s="7">
        <f>IF(Data3[[#This Row],[GrossRevenue]]=0, 0,Data3[[#This Row],[GrossProfit]]/Data3[[#This Row],[GrossRevenue]])</f>
        <v>0.55024459281802152</v>
      </c>
      <c r="AI223" s="5">
        <f t="shared" si="16"/>
        <v>20430.771599999996</v>
      </c>
    </row>
    <row r="224" spans="1:35" x14ac:dyDescent="0.35">
      <c r="A224" s="4" t="s">
        <v>1194</v>
      </c>
      <c r="B224" s="2">
        <v>45177</v>
      </c>
      <c r="C224" s="2" t="str">
        <f>TEXT(Data3[[#This Row],[OrderDate]],"MMM-YYYY")</f>
        <v>Sep-2023</v>
      </c>
      <c r="D224" s="4" t="str">
        <f>"Q"&amp;INT((MONTH(Data3[[#This Row],[OrderDate]])-1)/3)+1&amp;"-"&amp;YEAR(Data3[[#This Row],[OrderDate]])</f>
        <v>Q3-2023</v>
      </c>
      <c r="E224" s="2">
        <v>45201</v>
      </c>
      <c r="F224" t="s">
        <v>52</v>
      </c>
      <c r="G224" t="s">
        <v>53</v>
      </c>
      <c r="H224" s="4" t="s">
        <v>54</v>
      </c>
      <c r="I224" t="s">
        <v>27</v>
      </c>
      <c r="J224" s="4" t="s">
        <v>98</v>
      </c>
      <c r="K224" s="4" t="s">
        <v>75</v>
      </c>
      <c r="L224" t="s">
        <v>81</v>
      </c>
      <c r="M224" s="4" t="s">
        <v>1195</v>
      </c>
      <c r="N224" s="3">
        <v>1299.03</v>
      </c>
      <c r="O224" s="3">
        <v>2451.2199999999998</v>
      </c>
      <c r="P224" s="3">
        <v>0.20799999999999999</v>
      </c>
      <c r="Q224" s="3">
        <v>8</v>
      </c>
      <c r="R224" t="s">
        <v>75</v>
      </c>
      <c r="S224" t="s">
        <v>54</v>
      </c>
      <c r="T224" t="s">
        <v>98</v>
      </c>
      <c r="U224">
        <v>2451.2199999999998</v>
      </c>
      <c r="V224" t="str" cm="1">
        <f t="array" ref="V224">_xlfn.IFS(Data3[[#This Row],[CorrectedUnitPriceCustom]]&lt;=$W$2, "Low",Data3[[#This Row],[CorrectedUnitPriceCustom]]&lt;=$Y$2, "Medium", TRUE, "High")</f>
        <v>High</v>
      </c>
      <c r="W224">
        <f t="shared" si="13"/>
        <v>2083.5075000000002</v>
      </c>
      <c r="X224">
        <f t="shared" si="14"/>
        <v>2424.2600000000002</v>
      </c>
      <c r="Y224">
        <f t="shared" si="15"/>
        <v>2705.0124999999998</v>
      </c>
      <c r="Z224">
        <v>0.20799999999999999</v>
      </c>
      <c r="AA224" t="s">
        <v>1372</v>
      </c>
      <c r="AB224" s="1">
        <v>45201</v>
      </c>
      <c r="AC224">
        <v>24</v>
      </c>
      <c r="AD224" s="5">
        <f>Data3[[#This Row],[UnitPrice]]*Data3[[#This Row],[Quantity]]*(1-Data3[[#This Row],[DiscountPct]])</f>
        <v>15530.929919999999</v>
      </c>
      <c r="AE224" s="6">
        <f>Data3[[#This Row],[UnitPrice]]*Data3[[#This Row],[Quantity]]</f>
        <v>19609.759999999998</v>
      </c>
      <c r="AF224" s="6">
        <f>Data3[[#This Row],[GrossRevenue]]-(Data3[[#This Row],[Quantity]]*Data3[[#This Row],[UnitCost]])</f>
        <v>5138.6899199999989</v>
      </c>
      <c r="AG224" s="6" t="str">
        <f>TEXT(Data3[[#This Row],[OrderDate]], "mmm-yyyy")</f>
        <v>Sep-2023</v>
      </c>
      <c r="AH224" s="7">
        <f>IF(Data3[[#This Row],[GrossRevenue]]=0, 0,Data3[[#This Row],[GrossProfit]]/Data3[[#This Row],[GrossRevenue]])</f>
        <v>0.3308681416032041</v>
      </c>
      <c r="AI224" s="5">
        <f t="shared" si="16"/>
        <v>15530.929919999999</v>
      </c>
    </row>
    <row r="225" spans="1:35" x14ac:dyDescent="0.35">
      <c r="A225" s="4" t="s">
        <v>1214</v>
      </c>
      <c r="B225" s="2">
        <v>45791</v>
      </c>
      <c r="C225" s="2" t="str">
        <f>TEXT(Data3[[#This Row],[OrderDate]],"MMM-YYYY")</f>
        <v>May-2025</v>
      </c>
      <c r="D225" s="4" t="str">
        <f>"Q"&amp;INT((MONTH(Data3[[#This Row],[OrderDate]])-1)/3)+1&amp;"-"&amp;YEAR(Data3[[#This Row],[OrderDate]])</f>
        <v>Q2-2025</v>
      </c>
      <c r="E225" s="2">
        <v>45789</v>
      </c>
      <c r="F225" t="s">
        <v>52</v>
      </c>
      <c r="G225" t="s">
        <v>53</v>
      </c>
      <c r="H225" s="4" t="s">
        <v>179</v>
      </c>
      <c r="I225" t="s">
        <v>39</v>
      </c>
      <c r="J225" s="4" t="s">
        <v>55</v>
      </c>
      <c r="K225" s="4" t="s">
        <v>84</v>
      </c>
      <c r="L225" t="s">
        <v>30</v>
      </c>
      <c r="M225" s="4" t="s">
        <v>1215</v>
      </c>
      <c r="N225" s="3">
        <v>883.5</v>
      </c>
      <c r="O225" s="3">
        <v>1978.91</v>
      </c>
      <c r="P225" s="3">
        <v>5.3999999999999999E-2</v>
      </c>
      <c r="Q225" s="3">
        <v>27</v>
      </c>
      <c r="R225" t="s">
        <v>84</v>
      </c>
      <c r="S225" t="s">
        <v>179</v>
      </c>
      <c r="T225" t="s">
        <v>55</v>
      </c>
      <c r="U225">
        <v>1978.91</v>
      </c>
      <c r="V225" t="str" cm="1">
        <f t="array" ref="V225">_xlfn.IFS(Data3[[#This Row],[CorrectedUnitPriceCustom]]&lt;=$W$2, "Low",Data3[[#This Row],[CorrectedUnitPriceCustom]]&lt;=$Y$2, "Medium", TRUE, "High")</f>
        <v>High</v>
      </c>
      <c r="W225">
        <f t="shared" si="13"/>
        <v>1978.91</v>
      </c>
      <c r="X225">
        <f t="shared" si="14"/>
        <v>2397.3000000000002</v>
      </c>
      <c r="Y225">
        <f t="shared" si="15"/>
        <v>2789.61</v>
      </c>
      <c r="Z225">
        <v>5.3999999999999999E-2</v>
      </c>
      <c r="AA225" t="s">
        <v>1372</v>
      </c>
      <c r="AB225" s="1">
        <v>45798</v>
      </c>
      <c r="AC225">
        <v>7</v>
      </c>
      <c r="AD225" s="5">
        <f>Data3[[#This Row],[UnitPrice]]*Data3[[#This Row],[Quantity]]*(1-Data3[[#This Row],[DiscountPct]])</f>
        <v>50545.319219999998</v>
      </c>
      <c r="AE225" s="6">
        <f>Data3[[#This Row],[UnitPrice]]*Data3[[#This Row],[Quantity]]</f>
        <v>53430.57</v>
      </c>
      <c r="AF225" s="6">
        <f>Data3[[#This Row],[GrossRevenue]]-(Data3[[#This Row],[Quantity]]*Data3[[#This Row],[UnitCost]])</f>
        <v>26690.819219999998</v>
      </c>
      <c r="AG225" s="6" t="str">
        <f>TEXT(Data3[[#This Row],[OrderDate]], "mmm-yyyy")</f>
        <v>May-2025</v>
      </c>
      <c r="AH225" s="7">
        <f>IF(Data3[[#This Row],[GrossRevenue]]=0, 0,Data3[[#This Row],[GrossProfit]]/Data3[[#This Row],[GrossRevenue]])</f>
        <v>0.52805718970390547</v>
      </c>
      <c r="AI225" s="5">
        <f t="shared" si="16"/>
        <v>50545.319219999998</v>
      </c>
    </row>
    <row r="226" spans="1:35" x14ac:dyDescent="0.35">
      <c r="A226" s="4" t="s">
        <v>1314</v>
      </c>
      <c r="B226" s="2">
        <v>45827</v>
      </c>
      <c r="C226" s="2" t="str">
        <f>TEXT(Data3[[#This Row],[OrderDate]],"MMM-YYYY")</f>
        <v>Jun-2025</v>
      </c>
      <c r="D226" s="4" t="str">
        <f>"Q"&amp;INT((MONTH(Data3[[#This Row],[OrderDate]])-1)/3)+1&amp;"-"&amp;YEAR(Data3[[#This Row],[OrderDate]])</f>
        <v>Q2-2025</v>
      </c>
      <c r="E226" s="2">
        <v>45829</v>
      </c>
      <c r="F226" t="s">
        <v>16</v>
      </c>
      <c r="G226" t="s">
        <v>148</v>
      </c>
      <c r="H226" s="4" t="s">
        <v>149</v>
      </c>
      <c r="I226" t="s">
        <v>62</v>
      </c>
      <c r="K226" s="4" t="s">
        <v>92</v>
      </c>
      <c r="L226" t="s">
        <v>42</v>
      </c>
      <c r="M226" s="4" t="s">
        <v>1315</v>
      </c>
      <c r="N226" s="3">
        <v>1466.27</v>
      </c>
      <c r="O226" s="3">
        <v>3589.89</v>
      </c>
      <c r="P226" s="3">
        <v>9.7000000000000003E-2</v>
      </c>
      <c r="Q226" s="3">
        <v>9</v>
      </c>
      <c r="R226" t="s">
        <v>92</v>
      </c>
      <c r="S226" t="s">
        <v>149</v>
      </c>
      <c r="T226" t="s">
        <v>1375</v>
      </c>
      <c r="U226">
        <v>3589.89</v>
      </c>
      <c r="V226" t="str" cm="1">
        <f t="array" ref="V226">_xlfn.IFS(Data3[[#This Row],[CorrectedUnitPriceCustom]]&lt;=$W$2, "Low",Data3[[#This Row],[CorrectedUnitPriceCustom]]&lt;=$Y$2, "Medium", TRUE, "High")</f>
        <v>High</v>
      </c>
      <c r="W226">
        <f t="shared" si="13"/>
        <v>2272.4100000000003</v>
      </c>
      <c r="X226">
        <f t="shared" si="14"/>
        <v>2593.4549999999999</v>
      </c>
      <c r="Y226">
        <f t="shared" si="15"/>
        <v>2989.6800000000003</v>
      </c>
      <c r="Z226">
        <v>9.7000000000000003E-2</v>
      </c>
      <c r="AA226" t="s">
        <v>1372</v>
      </c>
      <c r="AB226" s="1">
        <v>45829</v>
      </c>
      <c r="AC226">
        <v>2</v>
      </c>
      <c r="AD226" s="5">
        <f>Data3[[#This Row],[UnitPrice]]*Data3[[#This Row],[Quantity]]*(1-Data3[[#This Row],[DiscountPct]])</f>
        <v>29175.036029999999</v>
      </c>
      <c r="AE226" s="6">
        <f>Data3[[#This Row],[UnitPrice]]*Data3[[#This Row],[Quantity]]</f>
        <v>32309.01</v>
      </c>
      <c r="AF226" s="6">
        <f>Data3[[#This Row],[GrossRevenue]]-(Data3[[#This Row],[Quantity]]*Data3[[#This Row],[UnitCost]])</f>
        <v>15978.606029999999</v>
      </c>
      <c r="AG226" s="6" t="str">
        <f>TEXT(Data3[[#This Row],[OrderDate]], "mmm-yyyy")</f>
        <v>Jun-2025</v>
      </c>
      <c r="AH226" s="7">
        <f>IF(Data3[[#This Row],[GrossRevenue]]=0, 0,Data3[[#This Row],[GrossProfit]]/Data3[[#This Row],[GrossRevenue]])</f>
        <v>0.54768076425234147</v>
      </c>
      <c r="AI226" s="5">
        <f t="shared" si="16"/>
        <v>29175.036029999999</v>
      </c>
    </row>
    <row r="227" spans="1:35" x14ac:dyDescent="0.35">
      <c r="A227" s="4" t="s">
        <v>1328</v>
      </c>
      <c r="B227" s="2">
        <v>45137</v>
      </c>
      <c r="C227" s="2" t="str">
        <f>TEXT(Data3[[#This Row],[OrderDate]],"MMM-YYYY")</f>
        <v>Jul-2023</v>
      </c>
      <c r="D227" s="4" t="str">
        <f>"Q"&amp;INT((MONTH(Data3[[#This Row],[OrderDate]])-1)/3)+1&amp;"-"&amp;YEAR(Data3[[#This Row],[OrderDate]])</f>
        <v>Q3-2023</v>
      </c>
      <c r="E227" s="2">
        <v>45157</v>
      </c>
      <c r="F227" t="s">
        <v>78</v>
      </c>
      <c r="G227" t="s">
        <v>90</v>
      </c>
      <c r="H227" s="4" t="s">
        <v>217</v>
      </c>
      <c r="I227" t="s">
        <v>105</v>
      </c>
      <c r="J227" s="4" t="s">
        <v>40</v>
      </c>
      <c r="K227" s="4" t="s">
        <v>41</v>
      </c>
      <c r="L227" t="s">
        <v>35</v>
      </c>
      <c r="M227" s="4" t="s">
        <v>1329</v>
      </c>
      <c r="N227" s="3">
        <v>1418.51</v>
      </c>
      <c r="O227" s="3">
        <v>2789.61</v>
      </c>
      <c r="P227" s="3">
        <v>0.17100000000000001</v>
      </c>
      <c r="Q227" s="3">
        <v>8</v>
      </c>
      <c r="R227" t="s">
        <v>41</v>
      </c>
      <c r="S227" t="s">
        <v>217</v>
      </c>
      <c r="T227" t="s">
        <v>40</v>
      </c>
      <c r="U227">
        <v>2789.61</v>
      </c>
      <c r="V227" t="str" cm="1">
        <f t="array" ref="V227">_xlfn.IFS(Data3[[#This Row],[CorrectedUnitPriceCustom]]&lt;=$W$2, "Low",Data3[[#This Row],[CorrectedUnitPriceCustom]]&lt;=$Y$2, "Medium", TRUE, "High")</f>
        <v>High</v>
      </c>
      <c r="W227">
        <f t="shared" si="13"/>
        <v>2147.52</v>
      </c>
      <c r="X227">
        <f t="shared" si="14"/>
        <v>2397.3000000000002</v>
      </c>
      <c r="Y227">
        <f t="shared" si="15"/>
        <v>2593.4549999999999</v>
      </c>
      <c r="Z227">
        <v>0.17100000000000001</v>
      </c>
      <c r="AA227" t="s">
        <v>1372</v>
      </c>
      <c r="AB227" s="1">
        <v>45157</v>
      </c>
      <c r="AC227">
        <v>20</v>
      </c>
      <c r="AD227" s="5">
        <f>Data3[[#This Row],[UnitPrice]]*Data3[[#This Row],[Quantity]]*(1-Data3[[#This Row],[DiscountPct]])</f>
        <v>18500.693520000001</v>
      </c>
      <c r="AE227" s="6">
        <f>Data3[[#This Row],[UnitPrice]]*Data3[[#This Row],[Quantity]]</f>
        <v>22316.880000000001</v>
      </c>
      <c r="AF227" s="6">
        <f>Data3[[#This Row],[GrossRevenue]]-(Data3[[#This Row],[Quantity]]*Data3[[#This Row],[UnitCost]])</f>
        <v>7152.6135200000008</v>
      </c>
      <c r="AG227" s="6" t="str">
        <f>TEXT(Data3[[#This Row],[OrderDate]], "mmm-yyyy")</f>
        <v>Jul-2023</v>
      </c>
      <c r="AH227" s="7">
        <f>IF(Data3[[#This Row],[GrossRevenue]]=0, 0,Data3[[#This Row],[GrossProfit]]/Data3[[#This Row],[GrossRevenue]])</f>
        <v>0.38661326464695689</v>
      </c>
      <c r="AI227" s="5">
        <f t="shared" si="16"/>
        <v>18500.693520000001</v>
      </c>
    </row>
    <row r="228" spans="1:35" x14ac:dyDescent="0.35">
      <c r="A228" s="4" t="s">
        <v>1330</v>
      </c>
      <c r="B228" s="2">
        <v>45727</v>
      </c>
      <c r="C228" s="2" t="str">
        <f>TEXT(Data3[[#This Row],[OrderDate]],"MMM-YYYY")</f>
        <v>Mar-2025</v>
      </c>
      <c r="D228" s="4" t="str">
        <f>"Q"&amp;INT((MONTH(Data3[[#This Row],[OrderDate]])-1)/3)+1&amp;"-"&amp;YEAR(Data3[[#This Row],[OrderDate]])</f>
        <v>Q1-2025</v>
      </c>
      <c r="E228" s="2">
        <v>45743</v>
      </c>
      <c r="F228" t="s">
        <v>45</v>
      </c>
      <c r="G228" t="s">
        <v>46</v>
      </c>
      <c r="H228" s="4" t="s">
        <v>214</v>
      </c>
      <c r="I228" t="s">
        <v>105</v>
      </c>
      <c r="J228" s="4" t="s">
        <v>55</v>
      </c>
      <c r="K228" s="4" t="s">
        <v>56</v>
      </c>
      <c r="L228" t="s">
        <v>30</v>
      </c>
      <c r="M228" s="4" t="s">
        <v>1331</v>
      </c>
      <c r="N228" s="3">
        <v>1317.58</v>
      </c>
      <c r="O228" s="3">
        <v>1897.74</v>
      </c>
      <c r="P228" s="3">
        <v>8.1000000000000003E-2</v>
      </c>
      <c r="Q228" s="3">
        <v>6</v>
      </c>
      <c r="R228" t="s">
        <v>56</v>
      </c>
      <c r="S228" t="s">
        <v>214</v>
      </c>
      <c r="T228" t="s">
        <v>55</v>
      </c>
      <c r="U228">
        <v>1897.74</v>
      </c>
      <c r="V228" t="str" cm="1">
        <f t="array" ref="V228">_xlfn.IFS(Data3[[#This Row],[CorrectedUnitPriceCustom]]&lt;=$W$2, "Low",Data3[[#This Row],[CorrectedUnitPriceCustom]]&lt;=$Y$2, "Medium", TRUE, "High")</f>
        <v>Medium</v>
      </c>
      <c r="W228">
        <f t="shared" si="13"/>
        <v>2022.63</v>
      </c>
      <c r="X228">
        <f t="shared" si="14"/>
        <v>2147.52</v>
      </c>
      <c r="Y228">
        <f t="shared" si="15"/>
        <v>2272.4100000000003</v>
      </c>
      <c r="Z228">
        <v>8.1000000000000003E-2</v>
      </c>
      <c r="AA228" t="s">
        <v>1372</v>
      </c>
      <c r="AB228" s="1">
        <v>45743</v>
      </c>
      <c r="AC228">
        <v>16</v>
      </c>
      <c r="AD228" s="5">
        <f>Data3[[#This Row],[UnitPrice]]*Data3[[#This Row],[Quantity]]*(1-Data3[[#This Row],[DiscountPct]])</f>
        <v>10464.138360000001</v>
      </c>
      <c r="AE228" s="6">
        <f>Data3[[#This Row],[UnitPrice]]*Data3[[#This Row],[Quantity]]</f>
        <v>11386.44</v>
      </c>
      <c r="AF228" s="6">
        <f>Data3[[#This Row],[GrossRevenue]]-(Data3[[#This Row],[Quantity]]*Data3[[#This Row],[UnitCost]])</f>
        <v>2558.6583600000013</v>
      </c>
      <c r="AG228" s="6" t="str">
        <f>TEXT(Data3[[#This Row],[OrderDate]], "mmm-yyyy")</f>
        <v>Mar-2025</v>
      </c>
      <c r="AH228" s="7">
        <f>IF(Data3[[#This Row],[GrossRevenue]]=0, 0,Data3[[#This Row],[GrossProfit]]/Data3[[#This Row],[GrossRevenue]])</f>
        <v>0.24451687009230266</v>
      </c>
      <c r="AI228" s="5">
        <f t="shared" si="16"/>
        <v>10464.138360000001</v>
      </c>
    </row>
    <row r="229" spans="1:35" x14ac:dyDescent="0.35">
      <c r="A229" s="4" t="s">
        <v>1358</v>
      </c>
      <c r="B229" s="2">
        <v>45267</v>
      </c>
      <c r="C229" s="2" t="str">
        <f>TEXT(Data3[[#This Row],[OrderDate]],"MMM-YYYY")</f>
        <v>Dec-2023</v>
      </c>
      <c r="D229" s="4" t="str">
        <f>"Q"&amp;INT((MONTH(Data3[[#This Row],[OrderDate]])-1)/3)+1&amp;"-"&amp;YEAR(Data3[[#This Row],[OrderDate]])</f>
        <v>Q4-2023</v>
      </c>
      <c r="E229" s="2">
        <v>45293</v>
      </c>
      <c r="F229" t="s">
        <v>78</v>
      </c>
      <c r="G229" t="s">
        <v>79</v>
      </c>
      <c r="H229" s="4" t="s">
        <v>335</v>
      </c>
      <c r="I229" t="s">
        <v>105</v>
      </c>
      <c r="J229" s="4" t="s">
        <v>55</v>
      </c>
      <c r="K229" s="4" t="s">
        <v>63</v>
      </c>
      <c r="L229" t="s">
        <v>22</v>
      </c>
      <c r="M229" s="4" t="s">
        <v>1359</v>
      </c>
      <c r="N229" s="3">
        <v>1071.99</v>
      </c>
      <c r="O229" s="3">
        <v>2397.3000000000002</v>
      </c>
      <c r="P229" s="3">
        <v>6.2E-2</v>
      </c>
      <c r="Q229" s="3">
        <v>18</v>
      </c>
      <c r="R229" t="s">
        <v>63</v>
      </c>
      <c r="S229" t="s">
        <v>335</v>
      </c>
      <c r="T229" t="s">
        <v>55</v>
      </c>
      <c r="U229">
        <v>2397.3000000000002</v>
      </c>
      <c r="V229" t="str" cm="1">
        <f t="array" ref="V229">_xlfn.IFS(Data3[[#This Row],[CorrectedUnitPriceCustom]]&lt;=$W$2, "Low",Data3[[#This Row],[CorrectedUnitPriceCustom]]&lt;=$Y$2, "Medium", TRUE, "High")</f>
        <v>High</v>
      </c>
      <c r="W229">
        <f t="shared" si="13"/>
        <v>2397.3000000000002</v>
      </c>
      <c r="X229">
        <f t="shared" si="14"/>
        <v>2397.3000000000002</v>
      </c>
      <c r="Y229">
        <f t="shared" si="15"/>
        <v>2397.3000000000002</v>
      </c>
      <c r="Z229">
        <v>6.2E-2</v>
      </c>
      <c r="AA229" t="s">
        <v>1372</v>
      </c>
      <c r="AB229" s="1">
        <v>45293</v>
      </c>
      <c r="AC229">
        <v>26</v>
      </c>
      <c r="AD229" s="5">
        <f>Data3[[#This Row],[UnitPrice]]*Data3[[#This Row],[Quantity]]*(1-Data3[[#This Row],[DiscountPct]])</f>
        <v>40476.013200000001</v>
      </c>
      <c r="AE229" s="6">
        <f>Data3[[#This Row],[UnitPrice]]*Data3[[#This Row],[Quantity]]</f>
        <v>43151.4</v>
      </c>
      <c r="AF229" s="6">
        <f>Data3[[#This Row],[GrossRevenue]]-(Data3[[#This Row],[Quantity]]*Data3[[#This Row],[UnitCost]])</f>
        <v>21180.193200000002</v>
      </c>
      <c r="AG229" s="6" t="str">
        <f>TEXT(Data3[[#This Row],[OrderDate]], "mmm-yyyy")</f>
        <v>Dec-2023</v>
      </c>
      <c r="AH229" s="7">
        <f>IF(Data3[[#This Row],[GrossRevenue]]=0, 0,Data3[[#This Row],[GrossProfit]]/Data3[[#This Row],[GrossRevenue]])</f>
        <v>0.52327765324476183</v>
      </c>
      <c r="AI229" s="5">
        <f t="shared" si="16"/>
        <v>40476.013200000001</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A0F195-CCB4-4541-9E6B-B6E2B80B606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Region Hierarchy </vt:lpstr>
      <vt:lpstr>Sales by Country &amp; Month</vt:lpstr>
      <vt:lpstr>SKUs by Revenue Within Each Cat</vt:lpstr>
      <vt:lpstr>Salesperson Productivity</vt:lpstr>
      <vt:lpstr>Salesperson Productivity2</vt:lpstr>
      <vt:lpstr>Channel Mix &amp; Cannibalization</vt:lpstr>
      <vt:lpstr>Service Level Proxy</vt:lpstr>
      <vt:lpstr>Price Compliance</vt:lpstr>
      <vt:lpstr>Dashboard</vt:lpstr>
      <vt:lpstr>Staging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 Jaleny</dc:creator>
  <cp:lastModifiedBy>Francis Jaleny</cp:lastModifiedBy>
  <dcterms:created xsi:type="dcterms:W3CDTF">2026-01-25T07:10:09Z</dcterms:created>
  <dcterms:modified xsi:type="dcterms:W3CDTF">2026-02-03T13:12:02Z</dcterms:modified>
</cp:coreProperties>
</file>