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https://d.docs.live.net/c5414ce648581efe/Desktop/"/>
    </mc:Choice>
  </mc:AlternateContent>
  <xr:revisionPtr revIDLastSave="1" documentId="8_{A78D1B50-C33F-4F43-A80E-56356C661219}" xr6:coauthVersionLast="47" xr6:coauthVersionMax="47" xr10:uidLastSave="{FD84F4EF-FDC5-4BF5-9C7B-A061AE68C04B}"/>
  <bookViews>
    <workbookView xWindow="-110" yWindow="-110" windowWidth="19420" windowHeight="11020" firstSheet="4" activeTab="5" xr2:uid="{00000000-000D-0000-FFFF-FFFF00000000}"/>
  </bookViews>
  <sheets>
    <sheet name="Sheet2" sheetId="2" r:id="rId1"/>
    <sheet name="Pivot table Summary" sheetId="3" r:id="rId2"/>
    <sheet name="Average Work Experience by Empl" sheetId="4" r:id="rId3"/>
    <sheet name="Total Project Count by Office L" sheetId="5" r:id="rId4"/>
    <sheet name="Average Feedback Score by Emplo" sheetId="6" r:id="rId5"/>
    <sheet name="Question 4" sheetId="7" r:id="rId6"/>
    <sheet name="Recovered Excel" sheetId="1" r:id="rId7"/>
  </sheets>
  <definedNames>
    <definedName name="Slicer_Department">#N/A</definedName>
    <definedName name="Slicer_Education_Level">#N/A</definedName>
    <definedName name="Slicer_Gender">#N/A</definedName>
    <definedName name="Slicer_Marital_Status">#N/A</definedName>
  </definedNames>
  <calcPr calcId="191029"/>
  <pivotCaches>
    <pivotCache cacheId="15"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 i="1" l="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alcChain>
</file>

<file path=xl/sharedStrings.xml><?xml version="1.0" encoding="utf-8"?>
<sst xmlns="http://schemas.openxmlformats.org/spreadsheetml/2006/main" count="8843" uniqueCount="80">
  <si>
    <t>Employee ID</t>
  </si>
  <si>
    <t>First Name</t>
  </si>
  <si>
    <t>Last Name</t>
  </si>
  <si>
    <t>Department</t>
  </si>
  <si>
    <t>Salary</t>
  </si>
  <si>
    <t>Hire Date</t>
  </si>
  <si>
    <t>Age</t>
  </si>
  <si>
    <t>Gender</t>
  </si>
  <si>
    <t>Performance Score</t>
  </si>
  <si>
    <t>Full-Time</t>
  </si>
  <si>
    <t>Bonus</t>
  </si>
  <si>
    <t>Marital Status</t>
  </si>
  <si>
    <t>Education Level</t>
  </si>
  <si>
    <t>Work Experience (Years)</t>
  </si>
  <si>
    <t>Employee Type</t>
  </si>
  <si>
    <t>Office Location</t>
  </si>
  <si>
    <t>Project Count</t>
  </si>
  <si>
    <t>Last Promotion Year</t>
  </si>
  <si>
    <t>Remote Work Status</t>
  </si>
  <si>
    <t>Annual Training Hours</t>
  </si>
  <si>
    <t>Manager Feedback Score</t>
  </si>
  <si>
    <t>Michael</t>
  </si>
  <si>
    <t>Emily</t>
  </si>
  <si>
    <t>Chris</t>
  </si>
  <si>
    <t>Alex</t>
  </si>
  <si>
    <t>Sarah</t>
  </si>
  <si>
    <t>Jane</t>
  </si>
  <si>
    <t>Katie</t>
  </si>
  <si>
    <t>John</t>
  </si>
  <si>
    <t>Williams</t>
  </si>
  <si>
    <t>Wilson</t>
  </si>
  <si>
    <t>Brown</t>
  </si>
  <si>
    <t>Davis</t>
  </si>
  <si>
    <t>Smith</t>
  </si>
  <si>
    <t>Miller</t>
  </si>
  <si>
    <t>Johnson</t>
  </si>
  <si>
    <t>HR</t>
  </si>
  <si>
    <t>Marketing</t>
  </si>
  <si>
    <t>IT</t>
  </si>
  <si>
    <t>Sales</t>
  </si>
  <si>
    <t>Operations</t>
  </si>
  <si>
    <t>Finance</t>
  </si>
  <si>
    <t>Female</t>
  </si>
  <si>
    <t>Male</t>
  </si>
  <si>
    <t>Yes</t>
  </si>
  <si>
    <t>No</t>
  </si>
  <si>
    <t>Widowed</t>
  </si>
  <si>
    <t>Married</t>
  </si>
  <si>
    <t>Single</t>
  </si>
  <si>
    <t>Divorced</t>
  </si>
  <si>
    <t>PhD</t>
  </si>
  <si>
    <t>Master's</t>
  </si>
  <si>
    <t>High School</t>
  </si>
  <si>
    <t>Associate's</t>
  </si>
  <si>
    <t>Bachelor's</t>
  </si>
  <si>
    <t>Intern</t>
  </si>
  <si>
    <t>Permanent</t>
  </si>
  <si>
    <t>Contract</t>
  </si>
  <si>
    <t>San Francisco</t>
  </si>
  <si>
    <t>Nairobi</t>
  </si>
  <si>
    <t>Berlin</t>
  </si>
  <si>
    <t>Tokyo</t>
  </si>
  <si>
    <t>London</t>
  </si>
  <si>
    <t>New York</t>
  </si>
  <si>
    <t>On-Site</t>
  </si>
  <si>
    <t>Hybrid</t>
  </si>
  <si>
    <t>Fully Remote</t>
  </si>
  <si>
    <t>Row Labels</t>
  </si>
  <si>
    <t>Grand Total</t>
  </si>
  <si>
    <t>Sum of Salary</t>
  </si>
  <si>
    <t>Column Labels</t>
  </si>
  <si>
    <t>Fractional years of services</t>
  </si>
  <si>
    <t>DATEIF</t>
  </si>
  <si>
    <t>(All)</t>
  </si>
  <si>
    <t>Sum of Employee ID</t>
  </si>
  <si>
    <t>Sum of Work Experience (Years)</t>
  </si>
  <si>
    <t>Sum of Project Count</t>
  </si>
  <si>
    <t>Average of Manager Feedback Score</t>
  </si>
  <si>
    <t>Average of Salary</t>
  </si>
  <si>
    <t>Average of Performance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</si>
</sst>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800]dddd\,\ mmmm\ dd\,\ yyyy"/>
    <numFmt numFmtId="165" formatCode="[$KES]\ #,##0.00"/>
    <numFmt numFmtId="166" formatCode="yyyy\-mm\-dd;@"/>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165" fontId="0" fillId="0" borderId="0" xfId="0" applyNumberFormat="1"/>
    <xf numFmtId="165" fontId="0" fillId="0" borderId="0" xfId="0" pivotButton="1" applyNumberFormat="1"/>
    <xf numFmtId="166" fontId="1" fillId="0" borderId="1" xfId="0" applyNumberFormat="1" applyFont="1" applyBorder="1" applyAlignment="1">
      <alignment horizontal="center" vertical="top"/>
    </xf>
    <xf numFmtId="166" fontId="0" fillId="0" borderId="0" xfId="0" applyNumberFormat="1"/>
    <xf numFmtId="0" fontId="0" fillId="0" borderId="0" xfId="0" applyNumberFormat="1"/>
  </cellXfs>
  <cellStyles count="1">
    <cellStyle name="Normal" xfId="0" builtinId="0"/>
  </cellStyles>
  <dxfs count="11">
    <dxf>
      <numFmt numFmtId="166" formatCode="yyyy\-mm\-dd;@"/>
    </dxf>
    <dxf>
      <numFmt numFmtId="0" formatCode="General"/>
    </dxf>
    <dxf>
      <numFmt numFmtId="166"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5" formatCode="[$KES]\ #,##0.00"/>
    </dxf>
    <dxf>
      <numFmt numFmtId="165" formatCode="[$KES]\ #,##0.00"/>
    </dxf>
    <dxf>
      <numFmt numFmtId="165" formatCode="[$KES]\ #,##0.00"/>
    </dxf>
    <dxf>
      <numFmt numFmtId="165" formatCode="[$KES]\ #,##0.00"/>
    </dxf>
    <dxf>
      <numFmt numFmtId="165" formatCode="[$KES]\ #,##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3</xdr:col>
      <xdr:colOff>152400</xdr:colOff>
      <xdr:row>0</xdr:row>
      <xdr:rowOff>114300</xdr:rowOff>
    </xdr:from>
    <xdr:to>
      <xdr:col>6</xdr:col>
      <xdr:colOff>12700</xdr:colOff>
      <xdr:row>14</xdr:row>
      <xdr:rowOff>60325</xdr:rowOff>
    </xdr:to>
    <mc:AlternateContent xmlns:mc="http://schemas.openxmlformats.org/markup-compatibility/2006">
      <mc:Choice xmlns:a14="http://schemas.microsoft.com/office/drawing/2010/main" Requires="a14">
        <xdr:graphicFrame macro="">
          <xdr:nvGraphicFramePr>
            <xdr:cNvPr id="2" name="Department">
              <a:extLst>
                <a:ext uri="{FF2B5EF4-FFF2-40B4-BE49-F238E27FC236}">
                  <a16:creationId xmlns:a16="http://schemas.microsoft.com/office/drawing/2014/main" id="{6D572432-A772-20A4-C43C-FA6E859AAA7F}"/>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2692400" y="114300"/>
              <a:ext cx="1833336" cy="2486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247650</xdr:colOff>
      <xdr:row>0</xdr:row>
      <xdr:rowOff>120650</xdr:rowOff>
    </xdr:from>
    <xdr:to>
      <xdr:col>17</xdr:col>
      <xdr:colOff>247650</xdr:colOff>
      <xdr:row>14</xdr:row>
      <xdr:rowOff>66675</xdr:rowOff>
    </xdr:to>
    <mc:AlternateContent xmlns:mc="http://schemas.openxmlformats.org/markup-compatibility/2006">
      <mc:Choice xmlns:a14="http://schemas.microsoft.com/office/drawing/2010/main" Requires="a14">
        <xdr:graphicFrame macro="">
          <xdr:nvGraphicFramePr>
            <xdr:cNvPr id="3" name="Gender">
              <a:extLst>
                <a:ext uri="{FF2B5EF4-FFF2-40B4-BE49-F238E27FC236}">
                  <a16:creationId xmlns:a16="http://schemas.microsoft.com/office/drawing/2014/main" id="{2A78235C-0382-B59B-7EBB-2CC6AC3E9CA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9659257" y="120650"/>
              <a:ext cx="1836964" cy="2486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63500</xdr:colOff>
      <xdr:row>0</xdr:row>
      <xdr:rowOff>171450</xdr:rowOff>
    </xdr:from>
    <xdr:to>
      <xdr:col>14</xdr:col>
      <xdr:colOff>63500</xdr:colOff>
      <xdr:row>14</xdr:row>
      <xdr:rowOff>117475</xdr:rowOff>
    </xdr:to>
    <mc:AlternateContent xmlns:mc="http://schemas.openxmlformats.org/markup-compatibility/2006">
      <mc:Choice xmlns:a14="http://schemas.microsoft.com/office/drawing/2010/main" Requires="a14">
        <xdr:graphicFrame macro="">
          <xdr:nvGraphicFramePr>
            <xdr:cNvPr id="4" name="Marital Status">
              <a:extLst>
                <a:ext uri="{FF2B5EF4-FFF2-40B4-BE49-F238E27FC236}">
                  <a16:creationId xmlns:a16="http://schemas.microsoft.com/office/drawing/2014/main" id="{B2BFAF45-1DC4-18AD-4FAB-CAAAB0AF0111}"/>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7638143" y="171450"/>
              <a:ext cx="1836964" cy="2486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279400</xdr:colOff>
      <xdr:row>0</xdr:row>
      <xdr:rowOff>139700</xdr:rowOff>
    </xdr:from>
    <xdr:to>
      <xdr:col>10</xdr:col>
      <xdr:colOff>279400</xdr:colOff>
      <xdr:row>14</xdr:row>
      <xdr:rowOff>85725</xdr:rowOff>
    </xdr:to>
    <mc:AlternateContent xmlns:mc="http://schemas.openxmlformats.org/markup-compatibility/2006">
      <mc:Choice xmlns:a14="http://schemas.microsoft.com/office/drawing/2010/main" Requires="a14">
        <xdr:graphicFrame macro="">
          <xdr:nvGraphicFramePr>
            <xdr:cNvPr id="5" name="Education Level">
              <a:extLst>
                <a:ext uri="{FF2B5EF4-FFF2-40B4-BE49-F238E27FC236}">
                  <a16:creationId xmlns:a16="http://schemas.microsoft.com/office/drawing/2014/main" id="{DFD2AFC5-E610-6F81-0F85-A299555CE1F0}"/>
                </a:ext>
              </a:extLst>
            </xdr:cNvPr>
            <xdr:cNvGraphicFramePr/>
          </xdr:nvGraphicFramePr>
          <xdr:xfrm>
            <a:off x="0" y="0"/>
            <a:ext cx="0" cy="0"/>
          </xdr:xfrm>
          <a:graphic>
            <a:graphicData uri="http://schemas.microsoft.com/office/drawing/2010/slicer">
              <sle:slicer xmlns:sle="http://schemas.microsoft.com/office/drawing/2010/slicer" name="Education Level"/>
            </a:graphicData>
          </a:graphic>
        </xdr:graphicFrame>
      </mc:Choice>
      <mc:Fallback>
        <xdr:sp macro="" textlink="">
          <xdr:nvSpPr>
            <xdr:cNvPr id="0" name=""/>
            <xdr:cNvSpPr>
              <a:spLocks noTextEdit="1"/>
            </xdr:cNvSpPr>
          </xdr:nvSpPr>
          <xdr:spPr>
            <a:xfrm>
              <a:off x="5404757" y="139700"/>
              <a:ext cx="1836964" cy="2486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leny" refreshedDate="46041.47771550926" createdVersion="8" refreshedVersion="8" minRefreshableVersion="3" recordCount="876" xr:uid="{6BDBABB0-10D8-4863-84D1-35B232A99EEC}">
  <cacheSource type="worksheet">
    <worksheetSource name="Table1"/>
  </cacheSource>
  <cacheFields count="21">
    <cacheField name="Employee ID" numFmtId="0">
      <sharedItems containsSemiMixedTypes="0" containsString="0" containsNumber="1" containsInteger="1" minValue="10001" maxValue="10876"/>
    </cacheField>
    <cacheField name="First Name" numFmtId="0">
      <sharedItems count="8">
        <s v="Michael"/>
        <s v="Emily"/>
        <s v="Chris"/>
        <s v="Alex"/>
        <s v="Sarah"/>
        <s v="Jane"/>
        <s v="Katie"/>
        <s v="John"/>
      </sharedItems>
    </cacheField>
    <cacheField name="Last Name" numFmtId="0">
      <sharedItems count="7">
        <s v="Williams"/>
        <s v="Wilson"/>
        <s v="Brown"/>
        <s v="Davis"/>
        <s v="Smith"/>
        <s v="Miller"/>
        <s v="Johnson"/>
      </sharedItems>
    </cacheField>
    <cacheField name="Department" numFmtId="0">
      <sharedItems count="6">
        <s v="HR"/>
        <s v="Marketing"/>
        <s v="IT"/>
        <s v="Sales"/>
        <s v="Operations"/>
        <s v="Finance"/>
      </sharedItems>
    </cacheField>
    <cacheField name="Salary" numFmtId="0">
      <sharedItems containsSemiMixedTypes="0" containsString="0" containsNumber="1" containsInteger="1" minValue="30056" maxValue="119909"/>
    </cacheField>
    <cacheField name="Hire Date" numFmtId="164">
      <sharedItems containsSemiMixedTypes="0" containsNonDate="0" containsDate="1" containsString="0" minDate="2000-01-01T00:00:00" maxDate="2019-12-14T00:00:00"/>
    </cacheField>
    <cacheField name="Age" numFmtId="0">
      <sharedItems containsSemiMixedTypes="0" containsString="0" containsNumber="1" containsInteger="1" minValue="22" maxValue="64"/>
    </cacheField>
    <cacheField name="Gender" numFmtId="0">
      <sharedItems count="2">
        <s v="Female"/>
        <s v="Male"/>
      </sharedItems>
    </cacheField>
    <cacheField name="Performance Score" numFmtId="0">
      <sharedItems containsSemiMixedTypes="0" containsString="0" containsNumber="1" containsInteger="1" minValue="1" maxValue="9"/>
    </cacheField>
    <cacheField name="Full-Time" numFmtId="0">
      <sharedItems/>
    </cacheField>
    <cacheField name="Bonus" numFmtId="0">
      <sharedItems containsSemiMixedTypes="0" containsString="0" containsNumber="1" minValue="503.27" maxValue="9980.43"/>
    </cacheField>
    <cacheField name="Marital Status" numFmtId="0">
      <sharedItems count="4">
        <s v="Widowed"/>
        <s v="Married"/>
        <s v="Single"/>
        <s v="Divorced"/>
      </sharedItems>
    </cacheField>
    <cacheField name="Education Level" numFmtId="0">
      <sharedItems count="5">
        <s v="PhD"/>
        <s v="Master's"/>
        <s v="High School"/>
        <s v="Associate's"/>
        <s v="Bachelor's"/>
      </sharedItems>
    </cacheField>
    <cacheField name="Work Experience (Years)" numFmtId="0">
      <sharedItems containsSemiMixedTypes="0" containsString="0" containsNumber="1" containsInteger="1" minValue="1" maxValue="39"/>
    </cacheField>
    <cacheField name="Employee Type" numFmtId="0">
      <sharedItems count="3">
        <s v="Intern"/>
        <s v="Permanent"/>
        <s v="Contract"/>
      </sharedItems>
    </cacheField>
    <cacheField name="Office Location" numFmtId="0">
      <sharedItems count="6">
        <s v="San Francisco"/>
        <s v="Nairobi"/>
        <s v="Berlin"/>
        <s v="Tokyo"/>
        <s v="London"/>
        <s v="New York"/>
      </sharedItems>
    </cacheField>
    <cacheField name="Project Count" numFmtId="0">
      <sharedItems containsSemiMixedTypes="0" containsString="0" containsNumber="1" containsInteger="1" minValue="0" maxValue="19" count="20">
        <n v="4"/>
        <n v="14"/>
        <n v="11"/>
        <n v="16"/>
        <n v="18"/>
        <n v="9"/>
        <n v="1"/>
        <n v="19"/>
        <n v="12"/>
        <n v="10"/>
        <n v="17"/>
        <n v="8"/>
        <n v="15"/>
        <n v="3"/>
        <n v="6"/>
        <n v="13"/>
        <n v="7"/>
        <n v="2"/>
        <n v="5"/>
        <n v="0"/>
      </sharedItems>
    </cacheField>
    <cacheField name="Last Promotion Year" numFmtId="0">
      <sharedItems containsSemiMixedTypes="0" containsString="0" containsNumber="1" containsInteger="1" minValue="2010" maxValue="2023"/>
    </cacheField>
    <cacheField name="Remote Work Status" numFmtId="0">
      <sharedItems/>
    </cacheField>
    <cacheField name="Annual Training Hours" numFmtId="0">
      <sharedItems containsSemiMixedTypes="0" containsString="0" containsNumber="1" containsInteger="1" minValue="5" maxValue="199"/>
    </cacheField>
    <cacheField name="Manager Feedback Score" numFmtId="0">
      <sharedItems containsSemiMixedTypes="0" containsString="0" containsNumber="1" minValue="1" maxValue="5" count="41">
        <n v="2.2000000000000002"/>
        <n v="1.2"/>
        <n v="4.7"/>
        <n v="1.9"/>
        <n v="2.5"/>
        <n v="3.1"/>
        <n v="4.9000000000000004"/>
        <n v="2.8"/>
        <n v="3.3"/>
        <n v="4.3"/>
        <n v="1.7"/>
        <n v="4.2"/>
        <n v="4.4000000000000004"/>
        <n v="3.8"/>
        <n v="3.6"/>
        <n v="4"/>
        <n v="1.5"/>
        <n v="2"/>
        <n v="1.8"/>
        <n v="3.7"/>
        <n v="3.9"/>
        <n v="1.3"/>
        <n v="3"/>
        <n v="2.2999999999999998"/>
        <n v="2.7"/>
        <n v="1.6"/>
        <n v="4.5999999999999996"/>
        <n v="5"/>
        <n v="2.4"/>
        <n v="4.0999999999999996"/>
        <n v="3.4"/>
        <n v="4.5"/>
        <n v="2.9"/>
        <n v="3.2"/>
        <n v="2.1"/>
        <n v="3.5"/>
        <n v="1"/>
        <n v="1.1000000000000001"/>
        <n v="1.4"/>
        <n v="2.6"/>
        <n v="4.8"/>
      </sharedItems>
    </cacheField>
  </cacheFields>
  <extLst>
    <ext xmlns:x14="http://schemas.microsoft.com/office/spreadsheetml/2009/9/main" uri="{725AE2AE-9491-48be-B2B4-4EB974FC3084}">
      <x14:pivotCacheDefinition pivotCacheId="20305039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6">
  <r>
    <n v="10001"/>
    <x v="0"/>
    <x v="0"/>
    <x v="0"/>
    <n v="74291"/>
    <d v="2002-09-14T00:00:00"/>
    <n v="48"/>
    <x v="0"/>
    <n v="9"/>
    <s v="Yes"/>
    <n v="5324.53"/>
    <x v="0"/>
    <x v="0"/>
    <n v="13"/>
    <x v="0"/>
    <x v="0"/>
    <x v="0"/>
    <n v="2022"/>
    <s v="On-Site"/>
    <n v="150"/>
    <x v="0"/>
  </r>
  <r>
    <n v="10002"/>
    <x v="1"/>
    <x v="1"/>
    <x v="1"/>
    <n v="93350"/>
    <d v="2008-11-12T00:00:00"/>
    <n v="53"/>
    <x v="1"/>
    <n v="7"/>
    <s v="Yes"/>
    <n v="5037.68"/>
    <x v="1"/>
    <x v="1"/>
    <n v="39"/>
    <x v="0"/>
    <x v="1"/>
    <x v="1"/>
    <n v="2019"/>
    <s v="On-Site"/>
    <n v="140"/>
    <x v="1"/>
  </r>
  <r>
    <n v="10003"/>
    <x v="2"/>
    <x v="1"/>
    <x v="2"/>
    <n v="112020"/>
    <d v="2017-07-13T00:00:00"/>
    <n v="33"/>
    <x v="1"/>
    <n v="7"/>
    <s v="Yes"/>
    <n v="1087.8599999999999"/>
    <x v="0"/>
    <x v="2"/>
    <n v="20"/>
    <x v="1"/>
    <x v="2"/>
    <x v="2"/>
    <n v="2012"/>
    <s v="Hybrid"/>
    <n v="159"/>
    <x v="2"/>
  </r>
  <r>
    <n v="10004"/>
    <x v="0"/>
    <x v="1"/>
    <x v="3"/>
    <n v="34646"/>
    <d v="2014-07-27T00:00:00"/>
    <n v="26"/>
    <x v="0"/>
    <n v="8"/>
    <s v="No"/>
    <n v="4817.13"/>
    <x v="2"/>
    <x v="3"/>
    <n v="32"/>
    <x v="0"/>
    <x v="3"/>
    <x v="3"/>
    <n v="2020"/>
    <s v="Fully Remote"/>
    <n v="18"/>
    <x v="3"/>
  </r>
  <r>
    <n v="10005"/>
    <x v="3"/>
    <x v="2"/>
    <x v="4"/>
    <n v="69713"/>
    <d v="2010-07-12T00:00:00"/>
    <n v="28"/>
    <x v="1"/>
    <n v="4"/>
    <s v="No"/>
    <n v="3231.82"/>
    <x v="2"/>
    <x v="3"/>
    <n v="10"/>
    <x v="1"/>
    <x v="0"/>
    <x v="0"/>
    <n v="2017"/>
    <s v="Hybrid"/>
    <n v="150"/>
    <x v="4"/>
  </r>
  <r>
    <n v="10006"/>
    <x v="4"/>
    <x v="1"/>
    <x v="5"/>
    <n v="97936"/>
    <d v="2014-07-10T00:00:00"/>
    <n v="43"/>
    <x v="1"/>
    <n v="6"/>
    <s v="Yes"/>
    <n v="3108.36"/>
    <x v="0"/>
    <x v="4"/>
    <n v="26"/>
    <x v="2"/>
    <x v="0"/>
    <x v="4"/>
    <n v="2017"/>
    <s v="On-Site"/>
    <n v="69"/>
    <x v="5"/>
  </r>
  <r>
    <n v="10007"/>
    <x v="2"/>
    <x v="3"/>
    <x v="5"/>
    <n v="74331"/>
    <d v="2017-04-02T00:00:00"/>
    <n v="48"/>
    <x v="0"/>
    <n v="5"/>
    <s v="No"/>
    <n v="2612.63"/>
    <x v="0"/>
    <x v="4"/>
    <n v="19"/>
    <x v="2"/>
    <x v="3"/>
    <x v="5"/>
    <n v="2021"/>
    <s v="On-Site"/>
    <n v="163"/>
    <x v="6"/>
  </r>
  <r>
    <n v="10008"/>
    <x v="2"/>
    <x v="0"/>
    <x v="0"/>
    <n v="52185"/>
    <d v="2010-02-10T00:00:00"/>
    <n v="36"/>
    <x v="0"/>
    <n v="1"/>
    <s v="No"/>
    <n v="3659.02"/>
    <x v="2"/>
    <x v="4"/>
    <n v="29"/>
    <x v="0"/>
    <x v="2"/>
    <x v="2"/>
    <n v="2016"/>
    <s v="Hybrid"/>
    <n v="24"/>
    <x v="5"/>
  </r>
  <r>
    <n v="10009"/>
    <x v="0"/>
    <x v="1"/>
    <x v="2"/>
    <n v="114263"/>
    <d v="2000-04-08T00:00:00"/>
    <n v="60"/>
    <x v="1"/>
    <n v="9"/>
    <s v="No"/>
    <n v="3854.76"/>
    <x v="3"/>
    <x v="3"/>
    <n v="13"/>
    <x v="0"/>
    <x v="4"/>
    <x v="6"/>
    <n v="2017"/>
    <s v="On-Site"/>
    <n v="74"/>
    <x v="7"/>
  </r>
  <r>
    <n v="10010"/>
    <x v="5"/>
    <x v="4"/>
    <x v="1"/>
    <n v="82107"/>
    <d v="2006-04-07T00:00:00"/>
    <n v="56"/>
    <x v="0"/>
    <n v="2"/>
    <s v="No"/>
    <n v="3433.37"/>
    <x v="3"/>
    <x v="1"/>
    <n v="34"/>
    <x v="1"/>
    <x v="5"/>
    <x v="3"/>
    <n v="2010"/>
    <s v="On-Site"/>
    <n v="49"/>
    <x v="8"/>
  </r>
  <r>
    <n v="10011"/>
    <x v="3"/>
    <x v="2"/>
    <x v="5"/>
    <n v="96554"/>
    <d v="2004-02-23T00:00:00"/>
    <n v="47"/>
    <x v="1"/>
    <n v="6"/>
    <s v="Yes"/>
    <n v="9798.15"/>
    <x v="3"/>
    <x v="2"/>
    <n v="20"/>
    <x v="0"/>
    <x v="2"/>
    <x v="0"/>
    <n v="2012"/>
    <s v="Fully Remote"/>
    <n v="5"/>
    <x v="6"/>
  </r>
  <r>
    <n v="10012"/>
    <x v="0"/>
    <x v="3"/>
    <x v="0"/>
    <n v="47563"/>
    <d v="2011-10-07T00:00:00"/>
    <n v="44"/>
    <x v="1"/>
    <n v="8"/>
    <s v="Yes"/>
    <n v="9360.9500000000007"/>
    <x v="0"/>
    <x v="4"/>
    <n v="18"/>
    <x v="0"/>
    <x v="3"/>
    <x v="1"/>
    <n v="2015"/>
    <s v="Fully Remote"/>
    <n v="151"/>
    <x v="9"/>
  </r>
  <r>
    <n v="10013"/>
    <x v="3"/>
    <x v="4"/>
    <x v="3"/>
    <n v="100729"/>
    <d v="2001-09-25T00:00:00"/>
    <n v="34"/>
    <x v="1"/>
    <n v="3"/>
    <s v="No"/>
    <n v="5957.85"/>
    <x v="0"/>
    <x v="3"/>
    <n v="34"/>
    <x v="0"/>
    <x v="1"/>
    <x v="7"/>
    <n v="2021"/>
    <s v="On-Site"/>
    <n v="43"/>
    <x v="10"/>
  </r>
  <r>
    <n v="10014"/>
    <x v="3"/>
    <x v="4"/>
    <x v="2"/>
    <n v="45701"/>
    <d v="2019-11-20T00:00:00"/>
    <n v="47"/>
    <x v="1"/>
    <n v="5"/>
    <s v="Yes"/>
    <n v="9820.02"/>
    <x v="2"/>
    <x v="1"/>
    <n v="8"/>
    <x v="1"/>
    <x v="1"/>
    <x v="8"/>
    <n v="2016"/>
    <s v="On-Site"/>
    <n v="123"/>
    <x v="11"/>
  </r>
  <r>
    <n v="10015"/>
    <x v="4"/>
    <x v="4"/>
    <x v="2"/>
    <n v="99072"/>
    <d v="2013-04-03T00:00:00"/>
    <n v="24"/>
    <x v="0"/>
    <n v="7"/>
    <s v="Yes"/>
    <n v="9916.3799999999992"/>
    <x v="1"/>
    <x v="4"/>
    <n v="16"/>
    <x v="2"/>
    <x v="3"/>
    <x v="7"/>
    <n v="2016"/>
    <s v="Hybrid"/>
    <n v="159"/>
    <x v="12"/>
  </r>
  <r>
    <n v="10016"/>
    <x v="2"/>
    <x v="4"/>
    <x v="0"/>
    <n v="78217"/>
    <d v="2012-07-21T00:00:00"/>
    <n v="50"/>
    <x v="0"/>
    <n v="4"/>
    <s v="Yes"/>
    <n v="3881.43"/>
    <x v="3"/>
    <x v="4"/>
    <n v="23"/>
    <x v="1"/>
    <x v="1"/>
    <x v="9"/>
    <n v="2020"/>
    <s v="Hybrid"/>
    <n v="60"/>
    <x v="13"/>
  </r>
  <r>
    <n v="10017"/>
    <x v="1"/>
    <x v="0"/>
    <x v="0"/>
    <n v="74610"/>
    <d v="2001-08-01T00:00:00"/>
    <n v="23"/>
    <x v="1"/>
    <n v="5"/>
    <s v="Yes"/>
    <n v="4729.28"/>
    <x v="3"/>
    <x v="2"/>
    <n v="32"/>
    <x v="1"/>
    <x v="3"/>
    <x v="10"/>
    <n v="2015"/>
    <s v="On-Site"/>
    <n v="148"/>
    <x v="14"/>
  </r>
  <r>
    <n v="10018"/>
    <x v="4"/>
    <x v="1"/>
    <x v="1"/>
    <n v="114422"/>
    <d v="2010-11-03T00:00:00"/>
    <n v="49"/>
    <x v="0"/>
    <n v="1"/>
    <s v="No"/>
    <n v="9611.09"/>
    <x v="3"/>
    <x v="2"/>
    <n v="13"/>
    <x v="0"/>
    <x v="0"/>
    <x v="11"/>
    <n v="2022"/>
    <s v="Fully Remote"/>
    <n v="11"/>
    <x v="7"/>
  </r>
  <r>
    <n v="10019"/>
    <x v="4"/>
    <x v="5"/>
    <x v="0"/>
    <n v="80131"/>
    <d v="2018-04-06T00:00:00"/>
    <n v="44"/>
    <x v="1"/>
    <n v="4"/>
    <s v="No"/>
    <n v="6281.95"/>
    <x v="2"/>
    <x v="0"/>
    <n v="26"/>
    <x v="2"/>
    <x v="4"/>
    <x v="12"/>
    <n v="2021"/>
    <s v="Fully Remote"/>
    <n v="24"/>
    <x v="14"/>
  </r>
  <r>
    <n v="10020"/>
    <x v="3"/>
    <x v="0"/>
    <x v="1"/>
    <n v="59410"/>
    <d v="2000-09-29T00:00:00"/>
    <n v="57"/>
    <x v="1"/>
    <n v="7"/>
    <s v="No"/>
    <n v="2522.83"/>
    <x v="1"/>
    <x v="4"/>
    <n v="38"/>
    <x v="1"/>
    <x v="0"/>
    <x v="1"/>
    <n v="2021"/>
    <s v="Hybrid"/>
    <n v="163"/>
    <x v="15"/>
  </r>
  <r>
    <n v="10021"/>
    <x v="6"/>
    <x v="0"/>
    <x v="1"/>
    <n v="88715"/>
    <d v="2014-08-13T00:00:00"/>
    <n v="27"/>
    <x v="0"/>
    <n v="7"/>
    <s v="Yes"/>
    <n v="7049.12"/>
    <x v="1"/>
    <x v="0"/>
    <n v="1"/>
    <x v="0"/>
    <x v="0"/>
    <x v="13"/>
    <n v="2021"/>
    <s v="Fully Remote"/>
    <n v="88"/>
    <x v="16"/>
  </r>
  <r>
    <n v="10022"/>
    <x v="2"/>
    <x v="3"/>
    <x v="4"/>
    <n v="68665"/>
    <d v="2013-05-13T00:00:00"/>
    <n v="32"/>
    <x v="0"/>
    <n v="4"/>
    <s v="No"/>
    <n v="2454.59"/>
    <x v="1"/>
    <x v="3"/>
    <n v="2"/>
    <x v="1"/>
    <x v="0"/>
    <x v="2"/>
    <n v="2020"/>
    <s v="Fully Remote"/>
    <n v="83"/>
    <x v="17"/>
  </r>
  <r>
    <n v="10023"/>
    <x v="5"/>
    <x v="3"/>
    <x v="2"/>
    <n v="45957"/>
    <d v="2010-10-29T00:00:00"/>
    <n v="59"/>
    <x v="1"/>
    <n v="6"/>
    <s v="No"/>
    <n v="3723.9"/>
    <x v="3"/>
    <x v="2"/>
    <n v="39"/>
    <x v="0"/>
    <x v="3"/>
    <x v="8"/>
    <n v="2013"/>
    <s v="Hybrid"/>
    <n v="157"/>
    <x v="18"/>
  </r>
  <r>
    <n v="10024"/>
    <x v="4"/>
    <x v="1"/>
    <x v="3"/>
    <n v="78127"/>
    <d v="2010-10-02T00:00:00"/>
    <n v="55"/>
    <x v="0"/>
    <n v="5"/>
    <s v="No"/>
    <n v="2661.82"/>
    <x v="0"/>
    <x v="1"/>
    <n v="13"/>
    <x v="2"/>
    <x v="2"/>
    <x v="11"/>
    <n v="2014"/>
    <s v="Hybrid"/>
    <n v="114"/>
    <x v="12"/>
  </r>
  <r>
    <n v="10025"/>
    <x v="1"/>
    <x v="5"/>
    <x v="2"/>
    <n v="93589"/>
    <d v="2001-03-28T00:00:00"/>
    <n v="38"/>
    <x v="1"/>
    <n v="1"/>
    <s v="No"/>
    <n v="2827.31"/>
    <x v="3"/>
    <x v="4"/>
    <n v="27"/>
    <x v="2"/>
    <x v="5"/>
    <x v="1"/>
    <n v="2018"/>
    <s v="Fully Remote"/>
    <n v="5"/>
    <x v="19"/>
  </r>
  <r>
    <n v="10026"/>
    <x v="6"/>
    <x v="3"/>
    <x v="2"/>
    <n v="76008"/>
    <d v="2003-03-21T00:00:00"/>
    <n v="24"/>
    <x v="0"/>
    <n v="8"/>
    <s v="Yes"/>
    <n v="544.23"/>
    <x v="1"/>
    <x v="4"/>
    <n v="4"/>
    <x v="0"/>
    <x v="5"/>
    <x v="10"/>
    <n v="2010"/>
    <s v="Hybrid"/>
    <n v="149"/>
    <x v="7"/>
  </r>
  <r>
    <n v="10027"/>
    <x v="6"/>
    <x v="1"/>
    <x v="4"/>
    <n v="91920"/>
    <d v="2017-10-08T00:00:00"/>
    <n v="55"/>
    <x v="0"/>
    <n v="7"/>
    <s v="No"/>
    <n v="8866.73"/>
    <x v="2"/>
    <x v="0"/>
    <n v="20"/>
    <x v="1"/>
    <x v="4"/>
    <x v="7"/>
    <n v="2011"/>
    <s v="On-Site"/>
    <n v="84"/>
    <x v="9"/>
  </r>
  <r>
    <n v="10028"/>
    <x v="5"/>
    <x v="1"/>
    <x v="1"/>
    <n v="62875"/>
    <d v="2013-06-12T00:00:00"/>
    <n v="43"/>
    <x v="1"/>
    <n v="5"/>
    <s v="Yes"/>
    <n v="3311.91"/>
    <x v="1"/>
    <x v="2"/>
    <n v="3"/>
    <x v="1"/>
    <x v="4"/>
    <x v="14"/>
    <n v="2014"/>
    <s v="Hybrid"/>
    <n v="31"/>
    <x v="20"/>
  </r>
  <r>
    <n v="10029"/>
    <x v="4"/>
    <x v="6"/>
    <x v="1"/>
    <n v="31626"/>
    <d v="2001-02-17T00:00:00"/>
    <n v="50"/>
    <x v="0"/>
    <n v="7"/>
    <s v="Yes"/>
    <n v="1320.56"/>
    <x v="3"/>
    <x v="0"/>
    <n v="23"/>
    <x v="2"/>
    <x v="3"/>
    <x v="2"/>
    <n v="2014"/>
    <s v="On-Site"/>
    <n v="123"/>
    <x v="2"/>
  </r>
  <r>
    <n v="10030"/>
    <x v="1"/>
    <x v="5"/>
    <x v="0"/>
    <n v="93822"/>
    <d v="2004-03-30T00:00:00"/>
    <n v="50"/>
    <x v="0"/>
    <n v="3"/>
    <s v="No"/>
    <n v="1326.38"/>
    <x v="0"/>
    <x v="4"/>
    <n v="2"/>
    <x v="1"/>
    <x v="5"/>
    <x v="5"/>
    <n v="2021"/>
    <s v="On-Site"/>
    <n v="127"/>
    <x v="21"/>
  </r>
  <r>
    <n v="10031"/>
    <x v="2"/>
    <x v="3"/>
    <x v="4"/>
    <n v="101765"/>
    <d v="2012-05-23T00:00:00"/>
    <n v="26"/>
    <x v="1"/>
    <n v="8"/>
    <s v="Yes"/>
    <n v="5782.17"/>
    <x v="1"/>
    <x v="2"/>
    <n v="16"/>
    <x v="0"/>
    <x v="2"/>
    <x v="14"/>
    <n v="2016"/>
    <s v="On-Site"/>
    <n v="28"/>
    <x v="22"/>
  </r>
  <r>
    <n v="10032"/>
    <x v="7"/>
    <x v="5"/>
    <x v="0"/>
    <n v="102413"/>
    <d v="2017-11-09T00:00:00"/>
    <n v="31"/>
    <x v="1"/>
    <n v="5"/>
    <s v="Yes"/>
    <n v="9932.75"/>
    <x v="0"/>
    <x v="4"/>
    <n v="10"/>
    <x v="0"/>
    <x v="3"/>
    <x v="15"/>
    <n v="2017"/>
    <s v="Hybrid"/>
    <n v="194"/>
    <x v="13"/>
  </r>
  <r>
    <n v="10033"/>
    <x v="1"/>
    <x v="0"/>
    <x v="4"/>
    <n v="63642"/>
    <d v="2019-07-21T00:00:00"/>
    <n v="31"/>
    <x v="1"/>
    <n v="2"/>
    <s v="No"/>
    <n v="1877.71"/>
    <x v="1"/>
    <x v="2"/>
    <n v="28"/>
    <x v="0"/>
    <x v="4"/>
    <x v="1"/>
    <n v="2019"/>
    <s v="Hybrid"/>
    <n v="56"/>
    <x v="18"/>
  </r>
  <r>
    <n v="10034"/>
    <x v="5"/>
    <x v="0"/>
    <x v="0"/>
    <n v="68311"/>
    <d v="2013-08-30T00:00:00"/>
    <n v="30"/>
    <x v="1"/>
    <n v="2"/>
    <s v="No"/>
    <n v="1446.41"/>
    <x v="0"/>
    <x v="4"/>
    <n v="18"/>
    <x v="2"/>
    <x v="3"/>
    <x v="13"/>
    <n v="2015"/>
    <s v="Hybrid"/>
    <n v="55"/>
    <x v="23"/>
  </r>
  <r>
    <n v="10035"/>
    <x v="6"/>
    <x v="5"/>
    <x v="5"/>
    <n v="62356"/>
    <d v="2017-12-28T00:00:00"/>
    <n v="42"/>
    <x v="1"/>
    <n v="4"/>
    <s v="No"/>
    <n v="4663.8900000000003"/>
    <x v="0"/>
    <x v="1"/>
    <n v="2"/>
    <x v="2"/>
    <x v="4"/>
    <x v="16"/>
    <n v="2015"/>
    <s v="On-Site"/>
    <n v="198"/>
    <x v="24"/>
  </r>
  <r>
    <n v="10036"/>
    <x v="2"/>
    <x v="6"/>
    <x v="2"/>
    <n v="33809"/>
    <d v="2005-04-30T00:00:00"/>
    <n v="34"/>
    <x v="1"/>
    <n v="7"/>
    <s v="No"/>
    <n v="5851.65"/>
    <x v="1"/>
    <x v="0"/>
    <n v="14"/>
    <x v="2"/>
    <x v="5"/>
    <x v="4"/>
    <n v="2014"/>
    <s v="Hybrid"/>
    <n v="61"/>
    <x v="11"/>
  </r>
  <r>
    <n v="10037"/>
    <x v="1"/>
    <x v="6"/>
    <x v="2"/>
    <n v="73371"/>
    <d v="2014-03-31T00:00:00"/>
    <n v="31"/>
    <x v="0"/>
    <n v="4"/>
    <s v="No"/>
    <n v="3296.61"/>
    <x v="2"/>
    <x v="2"/>
    <n v="20"/>
    <x v="0"/>
    <x v="3"/>
    <x v="4"/>
    <n v="2014"/>
    <s v="Fully Remote"/>
    <n v="59"/>
    <x v="22"/>
  </r>
  <r>
    <n v="10038"/>
    <x v="7"/>
    <x v="5"/>
    <x v="3"/>
    <n v="64875"/>
    <d v="2000-07-10T00:00:00"/>
    <n v="59"/>
    <x v="1"/>
    <n v="9"/>
    <s v="Yes"/>
    <n v="3373.96"/>
    <x v="3"/>
    <x v="0"/>
    <n v="23"/>
    <x v="2"/>
    <x v="0"/>
    <x v="0"/>
    <n v="2022"/>
    <s v="Fully Remote"/>
    <n v="57"/>
    <x v="22"/>
  </r>
  <r>
    <n v="10039"/>
    <x v="7"/>
    <x v="3"/>
    <x v="1"/>
    <n v="39465"/>
    <d v="2000-02-10T00:00:00"/>
    <n v="32"/>
    <x v="1"/>
    <n v="2"/>
    <s v="No"/>
    <n v="4532.53"/>
    <x v="3"/>
    <x v="2"/>
    <n v="7"/>
    <x v="0"/>
    <x v="1"/>
    <x v="17"/>
    <n v="2020"/>
    <s v="Hybrid"/>
    <n v="93"/>
    <x v="24"/>
  </r>
  <r>
    <n v="10040"/>
    <x v="3"/>
    <x v="2"/>
    <x v="3"/>
    <n v="96095"/>
    <d v="2016-05-19T00:00:00"/>
    <n v="25"/>
    <x v="1"/>
    <n v="6"/>
    <s v="Yes"/>
    <n v="3484.38"/>
    <x v="1"/>
    <x v="2"/>
    <n v="14"/>
    <x v="1"/>
    <x v="4"/>
    <x v="5"/>
    <n v="2017"/>
    <s v="On-Site"/>
    <n v="23"/>
    <x v="3"/>
  </r>
  <r>
    <n v="10041"/>
    <x v="3"/>
    <x v="6"/>
    <x v="5"/>
    <n v="103844"/>
    <d v="2005-02-02T00:00:00"/>
    <n v="52"/>
    <x v="0"/>
    <n v="4"/>
    <s v="Yes"/>
    <n v="9195.65"/>
    <x v="0"/>
    <x v="2"/>
    <n v="37"/>
    <x v="2"/>
    <x v="0"/>
    <x v="1"/>
    <n v="2014"/>
    <s v="Hybrid"/>
    <n v="113"/>
    <x v="2"/>
  </r>
  <r>
    <n v="10042"/>
    <x v="0"/>
    <x v="4"/>
    <x v="3"/>
    <n v="95250"/>
    <d v="2016-02-18T00:00:00"/>
    <n v="55"/>
    <x v="1"/>
    <n v="6"/>
    <s v="No"/>
    <n v="898.57"/>
    <x v="3"/>
    <x v="4"/>
    <n v="8"/>
    <x v="1"/>
    <x v="4"/>
    <x v="6"/>
    <n v="2015"/>
    <s v="Fully Remote"/>
    <n v="145"/>
    <x v="23"/>
  </r>
  <r>
    <n v="10043"/>
    <x v="5"/>
    <x v="0"/>
    <x v="2"/>
    <n v="116889"/>
    <d v="2003-08-25T00:00:00"/>
    <n v="63"/>
    <x v="1"/>
    <n v="9"/>
    <s v="Yes"/>
    <n v="2728.42"/>
    <x v="0"/>
    <x v="3"/>
    <n v="5"/>
    <x v="1"/>
    <x v="0"/>
    <x v="5"/>
    <n v="2012"/>
    <s v="On-Site"/>
    <n v="33"/>
    <x v="8"/>
  </r>
  <r>
    <n v="10044"/>
    <x v="4"/>
    <x v="5"/>
    <x v="1"/>
    <n v="45250"/>
    <d v="2009-06-11T00:00:00"/>
    <n v="56"/>
    <x v="0"/>
    <n v="9"/>
    <s v="Yes"/>
    <n v="8181.25"/>
    <x v="2"/>
    <x v="4"/>
    <n v="23"/>
    <x v="2"/>
    <x v="5"/>
    <x v="12"/>
    <n v="2023"/>
    <s v="Hybrid"/>
    <n v="138"/>
    <x v="25"/>
  </r>
  <r>
    <n v="10045"/>
    <x v="1"/>
    <x v="4"/>
    <x v="5"/>
    <n v="76023"/>
    <d v="2000-05-15T00:00:00"/>
    <n v="60"/>
    <x v="0"/>
    <n v="9"/>
    <s v="No"/>
    <n v="8422.6"/>
    <x v="1"/>
    <x v="3"/>
    <n v="10"/>
    <x v="2"/>
    <x v="5"/>
    <x v="17"/>
    <n v="2014"/>
    <s v="Hybrid"/>
    <n v="124"/>
    <x v="24"/>
  </r>
  <r>
    <n v="10046"/>
    <x v="1"/>
    <x v="5"/>
    <x v="2"/>
    <n v="76624"/>
    <d v="2016-03-06T00:00:00"/>
    <n v="60"/>
    <x v="1"/>
    <n v="9"/>
    <s v="No"/>
    <n v="1559.77"/>
    <x v="2"/>
    <x v="4"/>
    <n v="27"/>
    <x v="1"/>
    <x v="2"/>
    <x v="14"/>
    <n v="2023"/>
    <s v="On-Site"/>
    <n v="133"/>
    <x v="26"/>
  </r>
  <r>
    <n v="10047"/>
    <x v="4"/>
    <x v="1"/>
    <x v="0"/>
    <n v="46427"/>
    <d v="2011-07-03T00:00:00"/>
    <n v="54"/>
    <x v="0"/>
    <n v="3"/>
    <s v="Yes"/>
    <n v="9750.75"/>
    <x v="0"/>
    <x v="3"/>
    <n v="35"/>
    <x v="1"/>
    <x v="2"/>
    <x v="4"/>
    <n v="2018"/>
    <s v="On-Site"/>
    <n v="156"/>
    <x v="27"/>
  </r>
  <r>
    <n v="10048"/>
    <x v="0"/>
    <x v="0"/>
    <x v="4"/>
    <n v="63276"/>
    <d v="2012-08-19T00:00:00"/>
    <n v="29"/>
    <x v="0"/>
    <n v="9"/>
    <s v="Yes"/>
    <n v="7086.87"/>
    <x v="0"/>
    <x v="2"/>
    <n v="1"/>
    <x v="1"/>
    <x v="2"/>
    <x v="1"/>
    <n v="2012"/>
    <s v="Fully Remote"/>
    <n v="78"/>
    <x v="28"/>
  </r>
  <r>
    <n v="10049"/>
    <x v="6"/>
    <x v="0"/>
    <x v="5"/>
    <n v="101643"/>
    <d v="2005-04-25T00:00:00"/>
    <n v="53"/>
    <x v="1"/>
    <n v="3"/>
    <s v="Yes"/>
    <n v="3089.63"/>
    <x v="1"/>
    <x v="2"/>
    <n v="7"/>
    <x v="0"/>
    <x v="3"/>
    <x v="2"/>
    <n v="2017"/>
    <s v="Hybrid"/>
    <n v="103"/>
    <x v="25"/>
  </r>
  <r>
    <n v="10050"/>
    <x v="6"/>
    <x v="6"/>
    <x v="1"/>
    <n v="109012"/>
    <d v="2019-01-18T00:00:00"/>
    <n v="54"/>
    <x v="1"/>
    <n v="3"/>
    <s v="Yes"/>
    <n v="4832.3599999999997"/>
    <x v="0"/>
    <x v="3"/>
    <n v="8"/>
    <x v="1"/>
    <x v="4"/>
    <x v="6"/>
    <n v="2020"/>
    <s v="Fully Remote"/>
    <n v="10"/>
    <x v="23"/>
  </r>
  <r>
    <n v="10051"/>
    <x v="0"/>
    <x v="6"/>
    <x v="3"/>
    <n v="33439"/>
    <d v="2004-04-14T00:00:00"/>
    <n v="29"/>
    <x v="1"/>
    <n v="5"/>
    <s v="Yes"/>
    <n v="3322.82"/>
    <x v="1"/>
    <x v="3"/>
    <n v="11"/>
    <x v="0"/>
    <x v="3"/>
    <x v="8"/>
    <n v="2016"/>
    <s v="Fully Remote"/>
    <n v="180"/>
    <x v="23"/>
  </r>
  <r>
    <n v="10052"/>
    <x v="6"/>
    <x v="4"/>
    <x v="3"/>
    <n v="115848"/>
    <d v="2011-07-23T00:00:00"/>
    <n v="35"/>
    <x v="0"/>
    <n v="6"/>
    <s v="No"/>
    <n v="1925.21"/>
    <x v="1"/>
    <x v="0"/>
    <n v="34"/>
    <x v="2"/>
    <x v="2"/>
    <x v="7"/>
    <n v="2013"/>
    <s v="On-Site"/>
    <n v="152"/>
    <x v="14"/>
  </r>
  <r>
    <n v="10053"/>
    <x v="3"/>
    <x v="1"/>
    <x v="5"/>
    <n v="117331"/>
    <d v="2017-11-30T00:00:00"/>
    <n v="55"/>
    <x v="1"/>
    <n v="9"/>
    <s v="No"/>
    <n v="3266.19"/>
    <x v="2"/>
    <x v="2"/>
    <n v="28"/>
    <x v="1"/>
    <x v="4"/>
    <x v="4"/>
    <n v="2014"/>
    <s v="Hybrid"/>
    <n v="80"/>
    <x v="22"/>
  </r>
  <r>
    <n v="10054"/>
    <x v="1"/>
    <x v="5"/>
    <x v="1"/>
    <n v="108672"/>
    <d v="2017-01-13T00:00:00"/>
    <n v="29"/>
    <x v="0"/>
    <n v="1"/>
    <s v="No"/>
    <n v="6010.87"/>
    <x v="3"/>
    <x v="4"/>
    <n v="34"/>
    <x v="2"/>
    <x v="3"/>
    <x v="14"/>
    <n v="2017"/>
    <s v="Fully Remote"/>
    <n v="71"/>
    <x v="29"/>
  </r>
  <r>
    <n v="10055"/>
    <x v="0"/>
    <x v="1"/>
    <x v="5"/>
    <n v="109703"/>
    <d v="2001-01-23T00:00:00"/>
    <n v="63"/>
    <x v="1"/>
    <n v="8"/>
    <s v="No"/>
    <n v="8346.7099999999991"/>
    <x v="3"/>
    <x v="0"/>
    <n v="20"/>
    <x v="1"/>
    <x v="5"/>
    <x v="17"/>
    <n v="2019"/>
    <s v="Fully Remote"/>
    <n v="187"/>
    <x v="13"/>
  </r>
  <r>
    <n v="10056"/>
    <x v="1"/>
    <x v="0"/>
    <x v="1"/>
    <n v="47300"/>
    <d v="2004-04-07T00:00:00"/>
    <n v="28"/>
    <x v="0"/>
    <n v="4"/>
    <s v="Yes"/>
    <n v="3953.53"/>
    <x v="0"/>
    <x v="3"/>
    <n v="28"/>
    <x v="2"/>
    <x v="4"/>
    <x v="18"/>
    <n v="2016"/>
    <s v="On-Site"/>
    <n v="22"/>
    <x v="17"/>
  </r>
  <r>
    <n v="10057"/>
    <x v="4"/>
    <x v="4"/>
    <x v="3"/>
    <n v="90289"/>
    <d v="2015-12-08T00:00:00"/>
    <n v="34"/>
    <x v="1"/>
    <n v="7"/>
    <s v="No"/>
    <n v="3805.06"/>
    <x v="3"/>
    <x v="4"/>
    <n v="37"/>
    <x v="1"/>
    <x v="2"/>
    <x v="19"/>
    <n v="2019"/>
    <s v="Hybrid"/>
    <n v="25"/>
    <x v="29"/>
  </r>
  <r>
    <n v="10058"/>
    <x v="7"/>
    <x v="2"/>
    <x v="2"/>
    <n v="47182"/>
    <d v="2005-10-22T00:00:00"/>
    <n v="42"/>
    <x v="0"/>
    <n v="6"/>
    <s v="No"/>
    <n v="4946.01"/>
    <x v="0"/>
    <x v="1"/>
    <n v="3"/>
    <x v="0"/>
    <x v="5"/>
    <x v="6"/>
    <n v="2019"/>
    <s v="Hybrid"/>
    <n v="196"/>
    <x v="12"/>
  </r>
  <r>
    <n v="10059"/>
    <x v="3"/>
    <x v="4"/>
    <x v="0"/>
    <n v="100507"/>
    <d v="2002-10-25T00:00:00"/>
    <n v="53"/>
    <x v="1"/>
    <n v="6"/>
    <s v="Yes"/>
    <n v="6623.28"/>
    <x v="3"/>
    <x v="1"/>
    <n v="9"/>
    <x v="2"/>
    <x v="4"/>
    <x v="19"/>
    <n v="2011"/>
    <s v="Fully Remote"/>
    <n v="169"/>
    <x v="30"/>
  </r>
  <r>
    <n v="10060"/>
    <x v="2"/>
    <x v="3"/>
    <x v="2"/>
    <n v="80912"/>
    <d v="2016-07-13T00:00:00"/>
    <n v="32"/>
    <x v="1"/>
    <n v="7"/>
    <s v="Yes"/>
    <n v="7640.35"/>
    <x v="2"/>
    <x v="1"/>
    <n v="22"/>
    <x v="2"/>
    <x v="3"/>
    <x v="13"/>
    <n v="2017"/>
    <s v="On-Site"/>
    <n v="23"/>
    <x v="2"/>
  </r>
  <r>
    <n v="10061"/>
    <x v="3"/>
    <x v="4"/>
    <x v="0"/>
    <n v="56909"/>
    <d v="2009-09-04T00:00:00"/>
    <n v="35"/>
    <x v="1"/>
    <n v="4"/>
    <s v="Yes"/>
    <n v="3604.6"/>
    <x v="3"/>
    <x v="4"/>
    <n v="25"/>
    <x v="1"/>
    <x v="1"/>
    <x v="0"/>
    <n v="2017"/>
    <s v="Hybrid"/>
    <n v="60"/>
    <x v="29"/>
  </r>
  <r>
    <n v="10062"/>
    <x v="0"/>
    <x v="1"/>
    <x v="3"/>
    <n v="49659"/>
    <d v="2000-03-22T00:00:00"/>
    <n v="32"/>
    <x v="0"/>
    <n v="6"/>
    <s v="No"/>
    <n v="6070.35"/>
    <x v="0"/>
    <x v="3"/>
    <n v="2"/>
    <x v="0"/>
    <x v="1"/>
    <x v="6"/>
    <n v="2018"/>
    <s v="Hybrid"/>
    <n v="194"/>
    <x v="30"/>
  </r>
  <r>
    <n v="10063"/>
    <x v="2"/>
    <x v="3"/>
    <x v="2"/>
    <n v="61403"/>
    <d v="2015-06-27T00:00:00"/>
    <n v="23"/>
    <x v="0"/>
    <n v="3"/>
    <s v="No"/>
    <n v="4198.93"/>
    <x v="0"/>
    <x v="4"/>
    <n v="23"/>
    <x v="0"/>
    <x v="2"/>
    <x v="12"/>
    <n v="2011"/>
    <s v="Fully Remote"/>
    <n v="22"/>
    <x v="26"/>
  </r>
  <r>
    <n v="10064"/>
    <x v="7"/>
    <x v="3"/>
    <x v="2"/>
    <n v="63586"/>
    <d v="2002-02-14T00:00:00"/>
    <n v="55"/>
    <x v="1"/>
    <n v="5"/>
    <s v="Yes"/>
    <n v="7305.8"/>
    <x v="3"/>
    <x v="0"/>
    <n v="17"/>
    <x v="0"/>
    <x v="3"/>
    <x v="16"/>
    <n v="2023"/>
    <s v="Hybrid"/>
    <n v="162"/>
    <x v="30"/>
  </r>
  <r>
    <n v="10065"/>
    <x v="0"/>
    <x v="3"/>
    <x v="5"/>
    <n v="40360"/>
    <d v="2008-04-26T00:00:00"/>
    <n v="38"/>
    <x v="0"/>
    <n v="2"/>
    <s v="Yes"/>
    <n v="2064.41"/>
    <x v="1"/>
    <x v="0"/>
    <n v="25"/>
    <x v="1"/>
    <x v="5"/>
    <x v="1"/>
    <n v="2013"/>
    <s v="Hybrid"/>
    <n v="188"/>
    <x v="5"/>
  </r>
  <r>
    <n v="10066"/>
    <x v="5"/>
    <x v="2"/>
    <x v="4"/>
    <n v="51424"/>
    <d v="2011-12-22T00:00:00"/>
    <n v="35"/>
    <x v="1"/>
    <n v="3"/>
    <s v="No"/>
    <n v="2940.79"/>
    <x v="2"/>
    <x v="1"/>
    <n v="12"/>
    <x v="2"/>
    <x v="5"/>
    <x v="9"/>
    <n v="2011"/>
    <s v="Hybrid"/>
    <n v="110"/>
    <x v="28"/>
  </r>
  <r>
    <n v="10067"/>
    <x v="1"/>
    <x v="4"/>
    <x v="3"/>
    <n v="78791"/>
    <d v="2007-11-27T00:00:00"/>
    <n v="46"/>
    <x v="0"/>
    <n v="9"/>
    <s v="Yes"/>
    <n v="4547.57"/>
    <x v="1"/>
    <x v="3"/>
    <n v="27"/>
    <x v="1"/>
    <x v="5"/>
    <x v="5"/>
    <n v="2013"/>
    <s v="Hybrid"/>
    <n v="174"/>
    <x v="31"/>
  </r>
  <r>
    <n v="10068"/>
    <x v="7"/>
    <x v="1"/>
    <x v="1"/>
    <n v="33065"/>
    <d v="2005-02-21T00:00:00"/>
    <n v="48"/>
    <x v="1"/>
    <n v="6"/>
    <s v="Yes"/>
    <n v="8949.44"/>
    <x v="3"/>
    <x v="0"/>
    <n v="20"/>
    <x v="0"/>
    <x v="4"/>
    <x v="17"/>
    <n v="2012"/>
    <s v="Fully Remote"/>
    <n v="57"/>
    <x v="16"/>
  </r>
  <r>
    <n v="10069"/>
    <x v="1"/>
    <x v="4"/>
    <x v="3"/>
    <n v="98795"/>
    <d v="2006-03-21T00:00:00"/>
    <n v="29"/>
    <x v="0"/>
    <n v="3"/>
    <s v="Yes"/>
    <n v="5946.59"/>
    <x v="1"/>
    <x v="2"/>
    <n v="9"/>
    <x v="0"/>
    <x v="2"/>
    <x v="9"/>
    <n v="2016"/>
    <s v="Hybrid"/>
    <n v="90"/>
    <x v="32"/>
  </r>
  <r>
    <n v="10070"/>
    <x v="6"/>
    <x v="2"/>
    <x v="1"/>
    <n v="42300"/>
    <d v="2004-05-26T00:00:00"/>
    <n v="38"/>
    <x v="0"/>
    <n v="2"/>
    <s v="No"/>
    <n v="9671.26"/>
    <x v="3"/>
    <x v="2"/>
    <n v="23"/>
    <x v="2"/>
    <x v="1"/>
    <x v="3"/>
    <n v="2023"/>
    <s v="Hybrid"/>
    <n v="54"/>
    <x v="5"/>
  </r>
  <r>
    <n v="10071"/>
    <x v="5"/>
    <x v="0"/>
    <x v="1"/>
    <n v="63370"/>
    <d v="2008-08-05T00:00:00"/>
    <n v="26"/>
    <x v="0"/>
    <n v="5"/>
    <s v="No"/>
    <n v="1481.14"/>
    <x v="0"/>
    <x v="1"/>
    <n v="36"/>
    <x v="1"/>
    <x v="5"/>
    <x v="5"/>
    <n v="2014"/>
    <s v="On-Site"/>
    <n v="131"/>
    <x v="33"/>
  </r>
  <r>
    <n v="10072"/>
    <x v="5"/>
    <x v="6"/>
    <x v="0"/>
    <n v="99831"/>
    <d v="2001-08-28T00:00:00"/>
    <n v="33"/>
    <x v="0"/>
    <n v="5"/>
    <s v="No"/>
    <n v="4871.67"/>
    <x v="1"/>
    <x v="1"/>
    <n v="28"/>
    <x v="1"/>
    <x v="3"/>
    <x v="3"/>
    <n v="2016"/>
    <s v="Fully Remote"/>
    <n v="8"/>
    <x v="14"/>
  </r>
  <r>
    <n v="10073"/>
    <x v="7"/>
    <x v="1"/>
    <x v="1"/>
    <n v="57209"/>
    <d v="2016-11-14T00:00:00"/>
    <n v="59"/>
    <x v="0"/>
    <n v="1"/>
    <s v="Yes"/>
    <n v="4481.25"/>
    <x v="2"/>
    <x v="1"/>
    <n v="29"/>
    <x v="0"/>
    <x v="2"/>
    <x v="15"/>
    <n v="2011"/>
    <s v="Hybrid"/>
    <n v="67"/>
    <x v="22"/>
  </r>
  <r>
    <n v="10074"/>
    <x v="5"/>
    <x v="1"/>
    <x v="1"/>
    <n v="50927"/>
    <d v="2012-12-18T00:00:00"/>
    <n v="39"/>
    <x v="1"/>
    <n v="3"/>
    <s v="Yes"/>
    <n v="6201.96"/>
    <x v="1"/>
    <x v="0"/>
    <n v="32"/>
    <x v="2"/>
    <x v="1"/>
    <x v="19"/>
    <n v="2013"/>
    <s v="On-Site"/>
    <n v="199"/>
    <x v="17"/>
  </r>
  <r>
    <n v="10075"/>
    <x v="2"/>
    <x v="4"/>
    <x v="5"/>
    <n v="64579"/>
    <d v="2009-05-07T00:00:00"/>
    <n v="47"/>
    <x v="0"/>
    <n v="7"/>
    <s v="No"/>
    <n v="8213.66"/>
    <x v="0"/>
    <x v="3"/>
    <n v="12"/>
    <x v="2"/>
    <x v="3"/>
    <x v="11"/>
    <n v="2015"/>
    <s v="Fully Remote"/>
    <n v="117"/>
    <x v="12"/>
  </r>
  <r>
    <n v="10076"/>
    <x v="5"/>
    <x v="6"/>
    <x v="2"/>
    <n v="39032"/>
    <d v="2010-01-13T00:00:00"/>
    <n v="52"/>
    <x v="0"/>
    <n v="9"/>
    <s v="Yes"/>
    <n v="8493.76"/>
    <x v="0"/>
    <x v="1"/>
    <n v="30"/>
    <x v="0"/>
    <x v="3"/>
    <x v="1"/>
    <n v="2021"/>
    <s v="Hybrid"/>
    <n v="60"/>
    <x v="14"/>
  </r>
  <r>
    <n v="10077"/>
    <x v="1"/>
    <x v="5"/>
    <x v="3"/>
    <n v="108413"/>
    <d v="2016-02-11T00:00:00"/>
    <n v="58"/>
    <x v="0"/>
    <n v="5"/>
    <s v="Yes"/>
    <n v="6866.85"/>
    <x v="0"/>
    <x v="4"/>
    <n v="11"/>
    <x v="1"/>
    <x v="5"/>
    <x v="13"/>
    <n v="2014"/>
    <s v="On-Site"/>
    <n v="181"/>
    <x v="12"/>
  </r>
  <r>
    <n v="10078"/>
    <x v="1"/>
    <x v="5"/>
    <x v="3"/>
    <n v="70731"/>
    <d v="2016-01-09T00:00:00"/>
    <n v="27"/>
    <x v="0"/>
    <n v="4"/>
    <s v="No"/>
    <n v="6594.6"/>
    <x v="1"/>
    <x v="1"/>
    <n v="37"/>
    <x v="1"/>
    <x v="2"/>
    <x v="7"/>
    <n v="2020"/>
    <s v="Fully Remote"/>
    <n v="154"/>
    <x v="34"/>
  </r>
  <r>
    <n v="10079"/>
    <x v="0"/>
    <x v="2"/>
    <x v="1"/>
    <n v="83767"/>
    <d v="2014-12-15T00:00:00"/>
    <n v="62"/>
    <x v="1"/>
    <n v="3"/>
    <s v="Yes"/>
    <n v="9515.7800000000007"/>
    <x v="0"/>
    <x v="0"/>
    <n v="20"/>
    <x v="2"/>
    <x v="0"/>
    <x v="17"/>
    <n v="2011"/>
    <s v="Hybrid"/>
    <n v="144"/>
    <x v="35"/>
  </r>
  <r>
    <n v="10080"/>
    <x v="1"/>
    <x v="5"/>
    <x v="4"/>
    <n v="102302"/>
    <d v="2005-11-14T00:00:00"/>
    <n v="36"/>
    <x v="0"/>
    <n v="9"/>
    <s v="Yes"/>
    <n v="4145.03"/>
    <x v="0"/>
    <x v="3"/>
    <n v="11"/>
    <x v="2"/>
    <x v="4"/>
    <x v="7"/>
    <n v="2021"/>
    <s v="On-Site"/>
    <n v="181"/>
    <x v="20"/>
  </r>
  <r>
    <n v="10081"/>
    <x v="0"/>
    <x v="1"/>
    <x v="3"/>
    <n v="79954"/>
    <d v="2019-10-07T00:00:00"/>
    <n v="63"/>
    <x v="0"/>
    <n v="7"/>
    <s v="Yes"/>
    <n v="8411.44"/>
    <x v="1"/>
    <x v="1"/>
    <n v="38"/>
    <x v="0"/>
    <x v="0"/>
    <x v="14"/>
    <n v="2016"/>
    <s v="Fully Remote"/>
    <n v="17"/>
    <x v="4"/>
  </r>
  <r>
    <n v="10082"/>
    <x v="1"/>
    <x v="5"/>
    <x v="1"/>
    <n v="118365"/>
    <d v="2011-09-10T00:00:00"/>
    <n v="47"/>
    <x v="1"/>
    <n v="7"/>
    <s v="Yes"/>
    <n v="9254.2900000000009"/>
    <x v="1"/>
    <x v="2"/>
    <n v="16"/>
    <x v="2"/>
    <x v="4"/>
    <x v="17"/>
    <n v="2011"/>
    <s v="On-Site"/>
    <n v="109"/>
    <x v="11"/>
  </r>
  <r>
    <n v="10083"/>
    <x v="2"/>
    <x v="0"/>
    <x v="0"/>
    <n v="115757"/>
    <d v="2010-04-23T00:00:00"/>
    <n v="33"/>
    <x v="1"/>
    <n v="8"/>
    <s v="No"/>
    <n v="5169.62"/>
    <x v="3"/>
    <x v="1"/>
    <n v="35"/>
    <x v="1"/>
    <x v="2"/>
    <x v="1"/>
    <n v="2023"/>
    <s v="On-Site"/>
    <n v="37"/>
    <x v="36"/>
  </r>
  <r>
    <n v="10084"/>
    <x v="4"/>
    <x v="0"/>
    <x v="0"/>
    <n v="55102"/>
    <d v="2003-10-08T00:00:00"/>
    <n v="62"/>
    <x v="0"/>
    <n v="1"/>
    <s v="Yes"/>
    <n v="7426.47"/>
    <x v="1"/>
    <x v="1"/>
    <n v="1"/>
    <x v="1"/>
    <x v="1"/>
    <x v="5"/>
    <n v="2018"/>
    <s v="Hybrid"/>
    <n v="179"/>
    <x v="30"/>
  </r>
  <r>
    <n v="10085"/>
    <x v="0"/>
    <x v="0"/>
    <x v="0"/>
    <n v="64433"/>
    <d v="2009-06-24T00:00:00"/>
    <n v="35"/>
    <x v="1"/>
    <n v="4"/>
    <s v="No"/>
    <n v="4081.69"/>
    <x v="0"/>
    <x v="3"/>
    <n v="25"/>
    <x v="2"/>
    <x v="5"/>
    <x v="12"/>
    <n v="2016"/>
    <s v="On-Site"/>
    <n v="68"/>
    <x v="35"/>
  </r>
  <r>
    <n v="10086"/>
    <x v="3"/>
    <x v="5"/>
    <x v="1"/>
    <n v="45932"/>
    <d v="2019-12-09T00:00:00"/>
    <n v="22"/>
    <x v="0"/>
    <n v="5"/>
    <s v="No"/>
    <n v="2009.35"/>
    <x v="2"/>
    <x v="4"/>
    <n v="27"/>
    <x v="0"/>
    <x v="2"/>
    <x v="3"/>
    <n v="2021"/>
    <s v="Hybrid"/>
    <n v="87"/>
    <x v="5"/>
  </r>
  <r>
    <n v="10087"/>
    <x v="6"/>
    <x v="2"/>
    <x v="5"/>
    <n v="55714"/>
    <d v="2000-12-13T00:00:00"/>
    <n v="38"/>
    <x v="0"/>
    <n v="5"/>
    <s v="No"/>
    <n v="6071.79"/>
    <x v="0"/>
    <x v="1"/>
    <n v="32"/>
    <x v="1"/>
    <x v="0"/>
    <x v="4"/>
    <n v="2012"/>
    <s v="Hybrid"/>
    <n v="109"/>
    <x v="35"/>
  </r>
  <r>
    <n v="10088"/>
    <x v="7"/>
    <x v="3"/>
    <x v="4"/>
    <n v="87803"/>
    <d v="2000-01-01T00:00:00"/>
    <n v="54"/>
    <x v="1"/>
    <n v="1"/>
    <s v="No"/>
    <n v="2366.48"/>
    <x v="0"/>
    <x v="1"/>
    <n v="6"/>
    <x v="1"/>
    <x v="3"/>
    <x v="19"/>
    <n v="2015"/>
    <s v="On-Site"/>
    <n v="149"/>
    <x v="10"/>
  </r>
  <r>
    <n v="10089"/>
    <x v="1"/>
    <x v="3"/>
    <x v="1"/>
    <n v="69743"/>
    <d v="2000-03-03T00:00:00"/>
    <n v="50"/>
    <x v="0"/>
    <n v="3"/>
    <s v="Yes"/>
    <n v="4847.1899999999996"/>
    <x v="0"/>
    <x v="0"/>
    <n v="36"/>
    <x v="0"/>
    <x v="4"/>
    <x v="19"/>
    <n v="2014"/>
    <s v="On-Site"/>
    <n v="38"/>
    <x v="19"/>
  </r>
  <r>
    <n v="10090"/>
    <x v="5"/>
    <x v="6"/>
    <x v="5"/>
    <n v="32552"/>
    <d v="2004-11-18T00:00:00"/>
    <n v="52"/>
    <x v="1"/>
    <n v="2"/>
    <s v="Yes"/>
    <n v="8792.35"/>
    <x v="1"/>
    <x v="3"/>
    <n v="39"/>
    <x v="2"/>
    <x v="4"/>
    <x v="15"/>
    <n v="2021"/>
    <s v="On-Site"/>
    <n v="72"/>
    <x v="23"/>
  </r>
  <r>
    <n v="10091"/>
    <x v="4"/>
    <x v="3"/>
    <x v="5"/>
    <n v="86627"/>
    <d v="2010-06-11T00:00:00"/>
    <n v="29"/>
    <x v="1"/>
    <n v="7"/>
    <s v="No"/>
    <n v="1317.17"/>
    <x v="2"/>
    <x v="0"/>
    <n v="23"/>
    <x v="1"/>
    <x v="0"/>
    <x v="6"/>
    <n v="2018"/>
    <s v="On-Site"/>
    <n v="43"/>
    <x v="7"/>
  </r>
  <r>
    <n v="10092"/>
    <x v="1"/>
    <x v="3"/>
    <x v="3"/>
    <n v="75987"/>
    <d v="2000-08-13T00:00:00"/>
    <n v="51"/>
    <x v="0"/>
    <n v="5"/>
    <s v="No"/>
    <n v="789.07"/>
    <x v="0"/>
    <x v="1"/>
    <n v="29"/>
    <x v="1"/>
    <x v="5"/>
    <x v="6"/>
    <n v="2022"/>
    <s v="Fully Remote"/>
    <n v="133"/>
    <x v="23"/>
  </r>
  <r>
    <n v="10093"/>
    <x v="5"/>
    <x v="0"/>
    <x v="1"/>
    <n v="109810"/>
    <d v="2017-12-23T00:00:00"/>
    <n v="34"/>
    <x v="0"/>
    <n v="3"/>
    <s v="No"/>
    <n v="6261.54"/>
    <x v="1"/>
    <x v="1"/>
    <n v="30"/>
    <x v="0"/>
    <x v="2"/>
    <x v="7"/>
    <n v="2012"/>
    <s v="Hybrid"/>
    <n v="137"/>
    <x v="32"/>
  </r>
  <r>
    <n v="10094"/>
    <x v="6"/>
    <x v="0"/>
    <x v="1"/>
    <n v="75380"/>
    <d v="2002-11-08T00:00:00"/>
    <n v="37"/>
    <x v="1"/>
    <n v="8"/>
    <s v="No"/>
    <n v="3645.08"/>
    <x v="3"/>
    <x v="2"/>
    <n v="22"/>
    <x v="2"/>
    <x v="0"/>
    <x v="5"/>
    <n v="2011"/>
    <s v="On-Site"/>
    <n v="44"/>
    <x v="35"/>
  </r>
  <r>
    <n v="10095"/>
    <x v="6"/>
    <x v="5"/>
    <x v="5"/>
    <n v="59250"/>
    <d v="2016-11-26T00:00:00"/>
    <n v="23"/>
    <x v="0"/>
    <n v="1"/>
    <s v="Yes"/>
    <n v="4470.41"/>
    <x v="2"/>
    <x v="0"/>
    <n v="11"/>
    <x v="0"/>
    <x v="2"/>
    <x v="1"/>
    <n v="2011"/>
    <s v="Fully Remote"/>
    <n v="67"/>
    <x v="12"/>
  </r>
  <r>
    <n v="10096"/>
    <x v="6"/>
    <x v="6"/>
    <x v="5"/>
    <n v="98344"/>
    <d v="2002-04-24T00:00:00"/>
    <n v="39"/>
    <x v="1"/>
    <n v="1"/>
    <s v="No"/>
    <n v="4354.25"/>
    <x v="2"/>
    <x v="3"/>
    <n v="26"/>
    <x v="0"/>
    <x v="5"/>
    <x v="1"/>
    <n v="2013"/>
    <s v="On-Site"/>
    <n v="133"/>
    <x v="32"/>
  </r>
  <r>
    <n v="10097"/>
    <x v="5"/>
    <x v="4"/>
    <x v="5"/>
    <n v="94686"/>
    <d v="2007-05-04T00:00:00"/>
    <n v="56"/>
    <x v="1"/>
    <n v="6"/>
    <s v="No"/>
    <n v="1322.89"/>
    <x v="1"/>
    <x v="1"/>
    <n v="23"/>
    <x v="2"/>
    <x v="3"/>
    <x v="14"/>
    <n v="2022"/>
    <s v="Fully Remote"/>
    <n v="167"/>
    <x v="23"/>
  </r>
  <r>
    <n v="10098"/>
    <x v="1"/>
    <x v="1"/>
    <x v="3"/>
    <n v="75028"/>
    <d v="2011-04-12T00:00:00"/>
    <n v="40"/>
    <x v="1"/>
    <n v="1"/>
    <s v="Yes"/>
    <n v="533.88"/>
    <x v="3"/>
    <x v="2"/>
    <n v="3"/>
    <x v="1"/>
    <x v="2"/>
    <x v="16"/>
    <n v="2010"/>
    <s v="Hybrid"/>
    <n v="149"/>
    <x v="22"/>
  </r>
  <r>
    <n v="10099"/>
    <x v="6"/>
    <x v="6"/>
    <x v="1"/>
    <n v="45295"/>
    <d v="2019-02-10T00:00:00"/>
    <n v="34"/>
    <x v="1"/>
    <n v="4"/>
    <s v="No"/>
    <n v="9035.02"/>
    <x v="0"/>
    <x v="2"/>
    <n v="6"/>
    <x v="0"/>
    <x v="5"/>
    <x v="9"/>
    <n v="2018"/>
    <s v="On-Site"/>
    <n v="98"/>
    <x v="13"/>
  </r>
  <r>
    <n v="10100"/>
    <x v="2"/>
    <x v="6"/>
    <x v="5"/>
    <n v="85248"/>
    <d v="2019-07-06T00:00:00"/>
    <n v="25"/>
    <x v="0"/>
    <n v="6"/>
    <s v="Yes"/>
    <n v="2569.09"/>
    <x v="3"/>
    <x v="4"/>
    <n v="7"/>
    <x v="1"/>
    <x v="0"/>
    <x v="12"/>
    <n v="2012"/>
    <s v="Fully Remote"/>
    <n v="103"/>
    <x v="28"/>
  </r>
  <r>
    <n v="10101"/>
    <x v="0"/>
    <x v="2"/>
    <x v="0"/>
    <n v="110205"/>
    <d v="2003-05-19T00:00:00"/>
    <n v="40"/>
    <x v="0"/>
    <n v="1"/>
    <s v="Yes"/>
    <n v="4547.75"/>
    <x v="2"/>
    <x v="3"/>
    <n v="39"/>
    <x v="1"/>
    <x v="1"/>
    <x v="14"/>
    <n v="2023"/>
    <s v="Fully Remote"/>
    <n v="64"/>
    <x v="24"/>
  </r>
  <r>
    <n v="10102"/>
    <x v="5"/>
    <x v="5"/>
    <x v="1"/>
    <n v="40523"/>
    <d v="2005-06-07T00:00:00"/>
    <n v="46"/>
    <x v="0"/>
    <n v="9"/>
    <s v="Yes"/>
    <n v="9733.2999999999993"/>
    <x v="1"/>
    <x v="2"/>
    <n v="22"/>
    <x v="1"/>
    <x v="3"/>
    <x v="7"/>
    <n v="2022"/>
    <s v="Hybrid"/>
    <n v="133"/>
    <x v="8"/>
  </r>
  <r>
    <n v="10103"/>
    <x v="5"/>
    <x v="2"/>
    <x v="3"/>
    <n v="75530"/>
    <d v="2011-08-27T00:00:00"/>
    <n v="59"/>
    <x v="0"/>
    <n v="4"/>
    <s v="No"/>
    <n v="8354.24"/>
    <x v="3"/>
    <x v="3"/>
    <n v="33"/>
    <x v="1"/>
    <x v="3"/>
    <x v="11"/>
    <n v="2014"/>
    <s v="On-Site"/>
    <n v="136"/>
    <x v="0"/>
  </r>
  <r>
    <n v="10104"/>
    <x v="1"/>
    <x v="6"/>
    <x v="0"/>
    <n v="43769"/>
    <d v="2003-07-02T00:00:00"/>
    <n v="52"/>
    <x v="0"/>
    <n v="9"/>
    <s v="Yes"/>
    <n v="1525.34"/>
    <x v="0"/>
    <x v="1"/>
    <n v="3"/>
    <x v="0"/>
    <x v="3"/>
    <x v="4"/>
    <n v="2011"/>
    <s v="On-Site"/>
    <n v="141"/>
    <x v="18"/>
  </r>
  <r>
    <n v="10105"/>
    <x v="5"/>
    <x v="6"/>
    <x v="2"/>
    <n v="93042"/>
    <d v="2004-05-13T00:00:00"/>
    <n v="57"/>
    <x v="0"/>
    <n v="9"/>
    <s v="Yes"/>
    <n v="5330.93"/>
    <x v="3"/>
    <x v="4"/>
    <n v="30"/>
    <x v="2"/>
    <x v="4"/>
    <x v="19"/>
    <n v="2017"/>
    <s v="Hybrid"/>
    <n v="49"/>
    <x v="25"/>
  </r>
  <r>
    <n v="10106"/>
    <x v="5"/>
    <x v="6"/>
    <x v="1"/>
    <n v="74645"/>
    <d v="2017-02-17T00:00:00"/>
    <n v="25"/>
    <x v="1"/>
    <n v="6"/>
    <s v="No"/>
    <n v="7435.75"/>
    <x v="3"/>
    <x v="3"/>
    <n v="24"/>
    <x v="1"/>
    <x v="1"/>
    <x v="10"/>
    <n v="2020"/>
    <s v="Hybrid"/>
    <n v="164"/>
    <x v="28"/>
  </r>
  <r>
    <n v="10107"/>
    <x v="6"/>
    <x v="3"/>
    <x v="2"/>
    <n v="92142"/>
    <d v="2006-12-26T00:00:00"/>
    <n v="60"/>
    <x v="0"/>
    <n v="7"/>
    <s v="No"/>
    <n v="7134.73"/>
    <x v="1"/>
    <x v="4"/>
    <n v="3"/>
    <x v="1"/>
    <x v="5"/>
    <x v="16"/>
    <n v="2020"/>
    <s v="Hybrid"/>
    <n v="73"/>
    <x v="1"/>
  </r>
  <r>
    <n v="10108"/>
    <x v="1"/>
    <x v="1"/>
    <x v="5"/>
    <n v="55557"/>
    <d v="2005-05-06T00:00:00"/>
    <n v="28"/>
    <x v="1"/>
    <n v="1"/>
    <s v="No"/>
    <n v="7728"/>
    <x v="1"/>
    <x v="3"/>
    <n v="2"/>
    <x v="1"/>
    <x v="2"/>
    <x v="16"/>
    <n v="2023"/>
    <s v="Fully Remote"/>
    <n v="18"/>
    <x v="8"/>
  </r>
  <r>
    <n v="10109"/>
    <x v="6"/>
    <x v="1"/>
    <x v="3"/>
    <n v="109782"/>
    <d v="2004-08-22T00:00:00"/>
    <n v="37"/>
    <x v="1"/>
    <n v="5"/>
    <s v="No"/>
    <n v="4845.82"/>
    <x v="2"/>
    <x v="3"/>
    <n v="19"/>
    <x v="2"/>
    <x v="0"/>
    <x v="16"/>
    <n v="2012"/>
    <s v="Fully Remote"/>
    <n v="183"/>
    <x v="10"/>
  </r>
  <r>
    <n v="10110"/>
    <x v="0"/>
    <x v="2"/>
    <x v="5"/>
    <n v="108382"/>
    <d v="2002-08-12T00:00:00"/>
    <n v="26"/>
    <x v="1"/>
    <n v="3"/>
    <s v="Yes"/>
    <n v="2171.27"/>
    <x v="1"/>
    <x v="0"/>
    <n v="24"/>
    <x v="1"/>
    <x v="3"/>
    <x v="15"/>
    <n v="2014"/>
    <s v="Hybrid"/>
    <n v="155"/>
    <x v="4"/>
  </r>
  <r>
    <n v="10111"/>
    <x v="4"/>
    <x v="6"/>
    <x v="3"/>
    <n v="67085"/>
    <d v="2009-01-04T00:00:00"/>
    <n v="44"/>
    <x v="0"/>
    <n v="6"/>
    <s v="No"/>
    <n v="4916.29"/>
    <x v="3"/>
    <x v="4"/>
    <n v="20"/>
    <x v="2"/>
    <x v="3"/>
    <x v="6"/>
    <n v="2016"/>
    <s v="On-Site"/>
    <n v="178"/>
    <x v="34"/>
  </r>
  <r>
    <n v="10112"/>
    <x v="0"/>
    <x v="1"/>
    <x v="4"/>
    <n v="80708"/>
    <d v="2000-12-22T00:00:00"/>
    <n v="57"/>
    <x v="1"/>
    <n v="4"/>
    <s v="Yes"/>
    <n v="6654.93"/>
    <x v="0"/>
    <x v="3"/>
    <n v="31"/>
    <x v="0"/>
    <x v="3"/>
    <x v="17"/>
    <n v="2011"/>
    <s v="Fully Remote"/>
    <n v="159"/>
    <x v="35"/>
  </r>
  <r>
    <n v="10113"/>
    <x v="4"/>
    <x v="0"/>
    <x v="5"/>
    <n v="81357"/>
    <d v="2017-04-13T00:00:00"/>
    <n v="53"/>
    <x v="0"/>
    <n v="9"/>
    <s v="Yes"/>
    <n v="6281.62"/>
    <x v="2"/>
    <x v="0"/>
    <n v="31"/>
    <x v="2"/>
    <x v="5"/>
    <x v="14"/>
    <n v="2012"/>
    <s v="Hybrid"/>
    <n v="93"/>
    <x v="12"/>
  </r>
  <r>
    <n v="10114"/>
    <x v="6"/>
    <x v="1"/>
    <x v="2"/>
    <n v="43470"/>
    <d v="2009-11-04T00:00:00"/>
    <n v="45"/>
    <x v="1"/>
    <n v="7"/>
    <s v="No"/>
    <n v="1169.96"/>
    <x v="1"/>
    <x v="0"/>
    <n v="37"/>
    <x v="1"/>
    <x v="0"/>
    <x v="17"/>
    <n v="2017"/>
    <s v="Fully Remote"/>
    <n v="40"/>
    <x v="35"/>
  </r>
  <r>
    <n v="10115"/>
    <x v="0"/>
    <x v="5"/>
    <x v="3"/>
    <n v="108712"/>
    <d v="2002-08-26T00:00:00"/>
    <n v="46"/>
    <x v="0"/>
    <n v="4"/>
    <s v="No"/>
    <n v="1117.05"/>
    <x v="3"/>
    <x v="4"/>
    <n v="29"/>
    <x v="0"/>
    <x v="5"/>
    <x v="1"/>
    <n v="2019"/>
    <s v="Fully Remote"/>
    <n v="36"/>
    <x v="33"/>
  </r>
  <r>
    <n v="10116"/>
    <x v="1"/>
    <x v="5"/>
    <x v="5"/>
    <n v="109082"/>
    <d v="2000-08-29T00:00:00"/>
    <n v="49"/>
    <x v="0"/>
    <n v="6"/>
    <s v="No"/>
    <n v="9669.9500000000007"/>
    <x v="3"/>
    <x v="1"/>
    <n v="4"/>
    <x v="2"/>
    <x v="0"/>
    <x v="9"/>
    <n v="2023"/>
    <s v="Hybrid"/>
    <n v="77"/>
    <x v="19"/>
  </r>
  <r>
    <n v="10117"/>
    <x v="7"/>
    <x v="1"/>
    <x v="1"/>
    <n v="36805"/>
    <d v="2009-06-08T00:00:00"/>
    <n v="40"/>
    <x v="0"/>
    <n v="2"/>
    <s v="No"/>
    <n v="1942.15"/>
    <x v="2"/>
    <x v="4"/>
    <n v="10"/>
    <x v="1"/>
    <x v="2"/>
    <x v="6"/>
    <n v="2017"/>
    <s v="On-Site"/>
    <n v="198"/>
    <x v="37"/>
  </r>
  <r>
    <n v="10118"/>
    <x v="6"/>
    <x v="0"/>
    <x v="3"/>
    <n v="112324"/>
    <d v="2011-08-05T00:00:00"/>
    <n v="28"/>
    <x v="0"/>
    <n v="3"/>
    <s v="Yes"/>
    <n v="3297.39"/>
    <x v="2"/>
    <x v="3"/>
    <n v="36"/>
    <x v="0"/>
    <x v="4"/>
    <x v="10"/>
    <n v="2012"/>
    <s v="On-Site"/>
    <n v="174"/>
    <x v="16"/>
  </r>
  <r>
    <n v="10119"/>
    <x v="4"/>
    <x v="5"/>
    <x v="3"/>
    <n v="92028"/>
    <d v="2005-11-14T00:00:00"/>
    <n v="62"/>
    <x v="0"/>
    <n v="7"/>
    <s v="No"/>
    <n v="7792.53"/>
    <x v="1"/>
    <x v="1"/>
    <n v="35"/>
    <x v="0"/>
    <x v="0"/>
    <x v="15"/>
    <n v="2022"/>
    <s v="Fully Remote"/>
    <n v="54"/>
    <x v="38"/>
  </r>
  <r>
    <n v="10120"/>
    <x v="2"/>
    <x v="3"/>
    <x v="5"/>
    <n v="80772"/>
    <d v="2000-05-26T00:00:00"/>
    <n v="38"/>
    <x v="1"/>
    <n v="4"/>
    <s v="Yes"/>
    <n v="4391.93"/>
    <x v="1"/>
    <x v="4"/>
    <n v="21"/>
    <x v="2"/>
    <x v="1"/>
    <x v="10"/>
    <n v="2019"/>
    <s v="On-Site"/>
    <n v="61"/>
    <x v="38"/>
  </r>
  <r>
    <n v="10121"/>
    <x v="4"/>
    <x v="1"/>
    <x v="4"/>
    <n v="82104"/>
    <d v="2014-03-04T00:00:00"/>
    <n v="23"/>
    <x v="0"/>
    <n v="7"/>
    <s v="Yes"/>
    <n v="2223.92"/>
    <x v="0"/>
    <x v="4"/>
    <n v="1"/>
    <x v="1"/>
    <x v="5"/>
    <x v="6"/>
    <n v="2021"/>
    <s v="On-Site"/>
    <n v="121"/>
    <x v="17"/>
  </r>
  <r>
    <n v="10122"/>
    <x v="2"/>
    <x v="3"/>
    <x v="5"/>
    <n v="103616"/>
    <d v="2014-02-17T00:00:00"/>
    <n v="37"/>
    <x v="0"/>
    <n v="9"/>
    <s v="No"/>
    <n v="4938.71"/>
    <x v="2"/>
    <x v="4"/>
    <n v="12"/>
    <x v="2"/>
    <x v="5"/>
    <x v="13"/>
    <n v="2016"/>
    <s v="Hybrid"/>
    <n v="196"/>
    <x v="5"/>
  </r>
  <r>
    <n v="10123"/>
    <x v="5"/>
    <x v="1"/>
    <x v="2"/>
    <n v="119300"/>
    <d v="2019-03-11T00:00:00"/>
    <n v="60"/>
    <x v="1"/>
    <n v="5"/>
    <s v="No"/>
    <n v="5905.02"/>
    <x v="2"/>
    <x v="4"/>
    <n v="24"/>
    <x v="0"/>
    <x v="5"/>
    <x v="15"/>
    <n v="2023"/>
    <s v="Hybrid"/>
    <n v="178"/>
    <x v="16"/>
  </r>
  <r>
    <n v="10124"/>
    <x v="0"/>
    <x v="4"/>
    <x v="2"/>
    <n v="36630"/>
    <d v="2001-06-26T00:00:00"/>
    <n v="39"/>
    <x v="0"/>
    <n v="1"/>
    <s v="No"/>
    <n v="4801.28"/>
    <x v="3"/>
    <x v="1"/>
    <n v="2"/>
    <x v="0"/>
    <x v="4"/>
    <x v="14"/>
    <n v="2020"/>
    <s v="Hybrid"/>
    <n v="115"/>
    <x v="2"/>
  </r>
  <r>
    <n v="10125"/>
    <x v="2"/>
    <x v="4"/>
    <x v="3"/>
    <n v="45701"/>
    <d v="2001-11-22T00:00:00"/>
    <n v="60"/>
    <x v="0"/>
    <n v="5"/>
    <s v="Yes"/>
    <n v="9229.99"/>
    <x v="0"/>
    <x v="3"/>
    <n v="20"/>
    <x v="1"/>
    <x v="0"/>
    <x v="1"/>
    <n v="2022"/>
    <s v="On-Site"/>
    <n v="93"/>
    <x v="12"/>
  </r>
  <r>
    <n v="10126"/>
    <x v="4"/>
    <x v="4"/>
    <x v="3"/>
    <n v="44859"/>
    <d v="2002-10-22T00:00:00"/>
    <n v="22"/>
    <x v="0"/>
    <n v="6"/>
    <s v="Yes"/>
    <n v="3204.64"/>
    <x v="1"/>
    <x v="0"/>
    <n v="16"/>
    <x v="0"/>
    <x v="0"/>
    <x v="18"/>
    <n v="2011"/>
    <s v="On-Site"/>
    <n v="108"/>
    <x v="6"/>
  </r>
  <r>
    <n v="10127"/>
    <x v="5"/>
    <x v="5"/>
    <x v="5"/>
    <n v="51183"/>
    <d v="2011-02-02T00:00:00"/>
    <n v="24"/>
    <x v="0"/>
    <n v="2"/>
    <s v="Yes"/>
    <n v="6782.66"/>
    <x v="0"/>
    <x v="4"/>
    <n v="34"/>
    <x v="1"/>
    <x v="0"/>
    <x v="0"/>
    <n v="2018"/>
    <s v="Hybrid"/>
    <n v="58"/>
    <x v="1"/>
  </r>
  <r>
    <n v="10128"/>
    <x v="7"/>
    <x v="3"/>
    <x v="2"/>
    <n v="70438"/>
    <d v="2010-12-19T00:00:00"/>
    <n v="42"/>
    <x v="0"/>
    <n v="8"/>
    <s v="No"/>
    <n v="1566.8"/>
    <x v="0"/>
    <x v="0"/>
    <n v="13"/>
    <x v="2"/>
    <x v="0"/>
    <x v="7"/>
    <n v="2022"/>
    <s v="On-Site"/>
    <n v="57"/>
    <x v="12"/>
  </r>
  <r>
    <n v="10129"/>
    <x v="1"/>
    <x v="3"/>
    <x v="2"/>
    <n v="72244"/>
    <d v="2009-03-13T00:00:00"/>
    <n v="51"/>
    <x v="1"/>
    <n v="2"/>
    <s v="No"/>
    <n v="4226.71"/>
    <x v="3"/>
    <x v="0"/>
    <n v="18"/>
    <x v="0"/>
    <x v="3"/>
    <x v="10"/>
    <n v="2022"/>
    <s v="Hybrid"/>
    <n v="161"/>
    <x v="11"/>
  </r>
  <r>
    <n v="10130"/>
    <x v="1"/>
    <x v="3"/>
    <x v="4"/>
    <n v="104312"/>
    <d v="2014-05-24T00:00:00"/>
    <n v="32"/>
    <x v="0"/>
    <n v="9"/>
    <s v="No"/>
    <n v="7539.44"/>
    <x v="2"/>
    <x v="0"/>
    <n v="29"/>
    <x v="0"/>
    <x v="3"/>
    <x v="9"/>
    <n v="2017"/>
    <s v="Fully Remote"/>
    <n v="169"/>
    <x v="26"/>
  </r>
  <r>
    <n v="10131"/>
    <x v="1"/>
    <x v="0"/>
    <x v="1"/>
    <n v="45021"/>
    <d v="2015-09-15T00:00:00"/>
    <n v="43"/>
    <x v="1"/>
    <n v="2"/>
    <s v="No"/>
    <n v="2635.76"/>
    <x v="2"/>
    <x v="4"/>
    <n v="14"/>
    <x v="1"/>
    <x v="1"/>
    <x v="16"/>
    <n v="2018"/>
    <s v="Fully Remote"/>
    <n v="73"/>
    <x v="5"/>
  </r>
  <r>
    <n v="10132"/>
    <x v="2"/>
    <x v="3"/>
    <x v="4"/>
    <n v="99863"/>
    <d v="2008-01-30T00:00:00"/>
    <n v="46"/>
    <x v="0"/>
    <n v="3"/>
    <s v="No"/>
    <n v="6102.82"/>
    <x v="2"/>
    <x v="4"/>
    <n v="30"/>
    <x v="1"/>
    <x v="5"/>
    <x v="2"/>
    <n v="2018"/>
    <s v="On-Site"/>
    <n v="18"/>
    <x v="11"/>
  </r>
  <r>
    <n v="10133"/>
    <x v="7"/>
    <x v="0"/>
    <x v="0"/>
    <n v="85565"/>
    <d v="2001-12-30T00:00:00"/>
    <n v="24"/>
    <x v="1"/>
    <n v="8"/>
    <s v="No"/>
    <n v="1957.65"/>
    <x v="1"/>
    <x v="4"/>
    <n v="35"/>
    <x v="2"/>
    <x v="3"/>
    <x v="10"/>
    <n v="2016"/>
    <s v="On-Site"/>
    <n v="159"/>
    <x v="1"/>
  </r>
  <r>
    <n v="10134"/>
    <x v="2"/>
    <x v="4"/>
    <x v="4"/>
    <n v="78043"/>
    <d v="2017-09-22T00:00:00"/>
    <n v="51"/>
    <x v="1"/>
    <n v="6"/>
    <s v="No"/>
    <n v="1475.67"/>
    <x v="2"/>
    <x v="4"/>
    <n v="9"/>
    <x v="1"/>
    <x v="0"/>
    <x v="1"/>
    <n v="2013"/>
    <s v="On-Site"/>
    <n v="9"/>
    <x v="21"/>
  </r>
  <r>
    <n v="10135"/>
    <x v="0"/>
    <x v="4"/>
    <x v="5"/>
    <n v="103150"/>
    <d v="2018-07-05T00:00:00"/>
    <n v="45"/>
    <x v="1"/>
    <n v="1"/>
    <s v="Yes"/>
    <n v="5470.71"/>
    <x v="0"/>
    <x v="2"/>
    <n v="37"/>
    <x v="0"/>
    <x v="0"/>
    <x v="16"/>
    <n v="2021"/>
    <s v="On-Site"/>
    <n v="122"/>
    <x v="16"/>
  </r>
  <r>
    <n v="10136"/>
    <x v="2"/>
    <x v="5"/>
    <x v="1"/>
    <n v="94361"/>
    <d v="2012-04-26T00:00:00"/>
    <n v="57"/>
    <x v="0"/>
    <n v="4"/>
    <s v="Yes"/>
    <n v="6912.6"/>
    <x v="0"/>
    <x v="3"/>
    <n v="39"/>
    <x v="2"/>
    <x v="3"/>
    <x v="13"/>
    <n v="2021"/>
    <s v="Fully Remote"/>
    <n v="176"/>
    <x v="2"/>
  </r>
  <r>
    <n v="10137"/>
    <x v="7"/>
    <x v="1"/>
    <x v="5"/>
    <n v="31245"/>
    <d v="2006-12-30T00:00:00"/>
    <n v="44"/>
    <x v="0"/>
    <n v="5"/>
    <s v="Yes"/>
    <n v="1576.99"/>
    <x v="2"/>
    <x v="2"/>
    <n v="12"/>
    <x v="2"/>
    <x v="2"/>
    <x v="1"/>
    <n v="2014"/>
    <s v="Hybrid"/>
    <n v="147"/>
    <x v="1"/>
  </r>
  <r>
    <n v="10138"/>
    <x v="7"/>
    <x v="4"/>
    <x v="0"/>
    <n v="71011"/>
    <d v="2016-07-10T00:00:00"/>
    <n v="29"/>
    <x v="1"/>
    <n v="3"/>
    <s v="Yes"/>
    <n v="9218.8700000000008"/>
    <x v="0"/>
    <x v="1"/>
    <n v="21"/>
    <x v="2"/>
    <x v="1"/>
    <x v="9"/>
    <n v="2016"/>
    <s v="Fully Remote"/>
    <n v="71"/>
    <x v="38"/>
  </r>
  <r>
    <n v="10139"/>
    <x v="0"/>
    <x v="1"/>
    <x v="1"/>
    <n v="40355"/>
    <d v="2003-02-24T00:00:00"/>
    <n v="25"/>
    <x v="0"/>
    <n v="1"/>
    <s v="No"/>
    <n v="2644.84"/>
    <x v="1"/>
    <x v="2"/>
    <n v="18"/>
    <x v="1"/>
    <x v="5"/>
    <x v="19"/>
    <n v="2022"/>
    <s v="Hybrid"/>
    <n v="5"/>
    <x v="2"/>
  </r>
  <r>
    <n v="10140"/>
    <x v="7"/>
    <x v="1"/>
    <x v="3"/>
    <n v="78692"/>
    <d v="2004-10-01T00:00:00"/>
    <n v="60"/>
    <x v="0"/>
    <n v="3"/>
    <s v="No"/>
    <n v="1639.77"/>
    <x v="2"/>
    <x v="2"/>
    <n v="11"/>
    <x v="1"/>
    <x v="4"/>
    <x v="6"/>
    <n v="2014"/>
    <s v="On-Site"/>
    <n v="156"/>
    <x v="38"/>
  </r>
  <r>
    <n v="10141"/>
    <x v="4"/>
    <x v="5"/>
    <x v="2"/>
    <n v="79004"/>
    <d v="2002-11-04T00:00:00"/>
    <n v="64"/>
    <x v="1"/>
    <n v="9"/>
    <s v="No"/>
    <n v="2425.64"/>
    <x v="1"/>
    <x v="2"/>
    <n v="27"/>
    <x v="0"/>
    <x v="1"/>
    <x v="16"/>
    <n v="2021"/>
    <s v="Hybrid"/>
    <n v="113"/>
    <x v="31"/>
  </r>
  <r>
    <n v="10142"/>
    <x v="7"/>
    <x v="6"/>
    <x v="4"/>
    <n v="59714"/>
    <d v="2017-06-09T00:00:00"/>
    <n v="52"/>
    <x v="0"/>
    <n v="2"/>
    <s v="Yes"/>
    <n v="2110.94"/>
    <x v="2"/>
    <x v="3"/>
    <n v="24"/>
    <x v="2"/>
    <x v="5"/>
    <x v="12"/>
    <n v="2019"/>
    <s v="Hybrid"/>
    <n v="66"/>
    <x v="11"/>
  </r>
  <r>
    <n v="10143"/>
    <x v="1"/>
    <x v="6"/>
    <x v="5"/>
    <n v="47198"/>
    <d v="2019-07-07T00:00:00"/>
    <n v="50"/>
    <x v="1"/>
    <n v="1"/>
    <s v="No"/>
    <n v="1361.41"/>
    <x v="1"/>
    <x v="0"/>
    <n v="34"/>
    <x v="2"/>
    <x v="5"/>
    <x v="19"/>
    <n v="2017"/>
    <s v="Hybrid"/>
    <n v="82"/>
    <x v="1"/>
  </r>
  <r>
    <n v="10144"/>
    <x v="4"/>
    <x v="2"/>
    <x v="0"/>
    <n v="96951"/>
    <d v="2007-12-22T00:00:00"/>
    <n v="57"/>
    <x v="0"/>
    <n v="7"/>
    <s v="Yes"/>
    <n v="8079.47"/>
    <x v="1"/>
    <x v="1"/>
    <n v="20"/>
    <x v="2"/>
    <x v="5"/>
    <x v="17"/>
    <n v="2014"/>
    <s v="Hybrid"/>
    <n v="61"/>
    <x v="37"/>
  </r>
  <r>
    <n v="10145"/>
    <x v="4"/>
    <x v="5"/>
    <x v="2"/>
    <n v="31652"/>
    <d v="2019-11-29T00:00:00"/>
    <n v="34"/>
    <x v="1"/>
    <n v="7"/>
    <s v="Yes"/>
    <n v="5207.6099999999997"/>
    <x v="1"/>
    <x v="1"/>
    <n v="13"/>
    <x v="0"/>
    <x v="1"/>
    <x v="10"/>
    <n v="2014"/>
    <s v="Fully Remote"/>
    <n v="24"/>
    <x v="5"/>
  </r>
  <r>
    <n v="10146"/>
    <x v="0"/>
    <x v="2"/>
    <x v="4"/>
    <n v="73625"/>
    <d v="2013-04-02T00:00:00"/>
    <n v="62"/>
    <x v="0"/>
    <n v="5"/>
    <s v="Yes"/>
    <n v="4190.93"/>
    <x v="0"/>
    <x v="3"/>
    <n v="8"/>
    <x v="1"/>
    <x v="1"/>
    <x v="12"/>
    <n v="2014"/>
    <s v="On-Site"/>
    <n v="190"/>
    <x v="27"/>
  </r>
  <r>
    <n v="10147"/>
    <x v="3"/>
    <x v="2"/>
    <x v="2"/>
    <n v="115982"/>
    <d v="2006-12-15T00:00:00"/>
    <n v="30"/>
    <x v="0"/>
    <n v="2"/>
    <s v="No"/>
    <n v="9530.9699999999993"/>
    <x v="1"/>
    <x v="2"/>
    <n v="37"/>
    <x v="2"/>
    <x v="3"/>
    <x v="7"/>
    <n v="2013"/>
    <s v="On-Site"/>
    <n v="18"/>
    <x v="31"/>
  </r>
  <r>
    <n v="10148"/>
    <x v="3"/>
    <x v="6"/>
    <x v="4"/>
    <n v="48740"/>
    <d v="2012-02-01T00:00:00"/>
    <n v="42"/>
    <x v="1"/>
    <n v="1"/>
    <s v="No"/>
    <n v="4024.58"/>
    <x v="3"/>
    <x v="0"/>
    <n v="5"/>
    <x v="1"/>
    <x v="5"/>
    <x v="7"/>
    <n v="2020"/>
    <s v="Hybrid"/>
    <n v="185"/>
    <x v="0"/>
  </r>
  <r>
    <n v="10149"/>
    <x v="7"/>
    <x v="5"/>
    <x v="3"/>
    <n v="33810"/>
    <d v="2003-05-27T00:00:00"/>
    <n v="24"/>
    <x v="1"/>
    <n v="5"/>
    <s v="Yes"/>
    <n v="2086.2399999999998"/>
    <x v="1"/>
    <x v="4"/>
    <n v="7"/>
    <x v="1"/>
    <x v="0"/>
    <x v="8"/>
    <n v="2021"/>
    <s v="On-Site"/>
    <n v="39"/>
    <x v="4"/>
  </r>
  <r>
    <n v="10150"/>
    <x v="4"/>
    <x v="6"/>
    <x v="1"/>
    <n v="46569"/>
    <d v="2002-02-11T00:00:00"/>
    <n v="46"/>
    <x v="0"/>
    <n v="4"/>
    <s v="Yes"/>
    <n v="3103.41"/>
    <x v="1"/>
    <x v="3"/>
    <n v="12"/>
    <x v="1"/>
    <x v="5"/>
    <x v="7"/>
    <n v="2020"/>
    <s v="Fully Remote"/>
    <n v="194"/>
    <x v="39"/>
  </r>
  <r>
    <n v="10151"/>
    <x v="3"/>
    <x v="2"/>
    <x v="2"/>
    <n v="109120"/>
    <d v="2005-03-31T00:00:00"/>
    <n v="46"/>
    <x v="1"/>
    <n v="9"/>
    <s v="No"/>
    <n v="2770.18"/>
    <x v="1"/>
    <x v="0"/>
    <n v="4"/>
    <x v="1"/>
    <x v="0"/>
    <x v="13"/>
    <n v="2021"/>
    <s v="Hybrid"/>
    <n v="193"/>
    <x v="20"/>
  </r>
  <r>
    <n v="10152"/>
    <x v="3"/>
    <x v="5"/>
    <x v="2"/>
    <n v="56783"/>
    <d v="2009-05-05T00:00:00"/>
    <n v="33"/>
    <x v="1"/>
    <n v="5"/>
    <s v="Yes"/>
    <n v="5238.04"/>
    <x v="1"/>
    <x v="3"/>
    <n v="19"/>
    <x v="1"/>
    <x v="3"/>
    <x v="13"/>
    <n v="2016"/>
    <s v="On-Site"/>
    <n v="151"/>
    <x v="28"/>
  </r>
  <r>
    <n v="10153"/>
    <x v="7"/>
    <x v="2"/>
    <x v="2"/>
    <n v="108047"/>
    <d v="2006-11-04T00:00:00"/>
    <n v="50"/>
    <x v="1"/>
    <n v="2"/>
    <s v="No"/>
    <n v="3269.3"/>
    <x v="2"/>
    <x v="3"/>
    <n v="1"/>
    <x v="0"/>
    <x v="3"/>
    <x v="6"/>
    <n v="2011"/>
    <s v="On-Site"/>
    <n v="88"/>
    <x v="25"/>
  </r>
  <r>
    <n v="10154"/>
    <x v="3"/>
    <x v="3"/>
    <x v="1"/>
    <n v="39471"/>
    <d v="2009-06-02T00:00:00"/>
    <n v="32"/>
    <x v="1"/>
    <n v="4"/>
    <s v="Yes"/>
    <n v="5402.58"/>
    <x v="0"/>
    <x v="4"/>
    <n v="13"/>
    <x v="1"/>
    <x v="5"/>
    <x v="8"/>
    <n v="2019"/>
    <s v="Hybrid"/>
    <n v="46"/>
    <x v="15"/>
  </r>
  <r>
    <n v="10155"/>
    <x v="2"/>
    <x v="1"/>
    <x v="0"/>
    <n v="36163"/>
    <d v="2013-10-18T00:00:00"/>
    <n v="32"/>
    <x v="1"/>
    <n v="9"/>
    <s v="No"/>
    <n v="6858.29"/>
    <x v="0"/>
    <x v="0"/>
    <n v="25"/>
    <x v="2"/>
    <x v="1"/>
    <x v="8"/>
    <n v="2022"/>
    <s v="Fully Remote"/>
    <n v="176"/>
    <x v="7"/>
  </r>
  <r>
    <n v="10156"/>
    <x v="5"/>
    <x v="5"/>
    <x v="4"/>
    <n v="93087"/>
    <d v="2019-02-21T00:00:00"/>
    <n v="47"/>
    <x v="0"/>
    <n v="8"/>
    <s v="Yes"/>
    <n v="7884.34"/>
    <x v="0"/>
    <x v="2"/>
    <n v="34"/>
    <x v="2"/>
    <x v="0"/>
    <x v="7"/>
    <n v="2013"/>
    <s v="Hybrid"/>
    <n v="102"/>
    <x v="21"/>
  </r>
  <r>
    <n v="10157"/>
    <x v="0"/>
    <x v="5"/>
    <x v="3"/>
    <n v="92071"/>
    <d v="2019-08-09T00:00:00"/>
    <n v="35"/>
    <x v="1"/>
    <n v="3"/>
    <s v="No"/>
    <n v="7246.5"/>
    <x v="2"/>
    <x v="0"/>
    <n v="35"/>
    <x v="2"/>
    <x v="0"/>
    <x v="14"/>
    <n v="2020"/>
    <s v="Hybrid"/>
    <n v="5"/>
    <x v="11"/>
  </r>
  <r>
    <n v="10158"/>
    <x v="5"/>
    <x v="1"/>
    <x v="2"/>
    <n v="46065"/>
    <d v="2016-09-23T00:00:00"/>
    <n v="37"/>
    <x v="1"/>
    <n v="8"/>
    <s v="Yes"/>
    <n v="2453.11"/>
    <x v="1"/>
    <x v="0"/>
    <n v="17"/>
    <x v="0"/>
    <x v="0"/>
    <x v="14"/>
    <n v="2012"/>
    <s v="On-Site"/>
    <n v="72"/>
    <x v="8"/>
  </r>
  <r>
    <n v="10159"/>
    <x v="7"/>
    <x v="2"/>
    <x v="1"/>
    <n v="113456"/>
    <d v="2009-09-15T00:00:00"/>
    <n v="31"/>
    <x v="1"/>
    <n v="2"/>
    <s v="No"/>
    <n v="1601.05"/>
    <x v="1"/>
    <x v="2"/>
    <n v="26"/>
    <x v="1"/>
    <x v="0"/>
    <x v="3"/>
    <n v="2019"/>
    <s v="On-Site"/>
    <n v="108"/>
    <x v="22"/>
  </r>
  <r>
    <n v="10160"/>
    <x v="1"/>
    <x v="3"/>
    <x v="0"/>
    <n v="78348"/>
    <d v="2003-04-28T00:00:00"/>
    <n v="52"/>
    <x v="1"/>
    <n v="3"/>
    <s v="Yes"/>
    <n v="5653.28"/>
    <x v="0"/>
    <x v="4"/>
    <n v="21"/>
    <x v="2"/>
    <x v="4"/>
    <x v="5"/>
    <n v="2022"/>
    <s v="Hybrid"/>
    <n v="82"/>
    <x v="19"/>
  </r>
  <r>
    <n v="10161"/>
    <x v="0"/>
    <x v="0"/>
    <x v="4"/>
    <n v="49154"/>
    <d v="2008-01-10T00:00:00"/>
    <n v="52"/>
    <x v="0"/>
    <n v="5"/>
    <s v="No"/>
    <n v="2389.66"/>
    <x v="3"/>
    <x v="0"/>
    <n v="12"/>
    <x v="2"/>
    <x v="3"/>
    <x v="2"/>
    <n v="2017"/>
    <s v="Hybrid"/>
    <n v="178"/>
    <x v="22"/>
  </r>
  <r>
    <n v="10162"/>
    <x v="7"/>
    <x v="1"/>
    <x v="1"/>
    <n v="50229"/>
    <d v="2001-02-22T00:00:00"/>
    <n v="57"/>
    <x v="1"/>
    <n v="8"/>
    <s v="Yes"/>
    <n v="1306.8699999999999"/>
    <x v="1"/>
    <x v="2"/>
    <n v="16"/>
    <x v="2"/>
    <x v="0"/>
    <x v="12"/>
    <n v="2016"/>
    <s v="On-Site"/>
    <n v="55"/>
    <x v="14"/>
  </r>
  <r>
    <n v="10163"/>
    <x v="4"/>
    <x v="6"/>
    <x v="3"/>
    <n v="82587"/>
    <d v="2010-05-09T00:00:00"/>
    <n v="31"/>
    <x v="0"/>
    <n v="1"/>
    <s v="Yes"/>
    <n v="5507.4"/>
    <x v="1"/>
    <x v="3"/>
    <n v="20"/>
    <x v="1"/>
    <x v="4"/>
    <x v="6"/>
    <n v="2012"/>
    <s v="Hybrid"/>
    <n v="36"/>
    <x v="31"/>
  </r>
  <r>
    <n v="10164"/>
    <x v="1"/>
    <x v="2"/>
    <x v="3"/>
    <n v="79713"/>
    <d v="2013-07-31T00:00:00"/>
    <n v="47"/>
    <x v="0"/>
    <n v="4"/>
    <s v="Yes"/>
    <n v="3604.54"/>
    <x v="1"/>
    <x v="3"/>
    <n v="10"/>
    <x v="2"/>
    <x v="4"/>
    <x v="11"/>
    <n v="2013"/>
    <s v="Fully Remote"/>
    <n v="104"/>
    <x v="35"/>
  </r>
  <r>
    <n v="10165"/>
    <x v="5"/>
    <x v="1"/>
    <x v="4"/>
    <n v="56997"/>
    <d v="2002-02-27T00:00:00"/>
    <n v="41"/>
    <x v="1"/>
    <n v="1"/>
    <s v="Yes"/>
    <n v="7683.42"/>
    <x v="2"/>
    <x v="2"/>
    <n v="23"/>
    <x v="1"/>
    <x v="3"/>
    <x v="2"/>
    <n v="2022"/>
    <s v="Hybrid"/>
    <n v="151"/>
    <x v="14"/>
  </r>
  <r>
    <n v="10166"/>
    <x v="7"/>
    <x v="1"/>
    <x v="2"/>
    <n v="51101"/>
    <d v="2005-02-14T00:00:00"/>
    <n v="30"/>
    <x v="1"/>
    <n v="1"/>
    <s v="Yes"/>
    <n v="3484.82"/>
    <x v="1"/>
    <x v="3"/>
    <n v="30"/>
    <x v="2"/>
    <x v="2"/>
    <x v="3"/>
    <n v="2023"/>
    <s v="Fully Remote"/>
    <n v="43"/>
    <x v="35"/>
  </r>
  <r>
    <n v="10167"/>
    <x v="4"/>
    <x v="5"/>
    <x v="3"/>
    <n v="70391"/>
    <d v="2012-07-26T00:00:00"/>
    <n v="36"/>
    <x v="0"/>
    <n v="5"/>
    <s v="Yes"/>
    <n v="9797.81"/>
    <x v="0"/>
    <x v="0"/>
    <n v="8"/>
    <x v="2"/>
    <x v="5"/>
    <x v="12"/>
    <n v="2013"/>
    <s v="Hybrid"/>
    <n v="146"/>
    <x v="5"/>
  </r>
  <r>
    <n v="10168"/>
    <x v="0"/>
    <x v="6"/>
    <x v="0"/>
    <n v="105863"/>
    <d v="2014-02-14T00:00:00"/>
    <n v="30"/>
    <x v="0"/>
    <n v="6"/>
    <s v="No"/>
    <n v="7705.97"/>
    <x v="1"/>
    <x v="2"/>
    <n v="5"/>
    <x v="1"/>
    <x v="3"/>
    <x v="0"/>
    <n v="2021"/>
    <s v="Hybrid"/>
    <n v="161"/>
    <x v="10"/>
  </r>
  <r>
    <n v="10169"/>
    <x v="0"/>
    <x v="6"/>
    <x v="1"/>
    <n v="102723"/>
    <d v="2017-04-06T00:00:00"/>
    <n v="28"/>
    <x v="0"/>
    <n v="1"/>
    <s v="No"/>
    <n v="1048.0899999999999"/>
    <x v="0"/>
    <x v="0"/>
    <n v="12"/>
    <x v="2"/>
    <x v="2"/>
    <x v="4"/>
    <n v="2019"/>
    <s v="Hybrid"/>
    <n v="46"/>
    <x v="23"/>
  </r>
  <r>
    <n v="10170"/>
    <x v="6"/>
    <x v="6"/>
    <x v="0"/>
    <n v="89405"/>
    <d v="2005-07-18T00:00:00"/>
    <n v="47"/>
    <x v="1"/>
    <n v="6"/>
    <s v="Yes"/>
    <n v="5334.29"/>
    <x v="3"/>
    <x v="1"/>
    <n v="14"/>
    <x v="0"/>
    <x v="1"/>
    <x v="3"/>
    <n v="2016"/>
    <s v="On-Site"/>
    <n v="18"/>
    <x v="13"/>
  </r>
  <r>
    <n v="10171"/>
    <x v="4"/>
    <x v="1"/>
    <x v="2"/>
    <n v="64948"/>
    <d v="2017-02-24T00:00:00"/>
    <n v="45"/>
    <x v="0"/>
    <n v="5"/>
    <s v="No"/>
    <n v="5844.89"/>
    <x v="2"/>
    <x v="4"/>
    <n v="12"/>
    <x v="1"/>
    <x v="5"/>
    <x v="17"/>
    <n v="2017"/>
    <s v="On-Site"/>
    <n v="120"/>
    <x v="24"/>
  </r>
  <r>
    <n v="10172"/>
    <x v="2"/>
    <x v="0"/>
    <x v="0"/>
    <n v="83031"/>
    <d v="2006-09-12T00:00:00"/>
    <n v="33"/>
    <x v="1"/>
    <n v="4"/>
    <s v="Yes"/>
    <n v="7105.38"/>
    <x v="3"/>
    <x v="4"/>
    <n v="24"/>
    <x v="2"/>
    <x v="5"/>
    <x v="3"/>
    <n v="2013"/>
    <s v="On-Site"/>
    <n v="143"/>
    <x v="39"/>
  </r>
  <r>
    <n v="10173"/>
    <x v="3"/>
    <x v="4"/>
    <x v="0"/>
    <n v="67921"/>
    <d v="2016-08-25T00:00:00"/>
    <n v="41"/>
    <x v="0"/>
    <n v="5"/>
    <s v="Yes"/>
    <n v="5229.07"/>
    <x v="1"/>
    <x v="4"/>
    <n v="17"/>
    <x v="0"/>
    <x v="5"/>
    <x v="1"/>
    <n v="2017"/>
    <s v="On-Site"/>
    <n v="79"/>
    <x v="15"/>
  </r>
  <r>
    <n v="10174"/>
    <x v="1"/>
    <x v="2"/>
    <x v="5"/>
    <n v="102571"/>
    <d v="2013-03-16T00:00:00"/>
    <n v="35"/>
    <x v="0"/>
    <n v="8"/>
    <s v="No"/>
    <n v="5092.71"/>
    <x v="3"/>
    <x v="2"/>
    <n v="1"/>
    <x v="0"/>
    <x v="4"/>
    <x v="4"/>
    <n v="2010"/>
    <s v="On-Site"/>
    <n v="51"/>
    <x v="36"/>
  </r>
  <r>
    <n v="10175"/>
    <x v="4"/>
    <x v="4"/>
    <x v="0"/>
    <n v="107007"/>
    <d v="2001-07-14T00:00:00"/>
    <n v="43"/>
    <x v="1"/>
    <n v="9"/>
    <s v="Yes"/>
    <n v="3995.42"/>
    <x v="1"/>
    <x v="1"/>
    <n v="37"/>
    <x v="1"/>
    <x v="0"/>
    <x v="1"/>
    <n v="2022"/>
    <s v="On-Site"/>
    <n v="108"/>
    <x v="19"/>
  </r>
  <r>
    <n v="10176"/>
    <x v="6"/>
    <x v="1"/>
    <x v="4"/>
    <n v="58460"/>
    <d v="2007-04-05T00:00:00"/>
    <n v="37"/>
    <x v="1"/>
    <n v="2"/>
    <s v="Yes"/>
    <n v="3078.88"/>
    <x v="0"/>
    <x v="4"/>
    <n v="11"/>
    <x v="2"/>
    <x v="5"/>
    <x v="10"/>
    <n v="2018"/>
    <s v="Hybrid"/>
    <n v="28"/>
    <x v="22"/>
  </r>
  <r>
    <n v="10177"/>
    <x v="3"/>
    <x v="4"/>
    <x v="1"/>
    <n v="51071"/>
    <d v="2014-05-15T00:00:00"/>
    <n v="50"/>
    <x v="0"/>
    <n v="6"/>
    <s v="No"/>
    <n v="9488.9"/>
    <x v="1"/>
    <x v="0"/>
    <n v="6"/>
    <x v="1"/>
    <x v="0"/>
    <x v="2"/>
    <n v="2016"/>
    <s v="Fully Remote"/>
    <n v="154"/>
    <x v="4"/>
  </r>
  <r>
    <n v="10178"/>
    <x v="3"/>
    <x v="1"/>
    <x v="5"/>
    <n v="96118"/>
    <d v="2010-09-09T00:00:00"/>
    <n v="53"/>
    <x v="1"/>
    <n v="3"/>
    <s v="Yes"/>
    <n v="3517.17"/>
    <x v="2"/>
    <x v="4"/>
    <n v="15"/>
    <x v="0"/>
    <x v="5"/>
    <x v="2"/>
    <n v="2013"/>
    <s v="On-Site"/>
    <n v="181"/>
    <x v="28"/>
  </r>
  <r>
    <n v="10179"/>
    <x v="7"/>
    <x v="4"/>
    <x v="1"/>
    <n v="78282"/>
    <d v="2001-06-23T00:00:00"/>
    <n v="40"/>
    <x v="1"/>
    <n v="2"/>
    <s v="Yes"/>
    <n v="1102.5"/>
    <x v="3"/>
    <x v="1"/>
    <n v="23"/>
    <x v="0"/>
    <x v="4"/>
    <x v="17"/>
    <n v="2017"/>
    <s v="On-Site"/>
    <n v="187"/>
    <x v="10"/>
  </r>
  <r>
    <n v="10180"/>
    <x v="3"/>
    <x v="6"/>
    <x v="1"/>
    <n v="88445"/>
    <d v="2017-10-17T00:00:00"/>
    <n v="56"/>
    <x v="0"/>
    <n v="1"/>
    <s v="No"/>
    <n v="2089.21"/>
    <x v="1"/>
    <x v="0"/>
    <n v="23"/>
    <x v="1"/>
    <x v="1"/>
    <x v="9"/>
    <n v="2021"/>
    <s v="Hybrid"/>
    <n v="59"/>
    <x v="23"/>
  </r>
  <r>
    <n v="10181"/>
    <x v="2"/>
    <x v="3"/>
    <x v="2"/>
    <n v="111067"/>
    <d v="2013-01-07T00:00:00"/>
    <n v="64"/>
    <x v="1"/>
    <n v="4"/>
    <s v="No"/>
    <n v="8644.1299999999992"/>
    <x v="0"/>
    <x v="0"/>
    <n v="38"/>
    <x v="1"/>
    <x v="5"/>
    <x v="5"/>
    <n v="2019"/>
    <s v="On-Site"/>
    <n v="74"/>
    <x v="39"/>
  </r>
  <r>
    <n v="10182"/>
    <x v="0"/>
    <x v="6"/>
    <x v="2"/>
    <n v="112208"/>
    <d v="2018-01-01T00:00:00"/>
    <n v="53"/>
    <x v="1"/>
    <n v="8"/>
    <s v="Yes"/>
    <n v="6073.02"/>
    <x v="3"/>
    <x v="2"/>
    <n v="38"/>
    <x v="2"/>
    <x v="3"/>
    <x v="1"/>
    <n v="2011"/>
    <s v="Hybrid"/>
    <n v="82"/>
    <x v="24"/>
  </r>
  <r>
    <n v="10183"/>
    <x v="6"/>
    <x v="6"/>
    <x v="5"/>
    <n v="84816"/>
    <d v="2016-04-25T00:00:00"/>
    <n v="41"/>
    <x v="0"/>
    <n v="3"/>
    <s v="Yes"/>
    <n v="7898.42"/>
    <x v="2"/>
    <x v="2"/>
    <n v="12"/>
    <x v="0"/>
    <x v="2"/>
    <x v="9"/>
    <n v="2023"/>
    <s v="On-Site"/>
    <n v="77"/>
    <x v="19"/>
  </r>
  <r>
    <n v="10184"/>
    <x v="3"/>
    <x v="5"/>
    <x v="3"/>
    <n v="115779"/>
    <d v="2008-08-02T00:00:00"/>
    <n v="61"/>
    <x v="0"/>
    <n v="5"/>
    <s v="Yes"/>
    <n v="8183.42"/>
    <x v="1"/>
    <x v="3"/>
    <n v="7"/>
    <x v="1"/>
    <x v="5"/>
    <x v="19"/>
    <n v="2017"/>
    <s v="Fully Remote"/>
    <n v="167"/>
    <x v="7"/>
  </r>
  <r>
    <n v="10185"/>
    <x v="7"/>
    <x v="5"/>
    <x v="2"/>
    <n v="33060"/>
    <d v="2009-01-02T00:00:00"/>
    <n v="41"/>
    <x v="1"/>
    <n v="5"/>
    <s v="Yes"/>
    <n v="8320.75"/>
    <x v="2"/>
    <x v="1"/>
    <n v="37"/>
    <x v="0"/>
    <x v="2"/>
    <x v="7"/>
    <n v="2019"/>
    <s v="On-Site"/>
    <n v="48"/>
    <x v="11"/>
  </r>
  <r>
    <n v="10186"/>
    <x v="2"/>
    <x v="4"/>
    <x v="2"/>
    <n v="43731"/>
    <d v="2007-02-23T00:00:00"/>
    <n v="29"/>
    <x v="1"/>
    <n v="5"/>
    <s v="Yes"/>
    <n v="5730.83"/>
    <x v="0"/>
    <x v="0"/>
    <n v="16"/>
    <x v="1"/>
    <x v="2"/>
    <x v="13"/>
    <n v="2015"/>
    <s v="On-Site"/>
    <n v="168"/>
    <x v="14"/>
  </r>
  <r>
    <n v="10187"/>
    <x v="5"/>
    <x v="1"/>
    <x v="2"/>
    <n v="107830"/>
    <d v="2015-03-09T00:00:00"/>
    <n v="56"/>
    <x v="1"/>
    <n v="9"/>
    <s v="Yes"/>
    <n v="2182.65"/>
    <x v="3"/>
    <x v="1"/>
    <n v="38"/>
    <x v="2"/>
    <x v="4"/>
    <x v="16"/>
    <n v="2016"/>
    <s v="Hybrid"/>
    <n v="93"/>
    <x v="18"/>
  </r>
  <r>
    <n v="10188"/>
    <x v="0"/>
    <x v="6"/>
    <x v="1"/>
    <n v="50719"/>
    <d v="2013-06-13T00:00:00"/>
    <n v="63"/>
    <x v="0"/>
    <n v="8"/>
    <s v="Yes"/>
    <n v="1908.21"/>
    <x v="3"/>
    <x v="4"/>
    <n v="35"/>
    <x v="0"/>
    <x v="1"/>
    <x v="7"/>
    <n v="2016"/>
    <s v="On-Site"/>
    <n v="19"/>
    <x v="34"/>
  </r>
  <r>
    <n v="10189"/>
    <x v="0"/>
    <x v="4"/>
    <x v="5"/>
    <n v="77042"/>
    <d v="2005-04-28T00:00:00"/>
    <n v="34"/>
    <x v="0"/>
    <n v="8"/>
    <s v="No"/>
    <n v="5952.85"/>
    <x v="3"/>
    <x v="4"/>
    <n v="29"/>
    <x v="2"/>
    <x v="2"/>
    <x v="8"/>
    <n v="2011"/>
    <s v="Hybrid"/>
    <n v="49"/>
    <x v="21"/>
  </r>
  <r>
    <n v="10190"/>
    <x v="6"/>
    <x v="5"/>
    <x v="1"/>
    <n v="79116"/>
    <d v="2008-08-11T00:00:00"/>
    <n v="62"/>
    <x v="1"/>
    <n v="1"/>
    <s v="Yes"/>
    <n v="3981.89"/>
    <x v="0"/>
    <x v="3"/>
    <n v="39"/>
    <x v="2"/>
    <x v="4"/>
    <x v="3"/>
    <n v="2023"/>
    <s v="Fully Remote"/>
    <n v="126"/>
    <x v="40"/>
  </r>
  <r>
    <n v="10191"/>
    <x v="0"/>
    <x v="3"/>
    <x v="4"/>
    <n v="56325"/>
    <d v="2007-07-21T00:00:00"/>
    <n v="27"/>
    <x v="1"/>
    <n v="1"/>
    <s v="Yes"/>
    <n v="5801.46"/>
    <x v="1"/>
    <x v="0"/>
    <n v="17"/>
    <x v="0"/>
    <x v="1"/>
    <x v="1"/>
    <n v="2020"/>
    <s v="On-Site"/>
    <n v="66"/>
    <x v="31"/>
  </r>
  <r>
    <n v="10192"/>
    <x v="3"/>
    <x v="2"/>
    <x v="1"/>
    <n v="52597"/>
    <d v="2014-07-17T00:00:00"/>
    <n v="37"/>
    <x v="1"/>
    <n v="2"/>
    <s v="No"/>
    <n v="5235.54"/>
    <x v="1"/>
    <x v="0"/>
    <n v="26"/>
    <x v="1"/>
    <x v="5"/>
    <x v="19"/>
    <n v="2011"/>
    <s v="Hybrid"/>
    <n v="96"/>
    <x v="21"/>
  </r>
  <r>
    <n v="10193"/>
    <x v="7"/>
    <x v="4"/>
    <x v="4"/>
    <n v="97439"/>
    <d v="2008-12-04T00:00:00"/>
    <n v="26"/>
    <x v="0"/>
    <n v="8"/>
    <s v="Yes"/>
    <n v="6220.88"/>
    <x v="1"/>
    <x v="3"/>
    <n v="20"/>
    <x v="2"/>
    <x v="0"/>
    <x v="17"/>
    <n v="2013"/>
    <s v="Fully Remote"/>
    <n v="182"/>
    <x v="8"/>
  </r>
  <r>
    <n v="10194"/>
    <x v="0"/>
    <x v="3"/>
    <x v="0"/>
    <n v="44551"/>
    <d v="2011-03-31T00:00:00"/>
    <n v="55"/>
    <x v="0"/>
    <n v="1"/>
    <s v="Yes"/>
    <n v="805.06"/>
    <x v="2"/>
    <x v="4"/>
    <n v="25"/>
    <x v="2"/>
    <x v="4"/>
    <x v="3"/>
    <n v="2015"/>
    <s v="Fully Remote"/>
    <n v="17"/>
    <x v="40"/>
  </r>
  <r>
    <n v="10195"/>
    <x v="0"/>
    <x v="2"/>
    <x v="0"/>
    <n v="54278"/>
    <d v="2017-06-22T00:00:00"/>
    <n v="27"/>
    <x v="1"/>
    <n v="4"/>
    <s v="No"/>
    <n v="811.95"/>
    <x v="0"/>
    <x v="0"/>
    <n v="38"/>
    <x v="0"/>
    <x v="2"/>
    <x v="13"/>
    <n v="2013"/>
    <s v="Hybrid"/>
    <n v="109"/>
    <x v="15"/>
  </r>
  <r>
    <n v="10196"/>
    <x v="5"/>
    <x v="0"/>
    <x v="4"/>
    <n v="45141"/>
    <d v="2005-03-10T00:00:00"/>
    <n v="54"/>
    <x v="1"/>
    <n v="9"/>
    <s v="Yes"/>
    <n v="7355.15"/>
    <x v="3"/>
    <x v="1"/>
    <n v="39"/>
    <x v="0"/>
    <x v="2"/>
    <x v="16"/>
    <n v="2015"/>
    <s v="Hybrid"/>
    <n v="163"/>
    <x v="22"/>
  </r>
  <r>
    <n v="10197"/>
    <x v="5"/>
    <x v="4"/>
    <x v="4"/>
    <n v="97913"/>
    <d v="2006-11-05T00:00:00"/>
    <n v="36"/>
    <x v="1"/>
    <n v="2"/>
    <s v="No"/>
    <n v="2334.71"/>
    <x v="0"/>
    <x v="0"/>
    <n v="37"/>
    <x v="0"/>
    <x v="5"/>
    <x v="1"/>
    <n v="2014"/>
    <s v="On-Site"/>
    <n v="9"/>
    <x v="17"/>
  </r>
  <r>
    <n v="10198"/>
    <x v="1"/>
    <x v="4"/>
    <x v="1"/>
    <n v="63615"/>
    <d v="2017-11-13T00:00:00"/>
    <n v="36"/>
    <x v="1"/>
    <n v="3"/>
    <s v="No"/>
    <n v="6695.89"/>
    <x v="0"/>
    <x v="4"/>
    <n v="19"/>
    <x v="2"/>
    <x v="4"/>
    <x v="16"/>
    <n v="2015"/>
    <s v="Fully Remote"/>
    <n v="87"/>
    <x v="34"/>
  </r>
  <r>
    <n v="10199"/>
    <x v="2"/>
    <x v="0"/>
    <x v="4"/>
    <n v="92751"/>
    <d v="2007-09-30T00:00:00"/>
    <n v="35"/>
    <x v="0"/>
    <n v="6"/>
    <s v="No"/>
    <n v="5692.47"/>
    <x v="0"/>
    <x v="0"/>
    <n v="21"/>
    <x v="1"/>
    <x v="5"/>
    <x v="15"/>
    <n v="2018"/>
    <s v="Fully Remote"/>
    <n v="140"/>
    <x v="20"/>
  </r>
  <r>
    <n v="10200"/>
    <x v="3"/>
    <x v="0"/>
    <x v="5"/>
    <n v="57452"/>
    <d v="2010-08-09T00:00:00"/>
    <n v="60"/>
    <x v="1"/>
    <n v="3"/>
    <s v="No"/>
    <n v="9827.0499999999993"/>
    <x v="3"/>
    <x v="0"/>
    <n v="32"/>
    <x v="1"/>
    <x v="4"/>
    <x v="18"/>
    <n v="2015"/>
    <s v="Hybrid"/>
    <n v="145"/>
    <x v="29"/>
  </r>
  <r>
    <n v="10201"/>
    <x v="0"/>
    <x v="4"/>
    <x v="0"/>
    <n v="52725"/>
    <d v="2000-02-17T00:00:00"/>
    <n v="26"/>
    <x v="1"/>
    <n v="4"/>
    <s v="No"/>
    <n v="8436.36"/>
    <x v="3"/>
    <x v="2"/>
    <n v="28"/>
    <x v="0"/>
    <x v="0"/>
    <x v="1"/>
    <n v="2015"/>
    <s v="Fully Remote"/>
    <n v="173"/>
    <x v="5"/>
  </r>
  <r>
    <n v="10202"/>
    <x v="4"/>
    <x v="0"/>
    <x v="0"/>
    <n v="80391"/>
    <d v="2006-06-22T00:00:00"/>
    <n v="47"/>
    <x v="0"/>
    <n v="9"/>
    <s v="No"/>
    <n v="4424.78"/>
    <x v="2"/>
    <x v="0"/>
    <n v="39"/>
    <x v="2"/>
    <x v="3"/>
    <x v="7"/>
    <n v="2020"/>
    <s v="Hybrid"/>
    <n v="21"/>
    <x v="16"/>
  </r>
  <r>
    <n v="10203"/>
    <x v="0"/>
    <x v="6"/>
    <x v="3"/>
    <n v="105060"/>
    <d v="2006-03-06T00:00:00"/>
    <n v="38"/>
    <x v="1"/>
    <n v="9"/>
    <s v="No"/>
    <n v="6355.92"/>
    <x v="0"/>
    <x v="3"/>
    <n v="12"/>
    <x v="2"/>
    <x v="5"/>
    <x v="11"/>
    <n v="2020"/>
    <s v="On-Site"/>
    <n v="36"/>
    <x v="2"/>
  </r>
  <r>
    <n v="10204"/>
    <x v="7"/>
    <x v="2"/>
    <x v="4"/>
    <n v="41698"/>
    <d v="2015-07-07T00:00:00"/>
    <n v="64"/>
    <x v="1"/>
    <n v="5"/>
    <s v="Yes"/>
    <n v="1614.25"/>
    <x v="1"/>
    <x v="3"/>
    <n v="15"/>
    <x v="2"/>
    <x v="2"/>
    <x v="0"/>
    <n v="2017"/>
    <s v="Hybrid"/>
    <n v="9"/>
    <x v="12"/>
  </r>
  <r>
    <n v="10205"/>
    <x v="1"/>
    <x v="2"/>
    <x v="2"/>
    <n v="116711"/>
    <d v="2019-12-13T00:00:00"/>
    <n v="37"/>
    <x v="1"/>
    <n v="7"/>
    <s v="No"/>
    <n v="4170.67"/>
    <x v="2"/>
    <x v="1"/>
    <n v="28"/>
    <x v="0"/>
    <x v="5"/>
    <x v="8"/>
    <n v="2014"/>
    <s v="On-Site"/>
    <n v="130"/>
    <x v="25"/>
  </r>
  <r>
    <n v="10206"/>
    <x v="2"/>
    <x v="2"/>
    <x v="2"/>
    <n v="107850"/>
    <d v="2012-10-16T00:00:00"/>
    <n v="56"/>
    <x v="1"/>
    <n v="9"/>
    <s v="No"/>
    <n v="7471.93"/>
    <x v="3"/>
    <x v="0"/>
    <n v="21"/>
    <x v="2"/>
    <x v="4"/>
    <x v="14"/>
    <n v="2014"/>
    <s v="Hybrid"/>
    <n v="141"/>
    <x v="1"/>
  </r>
  <r>
    <n v="10207"/>
    <x v="4"/>
    <x v="6"/>
    <x v="4"/>
    <n v="32365"/>
    <d v="2017-09-06T00:00:00"/>
    <n v="59"/>
    <x v="1"/>
    <n v="8"/>
    <s v="Yes"/>
    <n v="6415.38"/>
    <x v="3"/>
    <x v="1"/>
    <n v="16"/>
    <x v="2"/>
    <x v="5"/>
    <x v="3"/>
    <n v="2019"/>
    <s v="On-Site"/>
    <n v="111"/>
    <x v="5"/>
  </r>
  <r>
    <n v="10208"/>
    <x v="1"/>
    <x v="1"/>
    <x v="5"/>
    <n v="73372"/>
    <d v="2002-01-23T00:00:00"/>
    <n v="44"/>
    <x v="1"/>
    <n v="7"/>
    <s v="Yes"/>
    <n v="5102.4799999999996"/>
    <x v="2"/>
    <x v="4"/>
    <n v="23"/>
    <x v="1"/>
    <x v="0"/>
    <x v="16"/>
    <n v="2022"/>
    <s v="Fully Remote"/>
    <n v="166"/>
    <x v="34"/>
  </r>
  <r>
    <n v="10209"/>
    <x v="6"/>
    <x v="0"/>
    <x v="2"/>
    <n v="74134"/>
    <d v="2014-02-11T00:00:00"/>
    <n v="34"/>
    <x v="0"/>
    <n v="8"/>
    <s v="No"/>
    <n v="2177.0300000000002"/>
    <x v="1"/>
    <x v="4"/>
    <n v="26"/>
    <x v="0"/>
    <x v="4"/>
    <x v="0"/>
    <n v="2020"/>
    <s v="Hybrid"/>
    <n v="5"/>
    <x v="34"/>
  </r>
  <r>
    <n v="10210"/>
    <x v="2"/>
    <x v="3"/>
    <x v="3"/>
    <n v="67823"/>
    <d v="2019-04-29T00:00:00"/>
    <n v="54"/>
    <x v="1"/>
    <n v="5"/>
    <s v="No"/>
    <n v="8129.89"/>
    <x v="0"/>
    <x v="2"/>
    <n v="15"/>
    <x v="0"/>
    <x v="1"/>
    <x v="14"/>
    <n v="2010"/>
    <s v="Hybrid"/>
    <n v="172"/>
    <x v="21"/>
  </r>
  <r>
    <n v="10211"/>
    <x v="0"/>
    <x v="0"/>
    <x v="4"/>
    <n v="101158"/>
    <d v="2007-09-03T00:00:00"/>
    <n v="50"/>
    <x v="0"/>
    <n v="5"/>
    <s v="No"/>
    <n v="3095.08"/>
    <x v="0"/>
    <x v="2"/>
    <n v="37"/>
    <x v="0"/>
    <x v="2"/>
    <x v="16"/>
    <n v="2015"/>
    <s v="Hybrid"/>
    <n v="186"/>
    <x v="40"/>
  </r>
  <r>
    <n v="10212"/>
    <x v="0"/>
    <x v="4"/>
    <x v="5"/>
    <n v="31949"/>
    <d v="2012-09-23T00:00:00"/>
    <n v="55"/>
    <x v="0"/>
    <n v="5"/>
    <s v="No"/>
    <n v="8294.5499999999993"/>
    <x v="1"/>
    <x v="0"/>
    <n v="12"/>
    <x v="2"/>
    <x v="2"/>
    <x v="14"/>
    <n v="2010"/>
    <s v="On-Site"/>
    <n v="130"/>
    <x v="9"/>
  </r>
  <r>
    <n v="10213"/>
    <x v="2"/>
    <x v="5"/>
    <x v="5"/>
    <n v="79396"/>
    <d v="2009-12-31T00:00:00"/>
    <n v="55"/>
    <x v="0"/>
    <n v="1"/>
    <s v="Yes"/>
    <n v="6310.29"/>
    <x v="0"/>
    <x v="0"/>
    <n v="4"/>
    <x v="2"/>
    <x v="4"/>
    <x v="2"/>
    <n v="2020"/>
    <s v="Hybrid"/>
    <n v="36"/>
    <x v="16"/>
  </r>
  <r>
    <n v="10214"/>
    <x v="0"/>
    <x v="2"/>
    <x v="1"/>
    <n v="61912"/>
    <d v="2001-02-06T00:00:00"/>
    <n v="48"/>
    <x v="0"/>
    <n v="6"/>
    <s v="Yes"/>
    <n v="4040.95"/>
    <x v="3"/>
    <x v="1"/>
    <n v="35"/>
    <x v="1"/>
    <x v="1"/>
    <x v="18"/>
    <n v="2017"/>
    <s v="Hybrid"/>
    <n v="130"/>
    <x v="31"/>
  </r>
  <r>
    <n v="10215"/>
    <x v="3"/>
    <x v="0"/>
    <x v="5"/>
    <n v="86947"/>
    <d v="2014-04-23T00:00:00"/>
    <n v="36"/>
    <x v="1"/>
    <n v="5"/>
    <s v="No"/>
    <n v="885.75"/>
    <x v="2"/>
    <x v="1"/>
    <n v="31"/>
    <x v="0"/>
    <x v="0"/>
    <x v="13"/>
    <n v="2019"/>
    <s v="Fully Remote"/>
    <n v="103"/>
    <x v="19"/>
  </r>
  <r>
    <n v="10216"/>
    <x v="2"/>
    <x v="3"/>
    <x v="2"/>
    <n v="74387"/>
    <d v="2005-09-17T00:00:00"/>
    <n v="30"/>
    <x v="1"/>
    <n v="8"/>
    <s v="Yes"/>
    <n v="2707.98"/>
    <x v="1"/>
    <x v="0"/>
    <n v="27"/>
    <x v="2"/>
    <x v="5"/>
    <x v="17"/>
    <n v="2018"/>
    <s v="Hybrid"/>
    <n v="117"/>
    <x v="23"/>
  </r>
  <r>
    <n v="10217"/>
    <x v="1"/>
    <x v="4"/>
    <x v="2"/>
    <n v="93965"/>
    <d v="2018-05-30T00:00:00"/>
    <n v="47"/>
    <x v="1"/>
    <n v="8"/>
    <s v="Yes"/>
    <n v="8946.17"/>
    <x v="2"/>
    <x v="0"/>
    <n v="32"/>
    <x v="1"/>
    <x v="3"/>
    <x v="0"/>
    <n v="2015"/>
    <s v="Hybrid"/>
    <n v="182"/>
    <x v="31"/>
  </r>
  <r>
    <n v="10218"/>
    <x v="2"/>
    <x v="6"/>
    <x v="4"/>
    <n v="46508"/>
    <d v="2006-02-05T00:00:00"/>
    <n v="24"/>
    <x v="1"/>
    <n v="2"/>
    <s v="Yes"/>
    <n v="8270.76"/>
    <x v="0"/>
    <x v="2"/>
    <n v="33"/>
    <x v="2"/>
    <x v="2"/>
    <x v="4"/>
    <n v="2023"/>
    <s v="Hybrid"/>
    <n v="191"/>
    <x v="30"/>
  </r>
  <r>
    <n v="10219"/>
    <x v="4"/>
    <x v="1"/>
    <x v="4"/>
    <n v="75592"/>
    <d v="2016-11-07T00:00:00"/>
    <n v="57"/>
    <x v="0"/>
    <n v="6"/>
    <s v="Yes"/>
    <n v="5961.11"/>
    <x v="0"/>
    <x v="2"/>
    <n v="13"/>
    <x v="2"/>
    <x v="0"/>
    <x v="16"/>
    <n v="2018"/>
    <s v="Hybrid"/>
    <n v="194"/>
    <x v="12"/>
  </r>
  <r>
    <n v="10220"/>
    <x v="0"/>
    <x v="6"/>
    <x v="5"/>
    <n v="31919"/>
    <d v="2009-05-03T00:00:00"/>
    <n v="26"/>
    <x v="0"/>
    <n v="6"/>
    <s v="No"/>
    <n v="4930.0600000000004"/>
    <x v="3"/>
    <x v="2"/>
    <n v="37"/>
    <x v="0"/>
    <x v="0"/>
    <x v="0"/>
    <n v="2011"/>
    <s v="Fully Remote"/>
    <n v="15"/>
    <x v="32"/>
  </r>
  <r>
    <n v="10221"/>
    <x v="3"/>
    <x v="3"/>
    <x v="3"/>
    <n v="72595"/>
    <d v="2008-03-09T00:00:00"/>
    <n v="41"/>
    <x v="0"/>
    <n v="3"/>
    <s v="Yes"/>
    <n v="6647.86"/>
    <x v="3"/>
    <x v="0"/>
    <n v="2"/>
    <x v="0"/>
    <x v="0"/>
    <x v="8"/>
    <n v="2018"/>
    <s v="Hybrid"/>
    <n v="27"/>
    <x v="22"/>
  </r>
  <r>
    <n v="10222"/>
    <x v="3"/>
    <x v="4"/>
    <x v="0"/>
    <n v="39617"/>
    <d v="2012-09-17T00:00:00"/>
    <n v="41"/>
    <x v="1"/>
    <n v="1"/>
    <s v="Yes"/>
    <n v="4929.3599999999997"/>
    <x v="0"/>
    <x v="1"/>
    <n v="38"/>
    <x v="2"/>
    <x v="5"/>
    <x v="5"/>
    <n v="2013"/>
    <s v="Hybrid"/>
    <n v="123"/>
    <x v="0"/>
  </r>
  <r>
    <n v="10223"/>
    <x v="6"/>
    <x v="2"/>
    <x v="1"/>
    <n v="105268"/>
    <d v="2003-02-23T00:00:00"/>
    <n v="26"/>
    <x v="0"/>
    <n v="7"/>
    <s v="No"/>
    <n v="6620.9"/>
    <x v="0"/>
    <x v="3"/>
    <n v="37"/>
    <x v="2"/>
    <x v="0"/>
    <x v="18"/>
    <n v="2012"/>
    <s v="Fully Remote"/>
    <n v="30"/>
    <x v="39"/>
  </r>
  <r>
    <n v="10224"/>
    <x v="1"/>
    <x v="0"/>
    <x v="0"/>
    <n v="63298"/>
    <d v="2000-03-03T00:00:00"/>
    <n v="31"/>
    <x v="1"/>
    <n v="5"/>
    <s v="Yes"/>
    <n v="3420.34"/>
    <x v="3"/>
    <x v="3"/>
    <n v="5"/>
    <x v="2"/>
    <x v="0"/>
    <x v="19"/>
    <n v="2010"/>
    <s v="On-Site"/>
    <n v="67"/>
    <x v="8"/>
  </r>
  <r>
    <n v="10225"/>
    <x v="5"/>
    <x v="4"/>
    <x v="5"/>
    <n v="36929"/>
    <d v="2013-07-10T00:00:00"/>
    <n v="37"/>
    <x v="0"/>
    <n v="5"/>
    <s v="No"/>
    <n v="8465.7199999999993"/>
    <x v="3"/>
    <x v="1"/>
    <n v="18"/>
    <x v="2"/>
    <x v="4"/>
    <x v="9"/>
    <n v="2010"/>
    <s v="On-Site"/>
    <n v="178"/>
    <x v="40"/>
  </r>
  <r>
    <n v="10226"/>
    <x v="5"/>
    <x v="1"/>
    <x v="5"/>
    <n v="44456"/>
    <d v="2008-08-19T00:00:00"/>
    <n v="46"/>
    <x v="1"/>
    <n v="8"/>
    <s v="No"/>
    <n v="7168.22"/>
    <x v="1"/>
    <x v="1"/>
    <n v="17"/>
    <x v="2"/>
    <x v="4"/>
    <x v="7"/>
    <n v="2017"/>
    <s v="Fully Remote"/>
    <n v="73"/>
    <x v="30"/>
  </r>
  <r>
    <n v="10227"/>
    <x v="2"/>
    <x v="6"/>
    <x v="0"/>
    <n v="116676"/>
    <d v="2002-10-05T00:00:00"/>
    <n v="46"/>
    <x v="0"/>
    <n v="5"/>
    <s v="Yes"/>
    <n v="3634.77"/>
    <x v="3"/>
    <x v="1"/>
    <n v="2"/>
    <x v="0"/>
    <x v="0"/>
    <x v="11"/>
    <n v="2011"/>
    <s v="Fully Remote"/>
    <n v="94"/>
    <x v="25"/>
  </r>
  <r>
    <n v="10228"/>
    <x v="6"/>
    <x v="1"/>
    <x v="1"/>
    <n v="113721"/>
    <d v="2016-04-04T00:00:00"/>
    <n v="51"/>
    <x v="0"/>
    <n v="5"/>
    <s v="Yes"/>
    <n v="8391.33"/>
    <x v="1"/>
    <x v="2"/>
    <n v="35"/>
    <x v="0"/>
    <x v="0"/>
    <x v="12"/>
    <n v="2010"/>
    <s v="On-Site"/>
    <n v="138"/>
    <x v="36"/>
  </r>
  <r>
    <n v="10229"/>
    <x v="7"/>
    <x v="1"/>
    <x v="0"/>
    <n v="67924"/>
    <d v="2005-07-24T00:00:00"/>
    <n v="35"/>
    <x v="1"/>
    <n v="1"/>
    <s v="No"/>
    <n v="5129.75"/>
    <x v="1"/>
    <x v="4"/>
    <n v="14"/>
    <x v="2"/>
    <x v="4"/>
    <x v="1"/>
    <n v="2011"/>
    <s v="Hybrid"/>
    <n v="55"/>
    <x v="12"/>
  </r>
  <r>
    <n v="10230"/>
    <x v="2"/>
    <x v="3"/>
    <x v="4"/>
    <n v="54240"/>
    <d v="2003-08-15T00:00:00"/>
    <n v="43"/>
    <x v="0"/>
    <n v="2"/>
    <s v="Yes"/>
    <n v="2159.0700000000002"/>
    <x v="2"/>
    <x v="0"/>
    <n v="12"/>
    <x v="2"/>
    <x v="5"/>
    <x v="0"/>
    <n v="2012"/>
    <s v="On-Site"/>
    <n v="47"/>
    <x v="4"/>
  </r>
  <r>
    <n v="10231"/>
    <x v="6"/>
    <x v="3"/>
    <x v="2"/>
    <n v="117381"/>
    <d v="2005-09-12T00:00:00"/>
    <n v="64"/>
    <x v="0"/>
    <n v="5"/>
    <s v="No"/>
    <n v="1238.27"/>
    <x v="3"/>
    <x v="2"/>
    <n v="33"/>
    <x v="0"/>
    <x v="4"/>
    <x v="1"/>
    <n v="2013"/>
    <s v="Hybrid"/>
    <n v="174"/>
    <x v="23"/>
  </r>
  <r>
    <n v="10232"/>
    <x v="1"/>
    <x v="0"/>
    <x v="3"/>
    <n v="39228"/>
    <d v="2002-01-21T00:00:00"/>
    <n v="49"/>
    <x v="1"/>
    <n v="7"/>
    <s v="No"/>
    <n v="7146.25"/>
    <x v="1"/>
    <x v="3"/>
    <n v="7"/>
    <x v="2"/>
    <x v="4"/>
    <x v="19"/>
    <n v="2022"/>
    <s v="Fully Remote"/>
    <n v="145"/>
    <x v="11"/>
  </r>
  <r>
    <n v="10233"/>
    <x v="1"/>
    <x v="3"/>
    <x v="4"/>
    <n v="51686"/>
    <d v="2011-05-07T00:00:00"/>
    <n v="51"/>
    <x v="0"/>
    <n v="3"/>
    <s v="Yes"/>
    <n v="8718.65"/>
    <x v="2"/>
    <x v="0"/>
    <n v="39"/>
    <x v="0"/>
    <x v="4"/>
    <x v="1"/>
    <n v="2020"/>
    <s v="Fully Remote"/>
    <n v="29"/>
    <x v="40"/>
  </r>
  <r>
    <n v="10234"/>
    <x v="1"/>
    <x v="3"/>
    <x v="2"/>
    <n v="41920"/>
    <d v="2001-10-19T00:00:00"/>
    <n v="40"/>
    <x v="0"/>
    <n v="1"/>
    <s v="No"/>
    <n v="8170.7"/>
    <x v="2"/>
    <x v="1"/>
    <n v="9"/>
    <x v="0"/>
    <x v="4"/>
    <x v="13"/>
    <n v="2018"/>
    <s v="Fully Remote"/>
    <n v="134"/>
    <x v="15"/>
  </r>
  <r>
    <n v="10235"/>
    <x v="1"/>
    <x v="4"/>
    <x v="3"/>
    <n v="37432"/>
    <d v="2004-07-18T00:00:00"/>
    <n v="59"/>
    <x v="0"/>
    <n v="2"/>
    <s v="No"/>
    <n v="6728.68"/>
    <x v="3"/>
    <x v="3"/>
    <n v="5"/>
    <x v="0"/>
    <x v="3"/>
    <x v="12"/>
    <n v="2016"/>
    <s v="On-Site"/>
    <n v="18"/>
    <x v="10"/>
  </r>
  <r>
    <n v="10236"/>
    <x v="1"/>
    <x v="2"/>
    <x v="3"/>
    <n v="93575"/>
    <d v="2001-12-01T00:00:00"/>
    <n v="63"/>
    <x v="0"/>
    <n v="3"/>
    <s v="Yes"/>
    <n v="1843.06"/>
    <x v="3"/>
    <x v="1"/>
    <n v="4"/>
    <x v="0"/>
    <x v="2"/>
    <x v="14"/>
    <n v="2021"/>
    <s v="Fully Remote"/>
    <n v="149"/>
    <x v="39"/>
  </r>
  <r>
    <n v="10237"/>
    <x v="6"/>
    <x v="0"/>
    <x v="3"/>
    <n v="101725"/>
    <d v="2002-12-16T00:00:00"/>
    <n v="41"/>
    <x v="1"/>
    <n v="9"/>
    <s v="Yes"/>
    <n v="1393.42"/>
    <x v="2"/>
    <x v="1"/>
    <n v="32"/>
    <x v="1"/>
    <x v="5"/>
    <x v="16"/>
    <n v="2014"/>
    <s v="On-Site"/>
    <n v="109"/>
    <x v="15"/>
  </r>
  <r>
    <n v="10238"/>
    <x v="6"/>
    <x v="4"/>
    <x v="5"/>
    <n v="63910"/>
    <d v="2005-11-26T00:00:00"/>
    <n v="56"/>
    <x v="1"/>
    <n v="8"/>
    <s v="No"/>
    <n v="3777.78"/>
    <x v="1"/>
    <x v="1"/>
    <n v="5"/>
    <x v="2"/>
    <x v="1"/>
    <x v="6"/>
    <n v="2014"/>
    <s v="Hybrid"/>
    <n v="108"/>
    <x v="26"/>
  </r>
  <r>
    <n v="10239"/>
    <x v="3"/>
    <x v="2"/>
    <x v="3"/>
    <n v="60226"/>
    <d v="2004-03-20T00:00:00"/>
    <n v="43"/>
    <x v="0"/>
    <n v="4"/>
    <s v="Yes"/>
    <n v="8621.65"/>
    <x v="3"/>
    <x v="0"/>
    <n v="8"/>
    <x v="2"/>
    <x v="5"/>
    <x v="2"/>
    <n v="2023"/>
    <s v="Hybrid"/>
    <n v="172"/>
    <x v="27"/>
  </r>
  <r>
    <n v="10240"/>
    <x v="4"/>
    <x v="1"/>
    <x v="1"/>
    <n v="103150"/>
    <d v="2008-04-20T00:00:00"/>
    <n v="36"/>
    <x v="1"/>
    <n v="8"/>
    <s v="No"/>
    <n v="9636.49"/>
    <x v="2"/>
    <x v="3"/>
    <n v="13"/>
    <x v="2"/>
    <x v="0"/>
    <x v="6"/>
    <n v="2015"/>
    <s v="Hybrid"/>
    <n v="43"/>
    <x v="22"/>
  </r>
  <r>
    <n v="10241"/>
    <x v="5"/>
    <x v="4"/>
    <x v="0"/>
    <n v="89099"/>
    <d v="2016-11-19T00:00:00"/>
    <n v="32"/>
    <x v="0"/>
    <n v="9"/>
    <s v="Yes"/>
    <n v="2792.93"/>
    <x v="2"/>
    <x v="3"/>
    <n v="4"/>
    <x v="0"/>
    <x v="3"/>
    <x v="15"/>
    <n v="2010"/>
    <s v="Fully Remote"/>
    <n v="157"/>
    <x v="9"/>
  </r>
  <r>
    <n v="10242"/>
    <x v="0"/>
    <x v="5"/>
    <x v="1"/>
    <n v="116760"/>
    <d v="2017-06-04T00:00:00"/>
    <n v="55"/>
    <x v="1"/>
    <n v="3"/>
    <s v="No"/>
    <n v="7739.91"/>
    <x v="1"/>
    <x v="1"/>
    <n v="11"/>
    <x v="0"/>
    <x v="0"/>
    <x v="4"/>
    <n v="2015"/>
    <s v="Hybrid"/>
    <n v="52"/>
    <x v="1"/>
  </r>
  <r>
    <n v="10243"/>
    <x v="1"/>
    <x v="4"/>
    <x v="0"/>
    <n v="48013"/>
    <d v="2005-06-06T00:00:00"/>
    <n v="45"/>
    <x v="0"/>
    <n v="6"/>
    <s v="Yes"/>
    <n v="5951.76"/>
    <x v="0"/>
    <x v="2"/>
    <n v="15"/>
    <x v="0"/>
    <x v="5"/>
    <x v="7"/>
    <n v="2022"/>
    <s v="Fully Remote"/>
    <n v="119"/>
    <x v="34"/>
  </r>
  <r>
    <n v="10244"/>
    <x v="7"/>
    <x v="3"/>
    <x v="4"/>
    <n v="51446"/>
    <d v="2000-11-10T00:00:00"/>
    <n v="27"/>
    <x v="0"/>
    <n v="8"/>
    <s v="Yes"/>
    <n v="802.17"/>
    <x v="1"/>
    <x v="4"/>
    <n v="18"/>
    <x v="2"/>
    <x v="5"/>
    <x v="18"/>
    <n v="2022"/>
    <s v="On-Site"/>
    <n v="53"/>
    <x v="4"/>
  </r>
  <r>
    <n v="10245"/>
    <x v="0"/>
    <x v="2"/>
    <x v="4"/>
    <n v="100375"/>
    <d v="2017-08-16T00:00:00"/>
    <n v="38"/>
    <x v="1"/>
    <n v="7"/>
    <s v="Yes"/>
    <n v="5657.71"/>
    <x v="2"/>
    <x v="2"/>
    <n v="20"/>
    <x v="0"/>
    <x v="1"/>
    <x v="4"/>
    <n v="2020"/>
    <s v="Fully Remote"/>
    <n v="165"/>
    <x v="6"/>
  </r>
  <r>
    <n v="10246"/>
    <x v="6"/>
    <x v="0"/>
    <x v="0"/>
    <n v="92509"/>
    <d v="2008-06-08T00:00:00"/>
    <n v="49"/>
    <x v="0"/>
    <n v="9"/>
    <s v="Yes"/>
    <n v="8156.43"/>
    <x v="1"/>
    <x v="0"/>
    <n v="1"/>
    <x v="1"/>
    <x v="1"/>
    <x v="3"/>
    <n v="2015"/>
    <s v="Hybrid"/>
    <n v="31"/>
    <x v="36"/>
  </r>
  <r>
    <n v="10247"/>
    <x v="7"/>
    <x v="0"/>
    <x v="1"/>
    <n v="30557"/>
    <d v="2015-11-14T00:00:00"/>
    <n v="52"/>
    <x v="0"/>
    <n v="7"/>
    <s v="Yes"/>
    <n v="3123.17"/>
    <x v="3"/>
    <x v="4"/>
    <n v="1"/>
    <x v="2"/>
    <x v="0"/>
    <x v="17"/>
    <n v="2023"/>
    <s v="Fully Remote"/>
    <n v="49"/>
    <x v="0"/>
  </r>
  <r>
    <n v="10248"/>
    <x v="7"/>
    <x v="2"/>
    <x v="0"/>
    <n v="60666"/>
    <d v="2019-08-12T00:00:00"/>
    <n v="57"/>
    <x v="0"/>
    <n v="1"/>
    <s v="No"/>
    <n v="9024.94"/>
    <x v="2"/>
    <x v="2"/>
    <n v="11"/>
    <x v="1"/>
    <x v="2"/>
    <x v="7"/>
    <n v="2020"/>
    <s v="Fully Remote"/>
    <n v="35"/>
    <x v="2"/>
  </r>
  <r>
    <n v="10249"/>
    <x v="7"/>
    <x v="3"/>
    <x v="3"/>
    <n v="67389"/>
    <d v="2013-12-31T00:00:00"/>
    <n v="30"/>
    <x v="0"/>
    <n v="9"/>
    <s v="No"/>
    <n v="2744.47"/>
    <x v="1"/>
    <x v="3"/>
    <n v="29"/>
    <x v="1"/>
    <x v="0"/>
    <x v="5"/>
    <n v="2014"/>
    <s v="On-Site"/>
    <n v="67"/>
    <x v="0"/>
  </r>
  <r>
    <n v="10250"/>
    <x v="3"/>
    <x v="6"/>
    <x v="5"/>
    <n v="77700"/>
    <d v="2012-12-16T00:00:00"/>
    <n v="31"/>
    <x v="1"/>
    <n v="5"/>
    <s v="Yes"/>
    <n v="1226.49"/>
    <x v="1"/>
    <x v="2"/>
    <n v="29"/>
    <x v="2"/>
    <x v="2"/>
    <x v="8"/>
    <n v="2019"/>
    <s v="Fully Remote"/>
    <n v="116"/>
    <x v="3"/>
  </r>
  <r>
    <n v="10251"/>
    <x v="6"/>
    <x v="4"/>
    <x v="4"/>
    <n v="54578"/>
    <d v="2006-05-03T00:00:00"/>
    <n v="42"/>
    <x v="1"/>
    <n v="6"/>
    <s v="No"/>
    <n v="2019.42"/>
    <x v="1"/>
    <x v="1"/>
    <n v="24"/>
    <x v="1"/>
    <x v="2"/>
    <x v="7"/>
    <n v="2018"/>
    <s v="Hybrid"/>
    <n v="170"/>
    <x v="20"/>
  </r>
  <r>
    <n v="10252"/>
    <x v="7"/>
    <x v="3"/>
    <x v="5"/>
    <n v="104779"/>
    <d v="2005-11-05T00:00:00"/>
    <n v="55"/>
    <x v="1"/>
    <n v="2"/>
    <s v="Yes"/>
    <n v="8451.5300000000007"/>
    <x v="1"/>
    <x v="0"/>
    <n v="20"/>
    <x v="1"/>
    <x v="4"/>
    <x v="10"/>
    <n v="2019"/>
    <s v="Fully Remote"/>
    <n v="112"/>
    <x v="15"/>
  </r>
  <r>
    <n v="10253"/>
    <x v="1"/>
    <x v="5"/>
    <x v="3"/>
    <n v="39596"/>
    <d v="2018-01-24T00:00:00"/>
    <n v="52"/>
    <x v="1"/>
    <n v="2"/>
    <s v="No"/>
    <n v="4464.41"/>
    <x v="2"/>
    <x v="2"/>
    <n v="30"/>
    <x v="0"/>
    <x v="5"/>
    <x v="4"/>
    <n v="2019"/>
    <s v="Fully Remote"/>
    <n v="172"/>
    <x v="32"/>
  </r>
  <r>
    <n v="10254"/>
    <x v="2"/>
    <x v="1"/>
    <x v="3"/>
    <n v="87500"/>
    <d v="2004-07-07T00:00:00"/>
    <n v="50"/>
    <x v="0"/>
    <n v="4"/>
    <s v="No"/>
    <n v="8070.98"/>
    <x v="1"/>
    <x v="2"/>
    <n v="38"/>
    <x v="1"/>
    <x v="4"/>
    <x v="3"/>
    <n v="2014"/>
    <s v="Hybrid"/>
    <n v="190"/>
    <x v="40"/>
  </r>
  <r>
    <n v="10255"/>
    <x v="7"/>
    <x v="2"/>
    <x v="4"/>
    <n v="102534"/>
    <d v="2008-10-24T00:00:00"/>
    <n v="64"/>
    <x v="0"/>
    <n v="4"/>
    <s v="No"/>
    <n v="5546.71"/>
    <x v="3"/>
    <x v="4"/>
    <n v="5"/>
    <x v="0"/>
    <x v="5"/>
    <x v="16"/>
    <n v="2018"/>
    <s v="Fully Remote"/>
    <n v="69"/>
    <x v="18"/>
  </r>
  <r>
    <n v="10256"/>
    <x v="3"/>
    <x v="4"/>
    <x v="4"/>
    <n v="40129"/>
    <d v="2018-11-22T00:00:00"/>
    <n v="64"/>
    <x v="0"/>
    <n v="5"/>
    <s v="Yes"/>
    <n v="5065.3100000000004"/>
    <x v="0"/>
    <x v="1"/>
    <n v="10"/>
    <x v="1"/>
    <x v="4"/>
    <x v="10"/>
    <n v="2019"/>
    <s v="On-Site"/>
    <n v="15"/>
    <x v="2"/>
  </r>
  <r>
    <n v="10257"/>
    <x v="0"/>
    <x v="0"/>
    <x v="3"/>
    <n v="93394"/>
    <d v="2010-05-28T00:00:00"/>
    <n v="32"/>
    <x v="0"/>
    <n v="7"/>
    <s v="Yes"/>
    <n v="8165.67"/>
    <x v="0"/>
    <x v="4"/>
    <n v="6"/>
    <x v="2"/>
    <x v="2"/>
    <x v="14"/>
    <n v="2016"/>
    <s v="Hybrid"/>
    <n v="147"/>
    <x v="15"/>
  </r>
  <r>
    <n v="10258"/>
    <x v="6"/>
    <x v="1"/>
    <x v="2"/>
    <n v="96046"/>
    <d v="2006-10-14T00:00:00"/>
    <n v="54"/>
    <x v="1"/>
    <n v="1"/>
    <s v="No"/>
    <n v="4523.13"/>
    <x v="0"/>
    <x v="0"/>
    <n v="4"/>
    <x v="2"/>
    <x v="4"/>
    <x v="9"/>
    <n v="2012"/>
    <s v="Hybrid"/>
    <n v="101"/>
    <x v="4"/>
  </r>
  <r>
    <n v="10259"/>
    <x v="4"/>
    <x v="6"/>
    <x v="5"/>
    <n v="41596"/>
    <d v="2011-02-19T00:00:00"/>
    <n v="22"/>
    <x v="1"/>
    <n v="4"/>
    <s v="No"/>
    <n v="8119.31"/>
    <x v="3"/>
    <x v="0"/>
    <n v="4"/>
    <x v="2"/>
    <x v="3"/>
    <x v="17"/>
    <n v="2020"/>
    <s v="Fully Remote"/>
    <n v="189"/>
    <x v="11"/>
  </r>
  <r>
    <n v="10260"/>
    <x v="3"/>
    <x v="5"/>
    <x v="5"/>
    <n v="95355"/>
    <d v="2004-11-10T00:00:00"/>
    <n v="42"/>
    <x v="1"/>
    <n v="9"/>
    <s v="No"/>
    <n v="1456.29"/>
    <x v="0"/>
    <x v="1"/>
    <n v="7"/>
    <x v="2"/>
    <x v="4"/>
    <x v="6"/>
    <n v="2018"/>
    <s v="On-Site"/>
    <n v="116"/>
    <x v="16"/>
  </r>
  <r>
    <n v="10261"/>
    <x v="7"/>
    <x v="0"/>
    <x v="2"/>
    <n v="42974"/>
    <d v="2005-05-20T00:00:00"/>
    <n v="44"/>
    <x v="0"/>
    <n v="8"/>
    <s v="No"/>
    <n v="6544.95"/>
    <x v="2"/>
    <x v="4"/>
    <n v="33"/>
    <x v="0"/>
    <x v="1"/>
    <x v="4"/>
    <n v="2019"/>
    <s v="On-Site"/>
    <n v="157"/>
    <x v="16"/>
  </r>
  <r>
    <n v="10262"/>
    <x v="6"/>
    <x v="2"/>
    <x v="1"/>
    <n v="96673"/>
    <d v="2019-04-25T00:00:00"/>
    <n v="30"/>
    <x v="0"/>
    <n v="3"/>
    <s v="Yes"/>
    <n v="7174.58"/>
    <x v="2"/>
    <x v="1"/>
    <n v="9"/>
    <x v="1"/>
    <x v="1"/>
    <x v="9"/>
    <n v="2016"/>
    <s v="Hybrid"/>
    <n v="171"/>
    <x v="2"/>
  </r>
  <r>
    <n v="10263"/>
    <x v="2"/>
    <x v="4"/>
    <x v="5"/>
    <n v="100202"/>
    <d v="2016-08-03T00:00:00"/>
    <n v="22"/>
    <x v="0"/>
    <n v="6"/>
    <s v="Yes"/>
    <n v="9041.43"/>
    <x v="3"/>
    <x v="4"/>
    <n v="26"/>
    <x v="1"/>
    <x v="4"/>
    <x v="16"/>
    <n v="2013"/>
    <s v="Hybrid"/>
    <n v="37"/>
    <x v="38"/>
  </r>
  <r>
    <n v="10264"/>
    <x v="7"/>
    <x v="2"/>
    <x v="0"/>
    <n v="104442"/>
    <d v="2004-11-02T00:00:00"/>
    <n v="42"/>
    <x v="0"/>
    <n v="9"/>
    <s v="No"/>
    <n v="2631.08"/>
    <x v="3"/>
    <x v="3"/>
    <n v="21"/>
    <x v="2"/>
    <x v="4"/>
    <x v="9"/>
    <n v="2023"/>
    <s v="Fully Remote"/>
    <n v="33"/>
    <x v="36"/>
  </r>
  <r>
    <n v="10265"/>
    <x v="3"/>
    <x v="1"/>
    <x v="3"/>
    <n v="51818"/>
    <d v="2010-06-12T00:00:00"/>
    <n v="43"/>
    <x v="1"/>
    <n v="8"/>
    <s v="Yes"/>
    <n v="6240.09"/>
    <x v="2"/>
    <x v="1"/>
    <n v="22"/>
    <x v="0"/>
    <x v="3"/>
    <x v="6"/>
    <n v="2021"/>
    <s v="Hybrid"/>
    <n v="190"/>
    <x v="39"/>
  </r>
  <r>
    <n v="10266"/>
    <x v="5"/>
    <x v="4"/>
    <x v="3"/>
    <n v="73246"/>
    <d v="2000-08-29T00:00:00"/>
    <n v="25"/>
    <x v="1"/>
    <n v="7"/>
    <s v="No"/>
    <n v="4615.9399999999996"/>
    <x v="3"/>
    <x v="0"/>
    <n v="33"/>
    <x v="0"/>
    <x v="5"/>
    <x v="2"/>
    <n v="2018"/>
    <s v="On-Site"/>
    <n v="15"/>
    <x v="38"/>
  </r>
  <r>
    <n v="10267"/>
    <x v="1"/>
    <x v="3"/>
    <x v="2"/>
    <n v="85598"/>
    <d v="2013-02-18T00:00:00"/>
    <n v="22"/>
    <x v="1"/>
    <n v="7"/>
    <s v="Yes"/>
    <n v="4136.33"/>
    <x v="3"/>
    <x v="4"/>
    <n v="33"/>
    <x v="2"/>
    <x v="4"/>
    <x v="11"/>
    <n v="2015"/>
    <s v="Fully Remote"/>
    <n v="145"/>
    <x v="31"/>
  </r>
  <r>
    <n v="10268"/>
    <x v="4"/>
    <x v="6"/>
    <x v="5"/>
    <n v="32654"/>
    <d v="2008-01-28T00:00:00"/>
    <n v="31"/>
    <x v="0"/>
    <n v="1"/>
    <s v="No"/>
    <n v="1513.78"/>
    <x v="2"/>
    <x v="3"/>
    <n v="5"/>
    <x v="1"/>
    <x v="5"/>
    <x v="18"/>
    <n v="2018"/>
    <s v="Fully Remote"/>
    <n v="73"/>
    <x v="2"/>
  </r>
  <r>
    <n v="10269"/>
    <x v="0"/>
    <x v="3"/>
    <x v="1"/>
    <n v="63758"/>
    <d v="2013-03-29T00:00:00"/>
    <n v="36"/>
    <x v="1"/>
    <n v="5"/>
    <s v="Yes"/>
    <n v="1775.22"/>
    <x v="2"/>
    <x v="0"/>
    <n v="21"/>
    <x v="2"/>
    <x v="1"/>
    <x v="2"/>
    <n v="2013"/>
    <s v="On-Site"/>
    <n v="25"/>
    <x v="32"/>
  </r>
  <r>
    <n v="10270"/>
    <x v="3"/>
    <x v="3"/>
    <x v="5"/>
    <n v="54204"/>
    <d v="2016-12-31T00:00:00"/>
    <n v="57"/>
    <x v="0"/>
    <n v="7"/>
    <s v="No"/>
    <n v="8451.39"/>
    <x v="1"/>
    <x v="4"/>
    <n v="27"/>
    <x v="1"/>
    <x v="0"/>
    <x v="10"/>
    <n v="2019"/>
    <s v="On-Site"/>
    <n v="7"/>
    <x v="24"/>
  </r>
  <r>
    <n v="10271"/>
    <x v="6"/>
    <x v="2"/>
    <x v="3"/>
    <n v="64928"/>
    <d v="2019-06-25T00:00:00"/>
    <n v="50"/>
    <x v="1"/>
    <n v="2"/>
    <s v="Yes"/>
    <n v="7622.66"/>
    <x v="1"/>
    <x v="3"/>
    <n v="1"/>
    <x v="2"/>
    <x v="2"/>
    <x v="0"/>
    <n v="2011"/>
    <s v="Hybrid"/>
    <n v="158"/>
    <x v="33"/>
  </r>
  <r>
    <n v="10272"/>
    <x v="4"/>
    <x v="1"/>
    <x v="4"/>
    <n v="83609"/>
    <d v="2017-11-08T00:00:00"/>
    <n v="26"/>
    <x v="1"/>
    <n v="6"/>
    <s v="No"/>
    <n v="4132.24"/>
    <x v="0"/>
    <x v="0"/>
    <n v="16"/>
    <x v="1"/>
    <x v="0"/>
    <x v="3"/>
    <n v="2022"/>
    <s v="On-Site"/>
    <n v="165"/>
    <x v="3"/>
  </r>
  <r>
    <n v="10273"/>
    <x v="4"/>
    <x v="6"/>
    <x v="0"/>
    <n v="60552"/>
    <d v="2017-11-18T00:00:00"/>
    <n v="50"/>
    <x v="0"/>
    <n v="2"/>
    <s v="Yes"/>
    <n v="8370.6200000000008"/>
    <x v="3"/>
    <x v="0"/>
    <n v="35"/>
    <x v="0"/>
    <x v="3"/>
    <x v="12"/>
    <n v="2023"/>
    <s v="Fully Remote"/>
    <n v="98"/>
    <x v="0"/>
  </r>
  <r>
    <n v="10274"/>
    <x v="4"/>
    <x v="4"/>
    <x v="2"/>
    <n v="40336"/>
    <d v="2016-03-07T00:00:00"/>
    <n v="48"/>
    <x v="0"/>
    <n v="3"/>
    <s v="No"/>
    <n v="1267.28"/>
    <x v="2"/>
    <x v="3"/>
    <n v="36"/>
    <x v="2"/>
    <x v="3"/>
    <x v="2"/>
    <n v="2018"/>
    <s v="Fully Remote"/>
    <n v="26"/>
    <x v="38"/>
  </r>
  <r>
    <n v="10275"/>
    <x v="7"/>
    <x v="4"/>
    <x v="4"/>
    <n v="77037"/>
    <d v="2013-05-08T00:00:00"/>
    <n v="46"/>
    <x v="0"/>
    <n v="1"/>
    <s v="No"/>
    <n v="6435.35"/>
    <x v="0"/>
    <x v="0"/>
    <n v="32"/>
    <x v="1"/>
    <x v="5"/>
    <x v="6"/>
    <n v="2019"/>
    <s v="On-Site"/>
    <n v="66"/>
    <x v="7"/>
  </r>
  <r>
    <n v="10276"/>
    <x v="1"/>
    <x v="5"/>
    <x v="1"/>
    <n v="46206"/>
    <d v="2006-03-06T00:00:00"/>
    <n v="37"/>
    <x v="1"/>
    <n v="3"/>
    <s v="Yes"/>
    <n v="8747.67"/>
    <x v="1"/>
    <x v="4"/>
    <n v="29"/>
    <x v="1"/>
    <x v="5"/>
    <x v="12"/>
    <n v="2021"/>
    <s v="Hybrid"/>
    <n v="9"/>
    <x v="30"/>
  </r>
  <r>
    <n v="10277"/>
    <x v="7"/>
    <x v="0"/>
    <x v="4"/>
    <n v="64831"/>
    <d v="2011-04-04T00:00:00"/>
    <n v="37"/>
    <x v="1"/>
    <n v="7"/>
    <s v="Yes"/>
    <n v="8469.2099999999991"/>
    <x v="3"/>
    <x v="4"/>
    <n v="39"/>
    <x v="1"/>
    <x v="4"/>
    <x v="19"/>
    <n v="2023"/>
    <s v="Fully Remote"/>
    <n v="151"/>
    <x v="2"/>
  </r>
  <r>
    <n v="10278"/>
    <x v="6"/>
    <x v="5"/>
    <x v="4"/>
    <n v="73563"/>
    <d v="2009-03-22T00:00:00"/>
    <n v="57"/>
    <x v="1"/>
    <n v="5"/>
    <s v="Yes"/>
    <n v="4041.44"/>
    <x v="0"/>
    <x v="0"/>
    <n v="23"/>
    <x v="1"/>
    <x v="0"/>
    <x v="7"/>
    <n v="2013"/>
    <s v="Hybrid"/>
    <n v="13"/>
    <x v="15"/>
  </r>
  <r>
    <n v="10279"/>
    <x v="7"/>
    <x v="5"/>
    <x v="1"/>
    <n v="48361"/>
    <d v="2013-11-29T00:00:00"/>
    <n v="46"/>
    <x v="1"/>
    <n v="4"/>
    <s v="No"/>
    <n v="7579.72"/>
    <x v="3"/>
    <x v="2"/>
    <n v="15"/>
    <x v="0"/>
    <x v="5"/>
    <x v="6"/>
    <n v="2020"/>
    <s v="On-Site"/>
    <n v="62"/>
    <x v="20"/>
  </r>
  <r>
    <n v="10280"/>
    <x v="5"/>
    <x v="4"/>
    <x v="4"/>
    <n v="71335"/>
    <d v="2001-01-01T00:00:00"/>
    <n v="62"/>
    <x v="0"/>
    <n v="8"/>
    <s v="No"/>
    <n v="4560.95"/>
    <x v="0"/>
    <x v="3"/>
    <n v="26"/>
    <x v="1"/>
    <x v="1"/>
    <x v="8"/>
    <n v="2011"/>
    <s v="Hybrid"/>
    <n v="28"/>
    <x v="0"/>
  </r>
  <r>
    <n v="10281"/>
    <x v="1"/>
    <x v="2"/>
    <x v="2"/>
    <n v="104469"/>
    <d v="2007-09-28T00:00:00"/>
    <n v="22"/>
    <x v="1"/>
    <n v="8"/>
    <s v="No"/>
    <n v="8481.31"/>
    <x v="3"/>
    <x v="2"/>
    <n v="37"/>
    <x v="0"/>
    <x v="5"/>
    <x v="12"/>
    <n v="2016"/>
    <s v="Fully Remote"/>
    <n v="171"/>
    <x v="26"/>
  </r>
  <r>
    <n v="10282"/>
    <x v="1"/>
    <x v="3"/>
    <x v="3"/>
    <n v="55816"/>
    <d v="2003-06-06T00:00:00"/>
    <n v="26"/>
    <x v="0"/>
    <n v="1"/>
    <s v="Yes"/>
    <n v="5542.24"/>
    <x v="3"/>
    <x v="4"/>
    <n v="25"/>
    <x v="1"/>
    <x v="1"/>
    <x v="19"/>
    <n v="2016"/>
    <s v="On-Site"/>
    <n v="65"/>
    <x v="40"/>
  </r>
  <r>
    <n v="10283"/>
    <x v="6"/>
    <x v="1"/>
    <x v="5"/>
    <n v="45619"/>
    <d v="2006-10-23T00:00:00"/>
    <n v="62"/>
    <x v="1"/>
    <n v="9"/>
    <s v="No"/>
    <n v="7766.14"/>
    <x v="2"/>
    <x v="0"/>
    <n v="2"/>
    <x v="0"/>
    <x v="5"/>
    <x v="4"/>
    <n v="2014"/>
    <s v="Fully Remote"/>
    <n v="131"/>
    <x v="2"/>
  </r>
  <r>
    <n v="10284"/>
    <x v="0"/>
    <x v="3"/>
    <x v="4"/>
    <n v="56819"/>
    <d v="2013-02-06T00:00:00"/>
    <n v="41"/>
    <x v="0"/>
    <n v="9"/>
    <s v="Yes"/>
    <n v="1246.43"/>
    <x v="3"/>
    <x v="1"/>
    <n v="12"/>
    <x v="0"/>
    <x v="2"/>
    <x v="13"/>
    <n v="2014"/>
    <s v="Fully Remote"/>
    <n v="52"/>
    <x v="1"/>
  </r>
  <r>
    <n v="10285"/>
    <x v="5"/>
    <x v="3"/>
    <x v="2"/>
    <n v="41741"/>
    <d v="2009-11-12T00:00:00"/>
    <n v="26"/>
    <x v="0"/>
    <n v="2"/>
    <s v="No"/>
    <n v="6105.25"/>
    <x v="1"/>
    <x v="1"/>
    <n v="19"/>
    <x v="1"/>
    <x v="5"/>
    <x v="7"/>
    <n v="2017"/>
    <s v="On-Site"/>
    <n v="182"/>
    <x v="30"/>
  </r>
  <r>
    <n v="10286"/>
    <x v="3"/>
    <x v="6"/>
    <x v="5"/>
    <n v="38798"/>
    <d v="2009-08-22T00:00:00"/>
    <n v="57"/>
    <x v="1"/>
    <n v="2"/>
    <s v="No"/>
    <n v="5727.7"/>
    <x v="2"/>
    <x v="2"/>
    <n v="32"/>
    <x v="0"/>
    <x v="2"/>
    <x v="17"/>
    <n v="2015"/>
    <s v="Hybrid"/>
    <n v="66"/>
    <x v="14"/>
  </r>
  <r>
    <n v="10287"/>
    <x v="7"/>
    <x v="4"/>
    <x v="5"/>
    <n v="55143"/>
    <d v="2014-02-11T00:00:00"/>
    <n v="50"/>
    <x v="1"/>
    <n v="8"/>
    <s v="No"/>
    <n v="6294.78"/>
    <x v="3"/>
    <x v="2"/>
    <n v="23"/>
    <x v="2"/>
    <x v="3"/>
    <x v="6"/>
    <n v="2010"/>
    <s v="On-Site"/>
    <n v="185"/>
    <x v="0"/>
  </r>
  <r>
    <n v="10288"/>
    <x v="2"/>
    <x v="1"/>
    <x v="4"/>
    <n v="79695"/>
    <d v="2013-07-13T00:00:00"/>
    <n v="55"/>
    <x v="0"/>
    <n v="6"/>
    <s v="Yes"/>
    <n v="7108.6"/>
    <x v="1"/>
    <x v="2"/>
    <n v="5"/>
    <x v="1"/>
    <x v="4"/>
    <x v="2"/>
    <n v="2020"/>
    <s v="Fully Remote"/>
    <n v="153"/>
    <x v="27"/>
  </r>
  <r>
    <n v="10289"/>
    <x v="7"/>
    <x v="2"/>
    <x v="2"/>
    <n v="62747"/>
    <d v="2012-05-14T00:00:00"/>
    <n v="39"/>
    <x v="1"/>
    <n v="3"/>
    <s v="No"/>
    <n v="9222.0400000000009"/>
    <x v="1"/>
    <x v="4"/>
    <n v="25"/>
    <x v="2"/>
    <x v="0"/>
    <x v="8"/>
    <n v="2023"/>
    <s v="Fully Remote"/>
    <n v="42"/>
    <x v="0"/>
  </r>
  <r>
    <n v="10290"/>
    <x v="4"/>
    <x v="6"/>
    <x v="3"/>
    <n v="51182"/>
    <d v="2004-07-01T00:00:00"/>
    <n v="23"/>
    <x v="0"/>
    <n v="2"/>
    <s v="No"/>
    <n v="7963.98"/>
    <x v="0"/>
    <x v="4"/>
    <n v="35"/>
    <x v="0"/>
    <x v="5"/>
    <x v="10"/>
    <n v="2021"/>
    <s v="Fully Remote"/>
    <n v="122"/>
    <x v="3"/>
  </r>
  <r>
    <n v="10291"/>
    <x v="7"/>
    <x v="0"/>
    <x v="4"/>
    <n v="39415"/>
    <d v="2003-04-27T00:00:00"/>
    <n v="37"/>
    <x v="1"/>
    <n v="5"/>
    <s v="Yes"/>
    <n v="2586.56"/>
    <x v="2"/>
    <x v="0"/>
    <n v="29"/>
    <x v="0"/>
    <x v="2"/>
    <x v="0"/>
    <n v="2013"/>
    <s v="On-Site"/>
    <n v="63"/>
    <x v="32"/>
  </r>
  <r>
    <n v="10292"/>
    <x v="3"/>
    <x v="2"/>
    <x v="1"/>
    <n v="41085"/>
    <d v="2012-11-16T00:00:00"/>
    <n v="50"/>
    <x v="1"/>
    <n v="8"/>
    <s v="No"/>
    <n v="8346.01"/>
    <x v="2"/>
    <x v="4"/>
    <n v="38"/>
    <x v="2"/>
    <x v="5"/>
    <x v="2"/>
    <n v="2010"/>
    <s v="On-Site"/>
    <n v="101"/>
    <x v="23"/>
  </r>
  <r>
    <n v="10293"/>
    <x v="7"/>
    <x v="5"/>
    <x v="5"/>
    <n v="45008"/>
    <d v="2014-11-17T00:00:00"/>
    <n v="54"/>
    <x v="1"/>
    <n v="6"/>
    <s v="Yes"/>
    <n v="1659.76"/>
    <x v="0"/>
    <x v="0"/>
    <n v="20"/>
    <x v="1"/>
    <x v="5"/>
    <x v="4"/>
    <n v="2014"/>
    <s v="On-Site"/>
    <n v="175"/>
    <x v="2"/>
  </r>
  <r>
    <n v="10294"/>
    <x v="5"/>
    <x v="2"/>
    <x v="4"/>
    <n v="117638"/>
    <d v="2000-01-20T00:00:00"/>
    <n v="37"/>
    <x v="1"/>
    <n v="3"/>
    <s v="No"/>
    <n v="6410.89"/>
    <x v="0"/>
    <x v="0"/>
    <n v="36"/>
    <x v="2"/>
    <x v="2"/>
    <x v="19"/>
    <n v="2014"/>
    <s v="On-Site"/>
    <n v="21"/>
    <x v="7"/>
  </r>
  <r>
    <n v="10295"/>
    <x v="5"/>
    <x v="2"/>
    <x v="5"/>
    <n v="48452"/>
    <d v="2001-11-06T00:00:00"/>
    <n v="56"/>
    <x v="1"/>
    <n v="9"/>
    <s v="No"/>
    <n v="8886.16"/>
    <x v="0"/>
    <x v="2"/>
    <n v="7"/>
    <x v="0"/>
    <x v="5"/>
    <x v="11"/>
    <n v="2013"/>
    <s v="Hybrid"/>
    <n v="73"/>
    <x v="39"/>
  </r>
  <r>
    <n v="10296"/>
    <x v="1"/>
    <x v="3"/>
    <x v="2"/>
    <n v="94075"/>
    <d v="2012-04-04T00:00:00"/>
    <n v="64"/>
    <x v="0"/>
    <n v="8"/>
    <s v="Yes"/>
    <n v="1460.66"/>
    <x v="2"/>
    <x v="1"/>
    <n v="22"/>
    <x v="1"/>
    <x v="0"/>
    <x v="19"/>
    <n v="2018"/>
    <s v="Fully Remote"/>
    <n v="176"/>
    <x v="35"/>
  </r>
  <r>
    <n v="10297"/>
    <x v="6"/>
    <x v="2"/>
    <x v="0"/>
    <n v="38120"/>
    <d v="2001-08-31T00:00:00"/>
    <n v="63"/>
    <x v="1"/>
    <n v="6"/>
    <s v="No"/>
    <n v="8572.08"/>
    <x v="1"/>
    <x v="2"/>
    <n v="18"/>
    <x v="2"/>
    <x v="1"/>
    <x v="10"/>
    <n v="2017"/>
    <s v="Hybrid"/>
    <n v="195"/>
    <x v="21"/>
  </r>
  <r>
    <n v="10298"/>
    <x v="0"/>
    <x v="5"/>
    <x v="4"/>
    <n v="94385"/>
    <d v="2017-03-18T00:00:00"/>
    <n v="38"/>
    <x v="0"/>
    <n v="1"/>
    <s v="Yes"/>
    <n v="8086.9"/>
    <x v="1"/>
    <x v="4"/>
    <n v="21"/>
    <x v="2"/>
    <x v="1"/>
    <x v="17"/>
    <n v="2023"/>
    <s v="Fully Remote"/>
    <n v="27"/>
    <x v="15"/>
  </r>
  <r>
    <n v="10299"/>
    <x v="2"/>
    <x v="5"/>
    <x v="3"/>
    <n v="103356"/>
    <d v="2000-03-02T00:00:00"/>
    <n v="25"/>
    <x v="0"/>
    <n v="2"/>
    <s v="Yes"/>
    <n v="5285.87"/>
    <x v="3"/>
    <x v="3"/>
    <n v="22"/>
    <x v="1"/>
    <x v="1"/>
    <x v="18"/>
    <n v="2019"/>
    <s v="Fully Remote"/>
    <n v="107"/>
    <x v="29"/>
  </r>
  <r>
    <n v="10300"/>
    <x v="4"/>
    <x v="4"/>
    <x v="4"/>
    <n v="48170"/>
    <d v="2003-06-19T00:00:00"/>
    <n v="25"/>
    <x v="0"/>
    <n v="4"/>
    <s v="No"/>
    <n v="3434.53"/>
    <x v="2"/>
    <x v="4"/>
    <n v="39"/>
    <x v="2"/>
    <x v="1"/>
    <x v="13"/>
    <n v="2023"/>
    <s v="Hybrid"/>
    <n v="158"/>
    <x v="32"/>
  </r>
  <r>
    <n v="10301"/>
    <x v="7"/>
    <x v="2"/>
    <x v="5"/>
    <n v="46259"/>
    <d v="2006-04-04T00:00:00"/>
    <n v="46"/>
    <x v="1"/>
    <n v="2"/>
    <s v="No"/>
    <n v="4351.66"/>
    <x v="2"/>
    <x v="1"/>
    <n v="12"/>
    <x v="1"/>
    <x v="3"/>
    <x v="2"/>
    <n v="2012"/>
    <s v="On-Site"/>
    <n v="98"/>
    <x v="40"/>
  </r>
  <r>
    <n v="10302"/>
    <x v="7"/>
    <x v="3"/>
    <x v="2"/>
    <n v="52099"/>
    <d v="2003-02-28T00:00:00"/>
    <n v="54"/>
    <x v="0"/>
    <n v="3"/>
    <s v="No"/>
    <n v="9702.25"/>
    <x v="0"/>
    <x v="4"/>
    <n v="11"/>
    <x v="1"/>
    <x v="4"/>
    <x v="2"/>
    <n v="2014"/>
    <s v="Fully Remote"/>
    <n v="180"/>
    <x v="8"/>
  </r>
  <r>
    <n v="10303"/>
    <x v="3"/>
    <x v="2"/>
    <x v="1"/>
    <n v="39649"/>
    <d v="2004-06-16T00:00:00"/>
    <n v="35"/>
    <x v="0"/>
    <n v="8"/>
    <s v="No"/>
    <n v="2416.13"/>
    <x v="2"/>
    <x v="1"/>
    <n v="12"/>
    <x v="2"/>
    <x v="5"/>
    <x v="0"/>
    <n v="2015"/>
    <s v="On-Site"/>
    <n v="179"/>
    <x v="13"/>
  </r>
  <r>
    <n v="10304"/>
    <x v="6"/>
    <x v="0"/>
    <x v="3"/>
    <n v="89258"/>
    <d v="2004-06-14T00:00:00"/>
    <n v="45"/>
    <x v="0"/>
    <n v="9"/>
    <s v="No"/>
    <n v="6006.24"/>
    <x v="2"/>
    <x v="3"/>
    <n v="26"/>
    <x v="1"/>
    <x v="2"/>
    <x v="8"/>
    <n v="2014"/>
    <s v="Hybrid"/>
    <n v="50"/>
    <x v="2"/>
  </r>
  <r>
    <n v="10305"/>
    <x v="5"/>
    <x v="0"/>
    <x v="2"/>
    <n v="71037"/>
    <d v="2010-03-05T00:00:00"/>
    <n v="32"/>
    <x v="0"/>
    <n v="6"/>
    <s v="Yes"/>
    <n v="1290.79"/>
    <x v="1"/>
    <x v="3"/>
    <n v="30"/>
    <x v="1"/>
    <x v="0"/>
    <x v="2"/>
    <n v="2017"/>
    <s v="Fully Remote"/>
    <n v="33"/>
    <x v="19"/>
  </r>
  <r>
    <n v="10306"/>
    <x v="2"/>
    <x v="3"/>
    <x v="4"/>
    <n v="41805"/>
    <d v="2014-05-09T00:00:00"/>
    <n v="46"/>
    <x v="0"/>
    <n v="4"/>
    <s v="Yes"/>
    <n v="2569.98"/>
    <x v="2"/>
    <x v="0"/>
    <n v="15"/>
    <x v="0"/>
    <x v="5"/>
    <x v="13"/>
    <n v="2014"/>
    <s v="On-Site"/>
    <n v="38"/>
    <x v="24"/>
  </r>
  <r>
    <n v="10307"/>
    <x v="1"/>
    <x v="4"/>
    <x v="1"/>
    <n v="73147"/>
    <d v="2015-03-22T00:00:00"/>
    <n v="49"/>
    <x v="0"/>
    <n v="2"/>
    <s v="Yes"/>
    <n v="7751.51"/>
    <x v="1"/>
    <x v="4"/>
    <n v="8"/>
    <x v="0"/>
    <x v="3"/>
    <x v="18"/>
    <n v="2017"/>
    <s v="Hybrid"/>
    <n v="14"/>
    <x v="37"/>
  </r>
  <r>
    <n v="10308"/>
    <x v="5"/>
    <x v="4"/>
    <x v="2"/>
    <n v="104280"/>
    <d v="2013-10-01T00:00:00"/>
    <n v="28"/>
    <x v="1"/>
    <n v="7"/>
    <s v="Yes"/>
    <n v="3374.69"/>
    <x v="1"/>
    <x v="0"/>
    <n v="18"/>
    <x v="0"/>
    <x v="3"/>
    <x v="4"/>
    <n v="2019"/>
    <s v="Fully Remote"/>
    <n v="24"/>
    <x v="20"/>
  </r>
  <r>
    <n v="10309"/>
    <x v="4"/>
    <x v="5"/>
    <x v="0"/>
    <n v="76053"/>
    <d v="2017-10-03T00:00:00"/>
    <n v="57"/>
    <x v="0"/>
    <n v="7"/>
    <s v="Yes"/>
    <n v="9864.7800000000007"/>
    <x v="2"/>
    <x v="2"/>
    <n v="10"/>
    <x v="2"/>
    <x v="2"/>
    <x v="18"/>
    <n v="2019"/>
    <s v="Hybrid"/>
    <n v="38"/>
    <x v="6"/>
  </r>
  <r>
    <n v="10310"/>
    <x v="6"/>
    <x v="5"/>
    <x v="3"/>
    <n v="106215"/>
    <d v="2003-12-13T00:00:00"/>
    <n v="31"/>
    <x v="0"/>
    <n v="9"/>
    <s v="No"/>
    <n v="5257.76"/>
    <x v="1"/>
    <x v="2"/>
    <n v="8"/>
    <x v="2"/>
    <x v="5"/>
    <x v="18"/>
    <n v="2023"/>
    <s v="On-Site"/>
    <n v="105"/>
    <x v="32"/>
  </r>
  <r>
    <n v="10311"/>
    <x v="4"/>
    <x v="6"/>
    <x v="5"/>
    <n v="40985"/>
    <d v="2004-07-11T00:00:00"/>
    <n v="57"/>
    <x v="1"/>
    <n v="5"/>
    <s v="Yes"/>
    <n v="5407.12"/>
    <x v="0"/>
    <x v="2"/>
    <n v="38"/>
    <x v="2"/>
    <x v="1"/>
    <x v="9"/>
    <n v="2012"/>
    <s v="Fully Remote"/>
    <n v="145"/>
    <x v="28"/>
  </r>
  <r>
    <n v="10312"/>
    <x v="0"/>
    <x v="3"/>
    <x v="2"/>
    <n v="42391"/>
    <d v="2006-11-07T00:00:00"/>
    <n v="52"/>
    <x v="0"/>
    <n v="4"/>
    <s v="Yes"/>
    <n v="844.99"/>
    <x v="1"/>
    <x v="2"/>
    <n v="35"/>
    <x v="2"/>
    <x v="5"/>
    <x v="15"/>
    <n v="2014"/>
    <s v="Fully Remote"/>
    <n v="91"/>
    <x v="5"/>
  </r>
  <r>
    <n v="10313"/>
    <x v="1"/>
    <x v="2"/>
    <x v="2"/>
    <n v="34861"/>
    <d v="2008-12-13T00:00:00"/>
    <n v="40"/>
    <x v="1"/>
    <n v="6"/>
    <s v="No"/>
    <n v="9587"/>
    <x v="2"/>
    <x v="2"/>
    <n v="20"/>
    <x v="1"/>
    <x v="5"/>
    <x v="17"/>
    <n v="2013"/>
    <s v="Fully Remote"/>
    <n v="142"/>
    <x v="20"/>
  </r>
  <r>
    <n v="10314"/>
    <x v="0"/>
    <x v="1"/>
    <x v="0"/>
    <n v="93582"/>
    <d v="2000-10-08T00:00:00"/>
    <n v="39"/>
    <x v="1"/>
    <n v="2"/>
    <s v="No"/>
    <n v="2155.2199999999998"/>
    <x v="0"/>
    <x v="4"/>
    <n v="12"/>
    <x v="1"/>
    <x v="3"/>
    <x v="16"/>
    <n v="2022"/>
    <s v="Hybrid"/>
    <n v="49"/>
    <x v="36"/>
  </r>
  <r>
    <n v="10315"/>
    <x v="3"/>
    <x v="3"/>
    <x v="4"/>
    <n v="81928"/>
    <d v="2013-08-21T00:00:00"/>
    <n v="27"/>
    <x v="0"/>
    <n v="2"/>
    <s v="No"/>
    <n v="5614.24"/>
    <x v="0"/>
    <x v="0"/>
    <n v="3"/>
    <x v="0"/>
    <x v="5"/>
    <x v="13"/>
    <n v="2020"/>
    <s v="Hybrid"/>
    <n v="132"/>
    <x v="31"/>
  </r>
  <r>
    <n v="10316"/>
    <x v="4"/>
    <x v="6"/>
    <x v="3"/>
    <n v="64364"/>
    <d v="2002-10-21T00:00:00"/>
    <n v="49"/>
    <x v="0"/>
    <n v="9"/>
    <s v="No"/>
    <n v="4258.91"/>
    <x v="2"/>
    <x v="0"/>
    <n v="20"/>
    <x v="1"/>
    <x v="1"/>
    <x v="12"/>
    <n v="2015"/>
    <s v="Hybrid"/>
    <n v="93"/>
    <x v="31"/>
  </r>
  <r>
    <n v="10317"/>
    <x v="3"/>
    <x v="5"/>
    <x v="3"/>
    <n v="112399"/>
    <d v="2013-03-11T00:00:00"/>
    <n v="28"/>
    <x v="1"/>
    <n v="7"/>
    <s v="Yes"/>
    <n v="4448.05"/>
    <x v="3"/>
    <x v="1"/>
    <n v="12"/>
    <x v="2"/>
    <x v="5"/>
    <x v="10"/>
    <n v="2012"/>
    <s v="Hybrid"/>
    <n v="86"/>
    <x v="33"/>
  </r>
  <r>
    <n v="10318"/>
    <x v="7"/>
    <x v="3"/>
    <x v="5"/>
    <n v="72923"/>
    <d v="2016-02-20T00:00:00"/>
    <n v="59"/>
    <x v="1"/>
    <n v="7"/>
    <s v="No"/>
    <n v="6611.35"/>
    <x v="1"/>
    <x v="2"/>
    <n v="24"/>
    <x v="1"/>
    <x v="5"/>
    <x v="14"/>
    <n v="2021"/>
    <s v="On-Site"/>
    <n v="123"/>
    <x v="16"/>
  </r>
  <r>
    <n v="10319"/>
    <x v="0"/>
    <x v="3"/>
    <x v="2"/>
    <n v="37919"/>
    <d v="2009-04-26T00:00:00"/>
    <n v="33"/>
    <x v="1"/>
    <n v="5"/>
    <s v="Yes"/>
    <n v="6789.84"/>
    <x v="1"/>
    <x v="3"/>
    <n v="16"/>
    <x v="0"/>
    <x v="5"/>
    <x v="9"/>
    <n v="2019"/>
    <s v="Hybrid"/>
    <n v="96"/>
    <x v="19"/>
  </r>
  <r>
    <n v="10320"/>
    <x v="6"/>
    <x v="5"/>
    <x v="1"/>
    <n v="85896"/>
    <d v="2003-05-20T00:00:00"/>
    <n v="62"/>
    <x v="1"/>
    <n v="7"/>
    <s v="No"/>
    <n v="1965.74"/>
    <x v="3"/>
    <x v="1"/>
    <n v="10"/>
    <x v="2"/>
    <x v="1"/>
    <x v="16"/>
    <n v="2013"/>
    <s v="Hybrid"/>
    <n v="140"/>
    <x v="25"/>
  </r>
  <r>
    <n v="10321"/>
    <x v="4"/>
    <x v="6"/>
    <x v="2"/>
    <n v="115818"/>
    <d v="2011-06-14T00:00:00"/>
    <n v="55"/>
    <x v="0"/>
    <n v="9"/>
    <s v="No"/>
    <n v="5246.07"/>
    <x v="0"/>
    <x v="1"/>
    <n v="19"/>
    <x v="1"/>
    <x v="1"/>
    <x v="7"/>
    <n v="2020"/>
    <s v="Hybrid"/>
    <n v="9"/>
    <x v="22"/>
  </r>
  <r>
    <n v="10322"/>
    <x v="2"/>
    <x v="5"/>
    <x v="5"/>
    <n v="77396"/>
    <d v="2013-01-12T00:00:00"/>
    <n v="46"/>
    <x v="1"/>
    <n v="5"/>
    <s v="Yes"/>
    <n v="8009.54"/>
    <x v="3"/>
    <x v="4"/>
    <n v="14"/>
    <x v="0"/>
    <x v="2"/>
    <x v="18"/>
    <n v="2013"/>
    <s v="On-Site"/>
    <n v="24"/>
    <x v="38"/>
  </r>
  <r>
    <n v="10323"/>
    <x v="1"/>
    <x v="4"/>
    <x v="2"/>
    <n v="64840"/>
    <d v="2013-07-28T00:00:00"/>
    <n v="38"/>
    <x v="1"/>
    <n v="9"/>
    <s v="Yes"/>
    <n v="4711.22"/>
    <x v="2"/>
    <x v="1"/>
    <n v="14"/>
    <x v="1"/>
    <x v="3"/>
    <x v="12"/>
    <n v="2014"/>
    <s v="On-Site"/>
    <n v="125"/>
    <x v="30"/>
  </r>
  <r>
    <n v="10324"/>
    <x v="5"/>
    <x v="2"/>
    <x v="0"/>
    <n v="72255"/>
    <d v="2015-12-06T00:00:00"/>
    <n v="54"/>
    <x v="1"/>
    <n v="1"/>
    <s v="No"/>
    <n v="2075.14"/>
    <x v="3"/>
    <x v="3"/>
    <n v="22"/>
    <x v="0"/>
    <x v="4"/>
    <x v="0"/>
    <n v="2020"/>
    <s v="Fully Remote"/>
    <n v="176"/>
    <x v="23"/>
  </r>
  <r>
    <n v="10325"/>
    <x v="6"/>
    <x v="5"/>
    <x v="2"/>
    <n v="101160"/>
    <d v="2016-12-26T00:00:00"/>
    <n v="44"/>
    <x v="0"/>
    <n v="3"/>
    <s v="Yes"/>
    <n v="3475.56"/>
    <x v="0"/>
    <x v="0"/>
    <n v="4"/>
    <x v="0"/>
    <x v="2"/>
    <x v="18"/>
    <n v="2015"/>
    <s v="Hybrid"/>
    <n v="62"/>
    <x v="9"/>
  </r>
  <r>
    <n v="10326"/>
    <x v="6"/>
    <x v="6"/>
    <x v="2"/>
    <n v="38176"/>
    <d v="2019-01-01T00:00:00"/>
    <n v="30"/>
    <x v="1"/>
    <n v="7"/>
    <s v="No"/>
    <n v="2517.61"/>
    <x v="2"/>
    <x v="1"/>
    <n v="34"/>
    <x v="0"/>
    <x v="1"/>
    <x v="18"/>
    <n v="2011"/>
    <s v="Fully Remote"/>
    <n v="152"/>
    <x v="11"/>
  </r>
  <r>
    <n v="10327"/>
    <x v="3"/>
    <x v="0"/>
    <x v="1"/>
    <n v="63529"/>
    <d v="2017-01-29T00:00:00"/>
    <n v="27"/>
    <x v="1"/>
    <n v="4"/>
    <s v="No"/>
    <n v="1695.27"/>
    <x v="2"/>
    <x v="4"/>
    <n v="18"/>
    <x v="2"/>
    <x v="5"/>
    <x v="6"/>
    <n v="2019"/>
    <s v="Fully Remote"/>
    <n v="93"/>
    <x v="27"/>
  </r>
  <r>
    <n v="10328"/>
    <x v="0"/>
    <x v="4"/>
    <x v="0"/>
    <n v="86406"/>
    <d v="2002-02-24T00:00:00"/>
    <n v="23"/>
    <x v="0"/>
    <n v="2"/>
    <s v="Yes"/>
    <n v="4087.02"/>
    <x v="2"/>
    <x v="2"/>
    <n v="34"/>
    <x v="1"/>
    <x v="4"/>
    <x v="14"/>
    <n v="2021"/>
    <s v="On-Site"/>
    <n v="104"/>
    <x v="17"/>
  </r>
  <r>
    <n v="10329"/>
    <x v="4"/>
    <x v="0"/>
    <x v="0"/>
    <n v="42941"/>
    <d v="2015-07-13T00:00:00"/>
    <n v="59"/>
    <x v="0"/>
    <n v="3"/>
    <s v="Yes"/>
    <n v="5638.89"/>
    <x v="1"/>
    <x v="3"/>
    <n v="18"/>
    <x v="1"/>
    <x v="0"/>
    <x v="11"/>
    <n v="2017"/>
    <s v="On-Site"/>
    <n v="119"/>
    <x v="1"/>
  </r>
  <r>
    <n v="10330"/>
    <x v="4"/>
    <x v="1"/>
    <x v="2"/>
    <n v="31669"/>
    <d v="2009-01-30T00:00:00"/>
    <n v="30"/>
    <x v="1"/>
    <n v="7"/>
    <s v="Yes"/>
    <n v="1191.1400000000001"/>
    <x v="1"/>
    <x v="2"/>
    <n v="31"/>
    <x v="2"/>
    <x v="4"/>
    <x v="1"/>
    <n v="2013"/>
    <s v="Fully Remote"/>
    <n v="78"/>
    <x v="7"/>
  </r>
  <r>
    <n v="10331"/>
    <x v="7"/>
    <x v="5"/>
    <x v="3"/>
    <n v="115782"/>
    <d v="2004-07-25T00:00:00"/>
    <n v="24"/>
    <x v="1"/>
    <n v="8"/>
    <s v="No"/>
    <n v="6236.32"/>
    <x v="2"/>
    <x v="1"/>
    <n v="20"/>
    <x v="2"/>
    <x v="2"/>
    <x v="15"/>
    <n v="2016"/>
    <s v="Fully Remote"/>
    <n v="172"/>
    <x v="21"/>
  </r>
  <r>
    <n v="10332"/>
    <x v="7"/>
    <x v="4"/>
    <x v="1"/>
    <n v="74859"/>
    <d v="2008-03-27T00:00:00"/>
    <n v="37"/>
    <x v="1"/>
    <n v="9"/>
    <s v="Yes"/>
    <n v="9933.73"/>
    <x v="3"/>
    <x v="0"/>
    <n v="36"/>
    <x v="1"/>
    <x v="3"/>
    <x v="8"/>
    <n v="2016"/>
    <s v="Hybrid"/>
    <n v="20"/>
    <x v="10"/>
  </r>
  <r>
    <n v="10333"/>
    <x v="1"/>
    <x v="2"/>
    <x v="2"/>
    <n v="85786"/>
    <d v="2017-08-19T00:00:00"/>
    <n v="46"/>
    <x v="0"/>
    <n v="6"/>
    <s v="Yes"/>
    <n v="9659.19"/>
    <x v="1"/>
    <x v="4"/>
    <n v="10"/>
    <x v="2"/>
    <x v="2"/>
    <x v="0"/>
    <n v="2021"/>
    <s v="On-Site"/>
    <n v="8"/>
    <x v="30"/>
  </r>
  <r>
    <n v="10334"/>
    <x v="3"/>
    <x v="5"/>
    <x v="2"/>
    <n v="81083"/>
    <d v="2008-09-29T00:00:00"/>
    <n v="45"/>
    <x v="0"/>
    <n v="9"/>
    <s v="No"/>
    <n v="8377.15"/>
    <x v="0"/>
    <x v="3"/>
    <n v="3"/>
    <x v="2"/>
    <x v="3"/>
    <x v="3"/>
    <n v="2023"/>
    <s v="On-Site"/>
    <n v="14"/>
    <x v="30"/>
  </r>
  <r>
    <n v="10335"/>
    <x v="6"/>
    <x v="2"/>
    <x v="5"/>
    <n v="70076"/>
    <d v="2013-02-10T00:00:00"/>
    <n v="50"/>
    <x v="1"/>
    <n v="4"/>
    <s v="Yes"/>
    <n v="3030.24"/>
    <x v="1"/>
    <x v="0"/>
    <n v="21"/>
    <x v="1"/>
    <x v="3"/>
    <x v="0"/>
    <n v="2022"/>
    <s v="Fully Remote"/>
    <n v="183"/>
    <x v="1"/>
  </r>
  <r>
    <n v="10336"/>
    <x v="4"/>
    <x v="3"/>
    <x v="5"/>
    <n v="50323"/>
    <d v="2010-05-03T00:00:00"/>
    <n v="61"/>
    <x v="1"/>
    <n v="5"/>
    <s v="Yes"/>
    <n v="712.87"/>
    <x v="3"/>
    <x v="3"/>
    <n v="36"/>
    <x v="0"/>
    <x v="1"/>
    <x v="17"/>
    <n v="2019"/>
    <s v="On-Site"/>
    <n v="52"/>
    <x v="7"/>
  </r>
  <r>
    <n v="10337"/>
    <x v="2"/>
    <x v="0"/>
    <x v="3"/>
    <n v="36021"/>
    <d v="2006-09-12T00:00:00"/>
    <n v="47"/>
    <x v="1"/>
    <n v="1"/>
    <s v="Yes"/>
    <n v="8418.65"/>
    <x v="1"/>
    <x v="4"/>
    <n v="10"/>
    <x v="2"/>
    <x v="3"/>
    <x v="11"/>
    <n v="2020"/>
    <s v="Fully Remote"/>
    <n v="24"/>
    <x v="5"/>
  </r>
  <r>
    <n v="10338"/>
    <x v="3"/>
    <x v="4"/>
    <x v="1"/>
    <n v="69807"/>
    <d v="2010-05-18T00:00:00"/>
    <n v="59"/>
    <x v="0"/>
    <n v="9"/>
    <s v="Yes"/>
    <n v="1029.3399999999999"/>
    <x v="3"/>
    <x v="4"/>
    <n v="7"/>
    <x v="1"/>
    <x v="0"/>
    <x v="11"/>
    <n v="2020"/>
    <s v="Fully Remote"/>
    <n v="36"/>
    <x v="34"/>
  </r>
  <r>
    <n v="10339"/>
    <x v="1"/>
    <x v="2"/>
    <x v="4"/>
    <n v="80355"/>
    <d v="2019-05-30T00:00:00"/>
    <n v="56"/>
    <x v="1"/>
    <n v="9"/>
    <s v="No"/>
    <n v="2453.4699999999998"/>
    <x v="3"/>
    <x v="1"/>
    <n v="22"/>
    <x v="1"/>
    <x v="4"/>
    <x v="13"/>
    <n v="2011"/>
    <s v="On-Site"/>
    <n v="198"/>
    <x v="31"/>
  </r>
  <r>
    <n v="10340"/>
    <x v="1"/>
    <x v="6"/>
    <x v="5"/>
    <n v="74732"/>
    <d v="2014-08-25T00:00:00"/>
    <n v="44"/>
    <x v="1"/>
    <n v="9"/>
    <s v="Yes"/>
    <n v="5672.31"/>
    <x v="1"/>
    <x v="3"/>
    <n v="23"/>
    <x v="1"/>
    <x v="2"/>
    <x v="7"/>
    <n v="2023"/>
    <s v="Hybrid"/>
    <n v="64"/>
    <x v="25"/>
  </r>
  <r>
    <n v="10341"/>
    <x v="3"/>
    <x v="2"/>
    <x v="4"/>
    <n v="38711"/>
    <d v="2001-06-17T00:00:00"/>
    <n v="25"/>
    <x v="0"/>
    <n v="3"/>
    <s v="No"/>
    <n v="2194.59"/>
    <x v="3"/>
    <x v="1"/>
    <n v="12"/>
    <x v="2"/>
    <x v="2"/>
    <x v="9"/>
    <n v="2016"/>
    <s v="On-Site"/>
    <n v="15"/>
    <x v="17"/>
  </r>
  <r>
    <n v="10342"/>
    <x v="1"/>
    <x v="6"/>
    <x v="0"/>
    <n v="93079"/>
    <d v="2001-02-05T00:00:00"/>
    <n v="63"/>
    <x v="1"/>
    <n v="8"/>
    <s v="No"/>
    <n v="8420.99"/>
    <x v="3"/>
    <x v="3"/>
    <n v="39"/>
    <x v="0"/>
    <x v="3"/>
    <x v="3"/>
    <n v="2021"/>
    <s v="Fully Remote"/>
    <n v="24"/>
    <x v="25"/>
  </r>
  <r>
    <n v="10343"/>
    <x v="3"/>
    <x v="5"/>
    <x v="5"/>
    <n v="37904"/>
    <d v="2010-01-11T00:00:00"/>
    <n v="35"/>
    <x v="0"/>
    <n v="3"/>
    <s v="Yes"/>
    <n v="7883.02"/>
    <x v="0"/>
    <x v="3"/>
    <n v="13"/>
    <x v="0"/>
    <x v="1"/>
    <x v="15"/>
    <n v="2010"/>
    <s v="Fully Remote"/>
    <n v="27"/>
    <x v="16"/>
  </r>
  <r>
    <n v="10344"/>
    <x v="5"/>
    <x v="4"/>
    <x v="5"/>
    <n v="94033"/>
    <d v="2000-05-09T00:00:00"/>
    <n v="60"/>
    <x v="0"/>
    <n v="6"/>
    <s v="No"/>
    <n v="7679.81"/>
    <x v="2"/>
    <x v="2"/>
    <n v="13"/>
    <x v="1"/>
    <x v="0"/>
    <x v="5"/>
    <n v="2021"/>
    <s v="Hybrid"/>
    <n v="131"/>
    <x v="31"/>
  </r>
  <r>
    <n v="10345"/>
    <x v="3"/>
    <x v="2"/>
    <x v="1"/>
    <n v="116478"/>
    <d v="2006-05-28T00:00:00"/>
    <n v="28"/>
    <x v="1"/>
    <n v="5"/>
    <s v="Yes"/>
    <n v="8253.2099999999991"/>
    <x v="2"/>
    <x v="1"/>
    <n v="33"/>
    <x v="2"/>
    <x v="0"/>
    <x v="0"/>
    <n v="2023"/>
    <s v="Fully Remote"/>
    <n v="81"/>
    <x v="34"/>
  </r>
  <r>
    <n v="10346"/>
    <x v="0"/>
    <x v="1"/>
    <x v="3"/>
    <n v="119787"/>
    <d v="2011-12-20T00:00:00"/>
    <n v="29"/>
    <x v="0"/>
    <n v="8"/>
    <s v="No"/>
    <n v="2587.17"/>
    <x v="1"/>
    <x v="3"/>
    <n v="31"/>
    <x v="2"/>
    <x v="5"/>
    <x v="3"/>
    <n v="2011"/>
    <s v="Hybrid"/>
    <n v="39"/>
    <x v="20"/>
  </r>
  <r>
    <n v="10347"/>
    <x v="3"/>
    <x v="2"/>
    <x v="4"/>
    <n v="85096"/>
    <d v="2008-02-07T00:00:00"/>
    <n v="63"/>
    <x v="0"/>
    <n v="3"/>
    <s v="Yes"/>
    <n v="7424.48"/>
    <x v="3"/>
    <x v="3"/>
    <n v="28"/>
    <x v="0"/>
    <x v="0"/>
    <x v="12"/>
    <n v="2014"/>
    <s v="On-Site"/>
    <n v="149"/>
    <x v="24"/>
  </r>
  <r>
    <n v="10348"/>
    <x v="1"/>
    <x v="1"/>
    <x v="5"/>
    <n v="33093"/>
    <d v="2005-02-01T00:00:00"/>
    <n v="40"/>
    <x v="1"/>
    <n v="1"/>
    <s v="No"/>
    <n v="3875.17"/>
    <x v="1"/>
    <x v="4"/>
    <n v="19"/>
    <x v="0"/>
    <x v="3"/>
    <x v="19"/>
    <n v="2017"/>
    <s v="Hybrid"/>
    <n v="14"/>
    <x v="35"/>
  </r>
  <r>
    <n v="10349"/>
    <x v="4"/>
    <x v="4"/>
    <x v="5"/>
    <n v="54918"/>
    <d v="2008-02-21T00:00:00"/>
    <n v="23"/>
    <x v="0"/>
    <n v="9"/>
    <s v="No"/>
    <n v="6835.03"/>
    <x v="1"/>
    <x v="2"/>
    <n v="21"/>
    <x v="2"/>
    <x v="3"/>
    <x v="5"/>
    <n v="2021"/>
    <s v="Fully Remote"/>
    <n v="42"/>
    <x v="2"/>
  </r>
  <r>
    <n v="10350"/>
    <x v="0"/>
    <x v="2"/>
    <x v="1"/>
    <n v="102743"/>
    <d v="2011-05-13T00:00:00"/>
    <n v="22"/>
    <x v="0"/>
    <n v="9"/>
    <s v="No"/>
    <n v="1659.21"/>
    <x v="2"/>
    <x v="4"/>
    <n v="32"/>
    <x v="0"/>
    <x v="4"/>
    <x v="2"/>
    <n v="2016"/>
    <s v="Fully Remote"/>
    <n v="87"/>
    <x v="12"/>
  </r>
  <r>
    <n v="10351"/>
    <x v="1"/>
    <x v="6"/>
    <x v="1"/>
    <n v="92636"/>
    <d v="2009-12-28T00:00:00"/>
    <n v="63"/>
    <x v="1"/>
    <n v="3"/>
    <s v="No"/>
    <n v="7203.07"/>
    <x v="3"/>
    <x v="1"/>
    <n v="26"/>
    <x v="1"/>
    <x v="3"/>
    <x v="10"/>
    <n v="2012"/>
    <s v="Hybrid"/>
    <n v="36"/>
    <x v="21"/>
  </r>
  <r>
    <n v="10352"/>
    <x v="7"/>
    <x v="2"/>
    <x v="3"/>
    <n v="88806"/>
    <d v="2007-08-18T00:00:00"/>
    <n v="59"/>
    <x v="1"/>
    <n v="2"/>
    <s v="No"/>
    <n v="9735.02"/>
    <x v="1"/>
    <x v="1"/>
    <n v="13"/>
    <x v="0"/>
    <x v="4"/>
    <x v="19"/>
    <n v="2022"/>
    <s v="On-Site"/>
    <n v="58"/>
    <x v="12"/>
  </r>
  <r>
    <n v="10353"/>
    <x v="7"/>
    <x v="0"/>
    <x v="4"/>
    <n v="39394"/>
    <d v="2008-06-24T00:00:00"/>
    <n v="34"/>
    <x v="1"/>
    <n v="4"/>
    <s v="No"/>
    <n v="914.2"/>
    <x v="1"/>
    <x v="3"/>
    <n v="29"/>
    <x v="2"/>
    <x v="0"/>
    <x v="2"/>
    <n v="2019"/>
    <s v="Hybrid"/>
    <n v="61"/>
    <x v="7"/>
  </r>
  <r>
    <n v="10354"/>
    <x v="4"/>
    <x v="5"/>
    <x v="0"/>
    <n v="43280"/>
    <d v="2009-08-13T00:00:00"/>
    <n v="63"/>
    <x v="1"/>
    <n v="8"/>
    <s v="Yes"/>
    <n v="1391.37"/>
    <x v="2"/>
    <x v="0"/>
    <n v="7"/>
    <x v="1"/>
    <x v="5"/>
    <x v="7"/>
    <n v="2018"/>
    <s v="Fully Remote"/>
    <n v="111"/>
    <x v="28"/>
  </r>
  <r>
    <n v="10355"/>
    <x v="4"/>
    <x v="3"/>
    <x v="3"/>
    <n v="66303"/>
    <d v="2013-04-22T00:00:00"/>
    <n v="45"/>
    <x v="1"/>
    <n v="6"/>
    <s v="No"/>
    <n v="1674.55"/>
    <x v="2"/>
    <x v="4"/>
    <n v="26"/>
    <x v="2"/>
    <x v="1"/>
    <x v="18"/>
    <n v="2021"/>
    <s v="On-Site"/>
    <n v="29"/>
    <x v="19"/>
  </r>
  <r>
    <n v="10356"/>
    <x v="0"/>
    <x v="6"/>
    <x v="0"/>
    <n v="57453"/>
    <d v="2003-05-05T00:00:00"/>
    <n v="53"/>
    <x v="0"/>
    <n v="1"/>
    <s v="Yes"/>
    <n v="4590.3599999999997"/>
    <x v="2"/>
    <x v="1"/>
    <n v="6"/>
    <x v="0"/>
    <x v="2"/>
    <x v="16"/>
    <n v="2022"/>
    <s v="Hybrid"/>
    <n v="146"/>
    <x v="40"/>
  </r>
  <r>
    <n v="10357"/>
    <x v="5"/>
    <x v="0"/>
    <x v="2"/>
    <n v="90695"/>
    <d v="2001-10-03T00:00:00"/>
    <n v="51"/>
    <x v="0"/>
    <n v="8"/>
    <s v="No"/>
    <n v="3262.41"/>
    <x v="1"/>
    <x v="3"/>
    <n v="32"/>
    <x v="0"/>
    <x v="3"/>
    <x v="15"/>
    <n v="2014"/>
    <s v="Hybrid"/>
    <n v="49"/>
    <x v="38"/>
  </r>
  <r>
    <n v="10358"/>
    <x v="4"/>
    <x v="1"/>
    <x v="5"/>
    <n v="98449"/>
    <d v="2009-01-27T00:00:00"/>
    <n v="27"/>
    <x v="0"/>
    <n v="5"/>
    <s v="Yes"/>
    <n v="8165.74"/>
    <x v="3"/>
    <x v="3"/>
    <n v="36"/>
    <x v="1"/>
    <x v="0"/>
    <x v="0"/>
    <n v="2012"/>
    <s v="Hybrid"/>
    <n v="176"/>
    <x v="29"/>
  </r>
  <r>
    <n v="10359"/>
    <x v="7"/>
    <x v="5"/>
    <x v="4"/>
    <n v="55765"/>
    <d v="2016-04-09T00:00:00"/>
    <n v="59"/>
    <x v="0"/>
    <n v="6"/>
    <s v="No"/>
    <n v="5000.9799999999996"/>
    <x v="2"/>
    <x v="4"/>
    <n v="23"/>
    <x v="1"/>
    <x v="3"/>
    <x v="13"/>
    <n v="2016"/>
    <s v="Fully Remote"/>
    <n v="122"/>
    <x v="18"/>
  </r>
  <r>
    <n v="10360"/>
    <x v="3"/>
    <x v="4"/>
    <x v="3"/>
    <n v="32340"/>
    <d v="2001-12-24T00:00:00"/>
    <n v="54"/>
    <x v="0"/>
    <n v="5"/>
    <s v="No"/>
    <n v="5103.1000000000004"/>
    <x v="2"/>
    <x v="3"/>
    <n v="11"/>
    <x v="1"/>
    <x v="4"/>
    <x v="12"/>
    <n v="2013"/>
    <s v="Fully Remote"/>
    <n v="42"/>
    <x v="4"/>
  </r>
  <r>
    <n v="10361"/>
    <x v="1"/>
    <x v="6"/>
    <x v="5"/>
    <n v="68057"/>
    <d v="2014-07-15T00:00:00"/>
    <n v="44"/>
    <x v="1"/>
    <n v="5"/>
    <s v="No"/>
    <n v="7311.86"/>
    <x v="3"/>
    <x v="2"/>
    <n v="21"/>
    <x v="1"/>
    <x v="0"/>
    <x v="18"/>
    <n v="2010"/>
    <s v="Fully Remote"/>
    <n v="129"/>
    <x v="31"/>
  </r>
  <r>
    <n v="10362"/>
    <x v="7"/>
    <x v="3"/>
    <x v="4"/>
    <n v="30597"/>
    <d v="2013-05-29T00:00:00"/>
    <n v="31"/>
    <x v="1"/>
    <n v="3"/>
    <s v="No"/>
    <n v="3938.71"/>
    <x v="1"/>
    <x v="0"/>
    <n v="19"/>
    <x v="0"/>
    <x v="2"/>
    <x v="17"/>
    <n v="2014"/>
    <s v="On-Site"/>
    <n v="40"/>
    <x v="33"/>
  </r>
  <r>
    <n v="10363"/>
    <x v="7"/>
    <x v="5"/>
    <x v="4"/>
    <n v="87988"/>
    <d v="2002-01-07T00:00:00"/>
    <n v="36"/>
    <x v="1"/>
    <n v="4"/>
    <s v="No"/>
    <n v="3855.47"/>
    <x v="1"/>
    <x v="4"/>
    <n v="34"/>
    <x v="2"/>
    <x v="4"/>
    <x v="13"/>
    <n v="2020"/>
    <s v="On-Site"/>
    <n v="92"/>
    <x v="21"/>
  </r>
  <r>
    <n v="10364"/>
    <x v="5"/>
    <x v="1"/>
    <x v="4"/>
    <n v="45025"/>
    <d v="2013-04-15T00:00:00"/>
    <n v="44"/>
    <x v="1"/>
    <n v="5"/>
    <s v="No"/>
    <n v="7690.8"/>
    <x v="3"/>
    <x v="4"/>
    <n v="35"/>
    <x v="0"/>
    <x v="0"/>
    <x v="16"/>
    <n v="2017"/>
    <s v="On-Site"/>
    <n v="128"/>
    <x v="22"/>
  </r>
  <r>
    <n v="10365"/>
    <x v="0"/>
    <x v="3"/>
    <x v="5"/>
    <n v="37145"/>
    <d v="2015-07-28T00:00:00"/>
    <n v="57"/>
    <x v="0"/>
    <n v="2"/>
    <s v="No"/>
    <n v="7910.4"/>
    <x v="2"/>
    <x v="4"/>
    <n v="31"/>
    <x v="0"/>
    <x v="1"/>
    <x v="15"/>
    <n v="2021"/>
    <s v="Fully Remote"/>
    <n v="171"/>
    <x v="11"/>
  </r>
  <r>
    <n v="10366"/>
    <x v="0"/>
    <x v="4"/>
    <x v="3"/>
    <n v="85797"/>
    <d v="2018-05-16T00:00:00"/>
    <n v="22"/>
    <x v="1"/>
    <n v="6"/>
    <s v="No"/>
    <n v="636.79"/>
    <x v="0"/>
    <x v="3"/>
    <n v="29"/>
    <x v="1"/>
    <x v="1"/>
    <x v="14"/>
    <n v="2013"/>
    <s v="On-Site"/>
    <n v="171"/>
    <x v="5"/>
  </r>
  <r>
    <n v="10367"/>
    <x v="6"/>
    <x v="4"/>
    <x v="1"/>
    <n v="71723"/>
    <d v="2003-07-23T00:00:00"/>
    <n v="29"/>
    <x v="1"/>
    <n v="2"/>
    <s v="Yes"/>
    <n v="1866.01"/>
    <x v="3"/>
    <x v="3"/>
    <n v="6"/>
    <x v="1"/>
    <x v="2"/>
    <x v="13"/>
    <n v="2016"/>
    <s v="On-Site"/>
    <n v="17"/>
    <x v="10"/>
  </r>
  <r>
    <n v="10368"/>
    <x v="5"/>
    <x v="1"/>
    <x v="5"/>
    <n v="103230"/>
    <d v="2016-04-03T00:00:00"/>
    <n v="24"/>
    <x v="0"/>
    <n v="4"/>
    <s v="Yes"/>
    <n v="2524.4299999999998"/>
    <x v="0"/>
    <x v="4"/>
    <n v="36"/>
    <x v="2"/>
    <x v="1"/>
    <x v="4"/>
    <n v="2017"/>
    <s v="Hybrid"/>
    <n v="198"/>
    <x v="7"/>
  </r>
  <r>
    <n v="10369"/>
    <x v="3"/>
    <x v="6"/>
    <x v="4"/>
    <n v="34830"/>
    <d v="2009-07-12T00:00:00"/>
    <n v="35"/>
    <x v="0"/>
    <n v="1"/>
    <s v="No"/>
    <n v="3840.2"/>
    <x v="1"/>
    <x v="4"/>
    <n v="31"/>
    <x v="2"/>
    <x v="4"/>
    <x v="9"/>
    <n v="2018"/>
    <s v="Fully Remote"/>
    <n v="166"/>
    <x v="2"/>
  </r>
  <r>
    <n v="10370"/>
    <x v="0"/>
    <x v="1"/>
    <x v="3"/>
    <n v="53930"/>
    <d v="2000-12-05T00:00:00"/>
    <n v="38"/>
    <x v="1"/>
    <n v="4"/>
    <s v="Yes"/>
    <n v="3268.76"/>
    <x v="1"/>
    <x v="2"/>
    <n v="32"/>
    <x v="0"/>
    <x v="2"/>
    <x v="1"/>
    <n v="2020"/>
    <s v="Hybrid"/>
    <n v="128"/>
    <x v="14"/>
  </r>
  <r>
    <n v="10371"/>
    <x v="1"/>
    <x v="2"/>
    <x v="2"/>
    <n v="53752"/>
    <d v="2000-06-01T00:00:00"/>
    <n v="55"/>
    <x v="0"/>
    <n v="7"/>
    <s v="No"/>
    <n v="6850.94"/>
    <x v="0"/>
    <x v="1"/>
    <n v="20"/>
    <x v="2"/>
    <x v="0"/>
    <x v="12"/>
    <n v="2018"/>
    <s v="Fully Remote"/>
    <n v="19"/>
    <x v="20"/>
  </r>
  <r>
    <n v="10372"/>
    <x v="4"/>
    <x v="4"/>
    <x v="0"/>
    <n v="106025"/>
    <d v="2015-07-25T00:00:00"/>
    <n v="27"/>
    <x v="0"/>
    <n v="8"/>
    <s v="Yes"/>
    <n v="8367.2800000000007"/>
    <x v="2"/>
    <x v="2"/>
    <n v="22"/>
    <x v="1"/>
    <x v="4"/>
    <x v="18"/>
    <n v="2014"/>
    <s v="Fully Remote"/>
    <n v="62"/>
    <x v="29"/>
  </r>
  <r>
    <n v="10373"/>
    <x v="5"/>
    <x v="5"/>
    <x v="4"/>
    <n v="111304"/>
    <d v="2003-11-22T00:00:00"/>
    <n v="26"/>
    <x v="1"/>
    <n v="2"/>
    <s v="No"/>
    <n v="2324.83"/>
    <x v="0"/>
    <x v="4"/>
    <n v="3"/>
    <x v="1"/>
    <x v="1"/>
    <x v="2"/>
    <n v="2015"/>
    <s v="On-Site"/>
    <n v="116"/>
    <x v="38"/>
  </r>
  <r>
    <n v="10374"/>
    <x v="4"/>
    <x v="2"/>
    <x v="2"/>
    <n v="92040"/>
    <d v="2015-03-26T00:00:00"/>
    <n v="62"/>
    <x v="0"/>
    <n v="3"/>
    <s v="Yes"/>
    <n v="5848.31"/>
    <x v="2"/>
    <x v="3"/>
    <n v="8"/>
    <x v="1"/>
    <x v="5"/>
    <x v="16"/>
    <n v="2016"/>
    <s v="Hybrid"/>
    <n v="63"/>
    <x v="8"/>
  </r>
  <r>
    <n v="10375"/>
    <x v="7"/>
    <x v="0"/>
    <x v="1"/>
    <n v="97696"/>
    <d v="2008-05-09T00:00:00"/>
    <n v="61"/>
    <x v="1"/>
    <n v="1"/>
    <s v="Yes"/>
    <n v="3994.25"/>
    <x v="3"/>
    <x v="3"/>
    <n v="19"/>
    <x v="0"/>
    <x v="3"/>
    <x v="5"/>
    <n v="2019"/>
    <s v="Hybrid"/>
    <n v="198"/>
    <x v="4"/>
  </r>
  <r>
    <n v="10376"/>
    <x v="1"/>
    <x v="3"/>
    <x v="4"/>
    <n v="94648"/>
    <d v="2001-03-02T00:00:00"/>
    <n v="50"/>
    <x v="0"/>
    <n v="7"/>
    <s v="No"/>
    <n v="5304.89"/>
    <x v="1"/>
    <x v="4"/>
    <n v="31"/>
    <x v="2"/>
    <x v="1"/>
    <x v="9"/>
    <n v="2011"/>
    <s v="On-Site"/>
    <n v="56"/>
    <x v="25"/>
  </r>
  <r>
    <n v="10377"/>
    <x v="1"/>
    <x v="2"/>
    <x v="2"/>
    <n v="85030"/>
    <d v="2019-07-26T00:00:00"/>
    <n v="56"/>
    <x v="0"/>
    <n v="4"/>
    <s v="Yes"/>
    <n v="6397.2"/>
    <x v="1"/>
    <x v="1"/>
    <n v="32"/>
    <x v="1"/>
    <x v="5"/>
    <x v="11"/>
    <n v="2018"/>
    <s v="Hybrid"/>
    <n v="73"/>
    <x v="18"/>
  </r>
  <r>
    <n v="10378"/>
    <x v="7"/>
    <x v="3"/>
    <x v="4"/>
    <n v="86815"/>
    <d v="2009-09-28T00:00:00"/>
    <n v="39"/>
    <x v="0"/>
    <n v="8"/>
    <s v="No"/>
    <n v="8989.2000000000007"/>
    <x v="0"/>
    <x v="0"/>
    <n v="15"/>
    <x v="0"/>
    <x v="2"/>
    <x v="3"/>
    <n v="2010"/>
    <s v="Hybrid"/>
    <n v="107"/>
    <x v="29"/>
  </r>
  <r>
    <n v="10379"/>
    <x v="5"/>
    <x v="1"/>
    <x v="5"/>
    <n v="115669"/>
    <d v="2017-05-18T00:00:00"/>
    <n v="61"/>
    <x v="0"/>
    <n v="5"/>
    <s v="No"/>
    <n v="2326.7800000000002"/>
    <x v="3"/>
    <x v="0"/>
    <n v="39"/>
    <x v="0"/>
    <x v="0"/>
    <x v="15"/>
    <n v="2023"/>
    <s v="Fully Remote"/>
    <n v="9"/>
    <x v="25"/>
  </r>
  <r>
    <n v="10380"/>
    <x v="7"/>
    <x v="2"/>
    <x v="3"/>
    <n v="65690"/>
    <d v="2003-02-09T00:00:00"/>
    <n v="51"/>
    <x v="1"/>
    <n v="9"/>
    <s v="Yes"/>
    <n v="1326.56"/>
    <x v="0"/>
    <x v="2"/>
    <n v="31"/>
    <x v="0"/>
    <x v="3"/>
    <x v="17"/>
    <n v="2015"/>
    <s v="Hybrid"/>
    <n v="47"/>
    <x v="0"/>
  </r>
  <r>
    <n v="10381"/>
    <x v="4"/>
    <x v="1"/>
    <x v="2"/>
    <n v="118406"/>
    <d v="2006-06-30T00:00:00"/>
    <n v="36"/>
    <x v="0"/>
    <n v="6"/>
    <s v="No"/>
    <n v="6458.51"/>
    <x v="0"/>
    <x v="1"/>
    <n v="3"/>
    <x v="2"/>
    <x v="0"/>
    <x v="11"/>
    <n v="2015"/>
    <s v="Hybrid"/>
    <n v="12"/>
    <x v="34"/>
  </r>
  <r>
    <n v="10382"/>
    <x v="6"/>
    <x v="0"/>
    <x v="3"/>
    <n v="87923"/>
    <d v="2009-02-11T00:00:00"/>
    <n v="36"/>
    <x v="1"/>
    <n v="2"/>
    <s v="Yes"/>
    <n v="4244.24"/>
    <x v="0"/>
    <x v="0"/>
    <n v="32"/>
    <x v="2"/>
    <x v="2"/>
    <x v="7"/>
    <n v="2023"/>
    <s v="Fully Remote"/>
    <n v="82"/>
    <x v="1"/>
  </r>
  <r>
    <n v="10383"/>
    <x v="1"/>
    <x v="4"/>
    <x v="5"/>
    <n v="66572"/>
    <d v="2002-08-07T00:00:00"/>
    <n v="37"/>
    <x v="1"/>
    <n v="1"/>
    <s v="Yes"/>
    <n v="2047.58"/>
    <x v="2"/>
    <x v="1"/>
    <n v="10"/>
    <x v="2"/>
    <x v="0"/>
    <x v="10"/>
    <n v="2016"/>
    <s v="On-Site"/>
    <n v="97"/>
    <x v="7"/>
  </r>
  <r>
    <n v="10384"/>
    <x v="2"/>
    <x v="0"/>
    <x v="5"/>
    <n v="84030"/>
    <d v="2019-06-04T00:00:00"/>
    <n v="54"/>
    <x v="0"/>
    <n v="1"/>
    <s v="Yes"/>
    <n v="1612.33"/>
    <x v="1"/>
    <x v="3"/>
    <n v="28"/>
    <x v="0"/>
    <x v="4"/>
    <x v="3"/>
    <n v="2011"/>
    <s v="Fully Remote"/>
    <n v="67"/>
    <x v="29"/>
  </r>
  <r>
    <n v="10385"/>
    <x v="2"/>
    <x v="4"/>
    <x v="3"/>
    <n v="97904"/>
    <d v="2003-10-05T00:00:00"/>
    <n v="31"/>
    <x v="0"/>
    <n v="9"/>
    <s v="Yes"/>
    <n v="5809.64"/>
    <x v="1"/>
    <x v="3"/>
    <n v="27"/>
    <x v="0"/>
    <x v="4"/>
    <x v="0"/>
    <n v="2022"/>
    <s v="On-Site"/>
    <n v="167"/>
    <x v="37"/>
  </r>
  <r>
    <n v="10386"/>
    <x v="4"/>
    <x v="1"/>
    <x v="2"/>
    <n v="59203"/>
    <d v="2016-10-09T00:00:00"/>
    <n v="40"/>
    <x v="1"/>
    <n v="1"/>
    <s v="Yes"/>
    <n v="3354.47"/>
    <x v="0"/>
    <x v="1"/>
    <n v="31"/>
    <x v="2"/>
    <x v="1"/>
    <x v="7"/>
    <n v="2015"/>
    <s v="On-Site"/>
    <n v="36"/>
    <x v="16"/>
  </r>
  <r>
    <n v="10387"/>
    <x v="3"/>
    <x v="4"/>
    <x v="3"/>
    <n v="107088"/>
    <d v="2019-05-23T00:00:00"/>
    <n v="58"/>
    <x v="0"/>
    <n v="3"/>
    <s v="Yes"/>
    <n v="9975.5499999999993"/>
    <x v="2"/>
    <x v="4"/>
    <n v="34"/>
    <x v="1"/>
    <x v="1"/>
    <x v="18"/>
    <n v="2015"/>
    <s v="Fully Remote"/>
    <n v="101"/>
    <x v="20"/>
  </r>
  <r>
    <n v="10388"/>
    <x v="0"/>
    <x v="3"/>
    <x v="3"/>
    <n v="35608"/>
    <d v="2002-08-14T00:00:00"/>
    <n v="24"/>
    <x v="0"/>
    <n v="2"/>
    <s v="No"/>
    <n v="4356.0600000000004"/>
    <x v="1"/>
    <x v="0"/>
    <n v="5"/>
    <x v="2"/>
    <x v="1"/>
    <x v="17"/>
    <n v="2018"/>
    <s v="Fully Remote"/>
    <n v="122"/>
    <x v="30"/>
  </r>
  <r>
    <n v="10389"/>
    <x v="7"/>
    <x v="5"/>
    <x v="0"/>
    <n v="75667"/>
    <d v="2004-08-28T00:00:00"/>
    <n v="57"/>
    <x v="1"/>
    <n v="4"/>
    <s v="Yes"/>
    <n v="2516.7199999999998"/>
    <x v="2"/>
    <x v="0"/>
    <n v="11"/>
    <x v="0"/>
    <x v="1"/>
    <x v="12"/>
    <n v="2023"/>
    <s v="On-Site"/>
    <n v="28"/>
    <x v="20"/>
  </r>
  <r>
    <n v="10390"/>
    <x v="7"/>
    <x v="0"/>
    <x v="2"/>
    <n v="85547"/>
    <d v="2008-01-20T00:00:00"/>
    <n v="25"/>
    <x v="0"/>
    <n v="1"/>
    <s v="Yes"/>
    <n v="6474.07"/>
    <x v="3"/>
    <x v="3"/>
    <n v="7"/>
    <x v="0"/>
    <x v="2"/>
    <x v="1"/>
    <n v="2017"/>
    <s v="Fully Remote"/>
    <n v="54"/>
    <x v="3"/>
  </r>
  <r>
    <n v="10391"/>
    <x v="3"/>
    <x v="2"/>
    <x v="0"/>
    <n v="52485"/>
    <d v="2006-10-18T00:00:00"/>
    <n v="32"/>
    <x v="1"/>
    <n v="1"/>
    <s v="Yes"/>
    <n v="2820.42"/>
    <x v="2"/>
    <x v="2"/>
    <n v="8"/>
    <x v="0"/>
    <x v="0"/>
    <x v="16"/>
    <n v="2014"/>
    <s v="Fully Remote"/>
    <n v="122"/>
    <x v="11"/>
  </r>
  <r>
    <n v="10392"/>
    <x v="3"/>
    <x v="0"/>
    <x v="4"/>
    <n v="39862"/>
    <d v="2003-07-27T00:00:00"/>
    <n v="62"/>
    <x v="0"/>
    <n v="4"/>
    <s v="No"/>
    <n v="5193.82"/>
    <x v="2"/>
    <x v="0"/>
    <n v="17"/>
    <x v="0"/>
    <x v="1"/>
    <x v="11"/>
    <n v="2016"/>
    <s v="Hybrid"/>
    <n v="191"/>
    <x v="32"/>
  </r>
  <r>
    <n v="10393"/>
    <x v="4"/>
    <x v="3"/>
    <x v="3"/>
    <n v="105948"/>
    <d v="2001-01-05T00:00:00"/>
    <n v="54"/>
    <x v="0"/>
    <n v="4"/>
    <s v="No"/>
    <n v="5084.47"/>
    <x v="3"/>
    <x v="3"/>
    <n v="39"/>
    <x v="0"/>
    <x v="2"/>
    <x v="13"/>
    <n v="2016"/>
    <s v="Fully Remote"/>
    <n v="197"/>
    <x v="30"/>
  </r>
  <r>
    <n v="10394"/>
    <x v="4"/>
    <x v="4"/>
    <x v="4"/>
    <n v="116890"/>
    <d v="2008-02-28T00:00:00"/>
    <n v="49"/>
    <x v="0"/>
    <n v="7"/>
    <s v="No"/>
    <n v="4808.8"/>
    <x v="1"/>
    <x v="3"/>
    <n v="14"/>
    <x v="0"/>
    <x v="3"/>
    <x v="8"/>
    <n v="2014"/>
    <s v="Fully Remote"/>
    <n v="132"/>
    <x v="38"/>
  </r>
  <r>
    <n v="10395"/>
    <x v="3"/>
    <x v="3"/>
    <x v="2"/>
    <n v="101880"/>
    <d v="2006-04-15T00:00:00"/>
    <n v="53"/>
    <x v="0"/>
    <n v="8"/>
    <s v="Yes"/>
    <n v="8062.81"/>
    <x v="1"/>
    <x v="1"/>
    <n v="24"/>
    <x v="2"/>
    <x v="1"/>
    <x v="17"/>
    <n v="2016"/>
    <s v="Hybrid"/>
    <n v="116"/>
    <x v="18"/>
  </r>
  <r>
    <n v="10396"/>
    <x v="1"/>
    <x v="6"/>
    <x v="3"/>
    <n v="87560"/>
    <d v="2019-04-05T00:00:00"/>
    <n v="37"/>
    <x v="0"/>
    <n v="8"/>
    <s v="Yes"/>
    <n v="2557.8200000000002"/>
    <x v="2"/>
    <x v="1"/>
    <n v="30"/>
    <x v="0"/>
    <x v="0"/>
    <x v="14"/>
    <n v="2012"/>
    <s v="On-Site"/>
    <n v="42"/>
    <x v="29"/>
  </r>
  <r>
    <n v="10397"/>
    <x v="4"/>
    <x v="6"/>
    <x v="4"/>
    <n v="113529"/>
    <d v="2017-04-25T00:00:00"/>
    <n v="30"/>
    <x v="0"/>
    <n v="8"/>
    <s v="Yes"/>
    <n v="9090.92"/>
    <x v="2"/>
    <x v="1"/>
    <n v="15"/>
    <x v="0"/>
    <x v="4"/>
    <x v="12"/>
    <n v="2016"/>
    <s v="On-Site"/>
    <n v="170"/>
    <x v="3"/>
  </r>
  <r>
    <n v="10398"/>
    <x v="6"/>
    <x v="2"/>
    <x v="1"/>
    <n v="58415"/>
    <d v="2013-02-19T00:00:00"/>
    <n v="32"/>
    <x v="1"/>
    <n v="9"/>
    <s v="No"/>
    <n v="8017.73"/>
    <x v="3"/>
    <x v="2"/>
    <n v="4"/>
    <x v="0"/>
    <x v="5"/>
    <x v="3"/>
    <n v="2022"/>
    <s v="Fully Remote"/>
    <n v="153"/>
    <x v="38"/>
  </r>
  <r>
    <n v="10399"/>
    <x v="4"/>
    <x v="3"/>
    <x v="5"/>
    <n v="94523"/>
    <d v="2019-07-22T00:00:00"/>
    <n v="27"/>
    <x v="1"/>
    <n v="1"/>
    <s v="No"/>
    <n v="3664.66"/>
    <x v="3"/>
    <x v="0"/>
    <n v="13"/>
    <x v="0"/>
    <x v="4"/>
    <x v="3"/>
    <n v="2015"/>
    <s v="Fully Remote"/>
    <n v="155"/>
    <x v="30"/>
  </r>
  <r>
    <n v="10400"/>
    <x v="7"/>
    <x v="1"/>
    <x v="3"/>
    <n v="49323"/>
    <d v="2015-10-19T00:00:00"/>
    <n v="48"/>
    <x v="0"/>
    <n v="9"/>
    <s v="No"/>
    <n v="2215.7199999999998"/>
    <x v="1"/>
    <x v="2"/>
    <n v="5"/>
    <x v="0"/>
    <x v="0"/>
    <x v="4"/>
    <n v="2021"/>
    <s v="On-Site"/>
    <n v="178"/>
    <x v="33"/>
  </r>
  <r>
    <n v="10401"/>
    <x v="4"/>
    <x v="2"/>
    <x v="5"/>
    <n v="83214"/>
    <d v="2005-10-26T00:00:00"/>
    <n v="33"/>
    <x v="0"/>
    <n v="8"/>
    <s v="Yes"/>
    <n v="3155.58"/>
    <x v="1"/>
    <x v="2"/>
    <n v="31"/>
    <x v="1"/>
    <x v="0"/>
    <x v="7"/>
    <n v="2015"/>
    <s v="Fully Remote"/>
    <n v="162"/>
    <x v="30"/>
  </r>
  <r>
    <n v="10402"/>
    <x v="1"/>
    <x v="1"/>
    <x v="0"/>
    <n v="47997"/>
    <d v="2008-02-14T00:00:00"/>
    <n v="43"/>
    <x v="1"/>
    <n v="1"/>
    <s v="Yes"/>
    <n v="3660.04"/>
    <x v="3"/>
    <x v="1"/>
    <n v="12"/>
    <x v="2"/>
    <x v="0"/>
    <x v="3"/>
    <n v="2011"/>
    <s v="On-Site"/>
    <n v="172"/>
    <x v="35"/>
  </r>
  <r>
    <n v="10403"/>
    <x v="3"/>
    <x v="2"/>
    <x v="4"/>
    <n v="87003"/>
    <d v="2019-03-30T00:00:00"/>
    <n v="61"/>
    <x v="1"/>
    <n v="7"/>
    <s v="No"/>
    <n v="5790.87"/>
    <x v="2"/>
    <x v="3"/>
    <n v="30"/>
    <x v="2"/>
    <x v="0"/>
    <x v="6"/>
    <n v="2011"/>
    <s v="On-Site"/>
    <n v="86"/>
    <x v="22"/>
  </r>
  <r>
    <n v="10404"/>
    <x v="7"/>
    <x v="6"/>
    <x v="0"/>
    <n v="33679"/>
    <d v="2017-09-27T00:00:00"/>
    <n v="58"/>
    <x v="1"/>
    <n v="9"/>
    <s v="Yes"/>
    <n v="940.5"/>
    <x v="3"/>
    <x v="4"/>
    <n v="10"/>
    <x v="1"/>
    <x v="1"/>
    <x v="0"/>
    <n v="2016"/>
    <s v="Hybrid"/>
    <n v="74"/>
    <x v="22"/>
  </r>
  <r>
    <n v="10405"/>
    <x v="4"/>
    <x v="2"/>
    <x v="3"/>
    <n v="70308"/>
    <d v="2011-05-08T00:00:00"/>
    <n v="42"/>
    <x v="0"/>
    <n v="4"/>
    <s v="No"/>
    <n v="9186.41"/>
    <x v="1"/>
    <x v="3"/>
    <n v="30"/>
    <x v="1"/>
    <x v="3"/>
    <x v="12"/>
    <n v="2010"/>
    <s v="Hybrid"/>
    <n v="73"/>
    <x v="2"/>
  </r>
  <r>
    <n v="10406"/>
    <x v="1"/>
    <x v="6"/>
    <x v="5"/>
    <n v="105024"/>
    <d v="2017-01-19T00:00:00"/>
    <n v="54"/>
    <x v="0"/>
    <n v="9"/>
    <s v="No"/>
    <n v="1437.41"/>
    <x v="2"/>
    <x v="3"/>
    <n v="26"/>
    <x v="0"/>
    <x v="5"/>
    <x v="9"/>
    <n v="2018"/>
    <s v="Fully Remote"/>
    <n v="174"/>
    <x v="5"/>
  </r>
  <r>
    <n v="10407"/>
    <x v="6"/>
    <x v="4"/>
    <x v="5"/>
    <n v="69842"/>
    <d v="2007-07-05T00:00:00"/>
    <n v="38"/>
    <x v="0"/>
    <n v="1"/>
    <s v="No"/>
    <n v="3153.1"/>
    <x v="0"/>
    <x v="3"/>
    <n v="6"/>
    <x v="2"/>
    <x v="1"/>
    <x v="18"/>
    <n v="2012"/>
    <s v="Fully Remote"/>
    <n v="150"/>
    <x v="35"/>
  </r>
  <r>
    <n v="10408"/>
    <x v="4"/>
    <x v="1"/>
    <x v="4"/>
    <n v="95408"/>
    <d v="2016-10-30T00:00:00"/>
    <n v="50"/>
    <x v="1"/>
    <n v="9"/>
    <s v="Yes"/>
    <n v="1538.23"/>
    <x v="0"/>
    <x v="3"/>
    <n v="27"/>
    <x v="2"/>
    <x v="4"/>
    <x v="9"/>
    <n v="2015"/>
    <s v="On-Site"/>
    <n v="191"/>
    <x v="34"/>
  </r>
  <r>
    <n v="10409"/>
    <x v="1"/>
    <x v="3"/>
    <x v="3"/>
    <n v="99532"/>
    <d v="2013-12-06T00:00:00"/>
    <n v="61"/>
    <x v="1"/>
    <n v="6"/>
    <s v="No"/>
    <n v="2938.39"/>
    <x v="3"/>
    <x v="2"/>
    <n v="20"/>
    <x v="1"/>
    <x v="3"/>
    <x v="19"/>
    <n v="2012"/>
    <s v="Fully Remote"/>
    <n v="17"/>
    <x v="31"/>
  </r>
  <r>
    <n v="10410"/>
    <x v="6"/>
    <x v="2"/>
    <x v="1"/>
    <n v="83938"/>
    <d v="2011-01-04T00:00:00"/>
    <n v="31"/>
    <x v="0"/>
    <n v="4"/>
    <s v="No"/>
    <n v="8457.9"/>
    <x v="1"/>
    <x v="1"/>
    <n v="28"/>
    <x v="2"/>
    <x v="2"/>
    <x v="4"/>
    <n v="2021"/>
    <s v="Hybrid"/>
    <n v="123"/>
    <x v="37"/>
  </r>
  <r>
    <n v="10411"/>
    <x v="3"/>
    <x v="6"/>
    <x v="1"/>
    <n v="35695"/>
    <d v="2006-06-22T00:00:00"/>
    <n v="39"/>
    <x v="1"/>
    <n v="5"/>
    <s v="Yes"/>
    <n v="6344.17"/>
    <x v="2"/>
    <x v="1"/>
    <n v="20"/>
    <x v="2"/>
    <x v="0"/>
    <x v="17"/>
    <n v="2018"/>
    <s v="On-Site"/>
    <n v="106"/>
    <x v="33"/>
  </r>
  <r>
    <n v="10412"/>
    <x v="4"/>
    <x v="0"/>
    <x v="4"/>
    <n v="88499"/>
    <d v="2014-04-27T00:00:00"/>
    <n v="34"/>
    <x v="0"/>
    <n v="7"/>
    <s v="Yes"/>
    <n v="2659.57"/>
    <x v="0"/>
    <x v="3"/>
    <n v="12"/>
    <x v="0"/>
    <x v="4"/>
    <x v="16"/>
    <n v="2019"/>
    <s v="On-Site"/>
    <n v="25"/>
    <x v="4"/>
  </r>
  <r>
    <n v="10413"/>
    <x v="6"/>
    <x v="1"/>
    <x v="3"/>
    <n v="53382"/>
    <d v="2014-12-06T00:00:00"/>
    <n v="48"/>
    <x v="0"/>
    <n v="4"/>
    <s v="No"/>
    <n v="8781.7099999999991"/>
    <x v="2"/>
    <x v="4"/>
    <n v="21"/>
    <x v="0"/>
    <x v="2"/>
    <x v="10"/>
    <n v="2021"/>
    <s v="Fully Remote"/>
    <n v="81"/>
    <x v="30"/>
  </r>
  <r>
    <n v="10414"/>
    <x v="7"/>
    <x v="2"/>
    <x v="4"/>
    <n v="44235"/>
    <d v="2016-05-06T00:00:00"/>
    <n v="31"/>
    <x v="1"/>
    <n v="8"/>
    <s v="Yes"/>
    <n v="8106.76"/>
    <x v="2"/>
    <x v="0"/>
    <n v="30"/>
    <x v="0"/>
    <x v="5"/>
    <x v="8"/>
    <n v="2016"/>
    <s v="On-Site"/>
    <n v="86"/>
    <x v="28"/>
  </r>
  <r>
    <n v="10415"/>
    <x v="3"/>
    <x v="5"/>
    <x v="3"/>
    <n v="92223"/>
    <d v="2002-02-01T00:00:00"/>
    <n v="53"/>
    <x v="0"/>
    <n v="3"/>
    <s v="Yes"/>
    <n v="7659.67"/>
    <x v="2"/>
    <x v="3"/>
    <n v="10"/>
    <x v="2"/>
    <x v="4"/>
    <x v="19"/>
    <n v="2010"/>
    <s v="On-Site"/>
    <n v="81"/>
    <x v="20"/>
  </r>
  <r>
    <n v="10416"/>
    <x v="7"/>
    <x v="4"/>
    <x v="0"/>
    <n v="32366"/>
    <d v="2018-06-30T00:00:00"/>
    <n v="62"/>
    <x v="1"/>
    <n v="2"/>
    <s v="Yes"/>
    <n v="8552.51"/>
    <x v="2"/>
    <x v="3"/>
    <n v="5"/>
    <x v="2"/>
    <x v="3"/>
    <x v="7"/>
    <n v="2013"/>
    <s v="On-Site"/>
    <n v="193"/>
    <x v="37"/>
  </r>
  <r>
    <n v="10417"/>
    <x v="2"/>
    <x v="4"/>
    <x v="4"/>
    <n v="57467"/>
    <d v="2011-02-14T00:00:00"/>
    <n v="24"/>
    <x v="1"/>
    <n v="1"/>
    <s v="Yes"/>
    <n v="6386.67"/>
    <x v="3"/>
    <x v="4"/>
    <n v="37"/>
    <x v="0"/>
    <x v="1"/>
    <x v="3"/>
    <n v="2023"/>
    <s v="Hybrid"/>
    <n v="103"/>
    <x v="39"/>
  </r>
  <r>
    <n v="10418"/>
    <x v="5"/>
    <x v="0"/>
    <x v="3"/>
    <n v="89316"/>
    <d v="2002-10-01T00:00:00"/>
    <n v="43"/>
    <x v="0"/>
    <n v="6"/>
    <s v="No"/>
    <n v="5263.65"/>
    <x v="2"/>
    <x v="2"/>
    <n v="8"/>
    <x v="0"/>
    <x v="2"/>
    <x v="0"/>
    <n v="2014"/>
    <s v="On-Site"/>
    <n v="170"/>
    <x v="9"/>
  </r>
  <r>
    <n v="10419"/>
    <x v="4"/>
    <x v="6"/>
    <x v="1"/>
    <n v="36764"/>
    <d v="2019-04-28T00:00:00"/>
    <n v="48"/>
    <x v="0"/>
    <n v="2"/>
    <s v="Yes"/>
    <n v="4052.38"/>
    <x v="0"/>
    <x v="3"/>
    <n v="30"/>
    <x v="2"/>
    <x v="4"/>
    <x v="2"/>
    <n v="2016"/>
    <s v="Hybrid"/>
    <n v="172"/>
    <x v="17"/>
  </r>
  <r>
    <n v="10420"/>
    <x v="6"/>
    <x v="2"/>
    <x v="3"/>
    <n v="91836"/>
    <d v="2010-04-13T00:00:00"/>
    <n v="24"/>
    <x v="1"/>
    <n v="8"/>
    <s v="No"/>
    <n v="2625.76"/>
    <x v="0"/>
    <x v="4"/>
    <n v="17"/>
    <x v="2"/>
    <x v="1"/>
    <x v="9"/>
    <n v="2016"/>
    <s v="On-Site"/>
    <n v="159"/>
    <x v="1"/>
  </r>
  <r>
    <n v="10421"/>
    <x v="5"/>
    <x v="1"/>
    <x v="3"/>
    <n v="61923"/>
    <d v="2007-10-17T00:00:00"/>
    <n v="54"/>
    <x v="0"/>
    <n v="4"/>
    <s v="Yes"/>
    <n v="5795.41"/>
    <x v="3"/>
    <x v="2"/>
    <n v="3"/>
    <x v="1"/>
    <x v="1"/>
    <x v="10"/>
    <n v="2014"/>
    <s v="Fully Remote"/>
    <n v="190"/>
    <x v="22"/>
  </r>
  <r>
    <n v="10422"/>
    <x v="5"/>
    <x v="6"/>
    <x v="4"/>
    <n v="46292"/>
    <d v="2017-02-22T00:00:00"/>
    <n v="23"/>
    <x v="1"/>
    <n v="9"/>
    <s v="Yes"/>
    <n v="8950.18"/>
    <x v="0"/>
    <x v="2"/>
    <n v="21"/>
    <x v="0"/>
    <x v="1"/>
    <x v="16"/>
    <n v="2021"/>
    <s v="Fully Remote"/>
    <n v="198"/>
    <x v="6"/>
  </r>
  <r>
    <n v="10423"/>
    <x v="6"/>
    <x v="4"/>
    <x v="0"/>
    <n v="31614"/>
    <d v="2000-12-15T00:00:00"/>
    <n v="32"/>
    <x v="0"/>
    <n v="4"/>
    <s v="No"/>
    <n v="6142.83"/>
    <x v="2"/>
    <x v="3"/>
    <n v="16"/>
    <x v="0"/>
    <x v="3"/>
    <x v="8"/>
    <n v="2010"/>
    <s v="On-Site"/>
    <n v="47"/>
    <x v="21"/>
  </r>
  <r>
    <n v="10424"/>
    <x v="3"/>
    <x v="6"/>
    <x v="0"/>
    <n v="50939"/>
    <d v="2008-02-12T00:00:00"/>
    <n v="31"/>
    <x v="1"/>
    <n v="4"/>
    <s v="Yes"/>
    <n v="9236.27"/>
    <x v="0"/>
    <x v="2"/>
    <n v="32"/>
    <x v="0"/>
    <x v="0"/>
    <x v="6"/>
    <n v="2014"/>
    <s v="Fully Remote"/>
    <n v="126"/>
    <x v="21"/>
  </r>
  <r>
    <n v="10425"/>
    <x v="4"/>
    <x v="4"/>
    <x v="0"/>
    <n v="48800"/>
    <d v="2001-11-17T00:00:00"/>
    <n v="60"/>
    <x v="1"/>
    <n v="8"/>
    <s v="Yes"/>
    <n v="3890.72"/>
    <x v="1"/>
    <x v="3"/>
    <n v="27"/>
    <x v="2"/>
    <x v="4"/>
    <x v="12"/>
    <n v="2014"/>
    <s v="Hybrid"/>
    <n v="128"/>
    <x v="30"/>
  </r>
  <r>
    <n v="10426"/>
    <x v="2"/>
    <x v="6"/>
    <x v="0"/>
    <n v="86440"/>
    <d v="2012-09-11T00:00:00"/>
    <n v="54"/>
    <x v="0"/>
    <n v="8"/>
    <s v="No"/>
    <n v="7103.81"/>
    <x v="2"/>
    <x v="3"/>
    <n v="6"/>
    <x v="2"/>
    <x v="1"/>
    <x v="2"/>
    <n v="2013"/>
    <s v="On-Site"/>
    <n v="24"/>
    <x v="17"/>
  </r>
  <r>
    <n v="10427"/>
    <x v="7"/>
    <x v="0"/>
    <x v="2"/>
    <n v="53246"/>
    <d v="2008-07-23T00:00:00"/>
    <n v="28"/>
    <x v="0"/>
    <n v="5"/>
    <s v="No"/>
    <n v="6662.32"/>
    <x v="3"/>
    <x v="1"/>
    <n v="16"/>
    <x v="1"/>
    <x v="0"/>
    <x v="16"/>
    <n v="2022"/>
    <s v="Hybrid"/>
    <n v="167"/>
    <x v="39"/>
  </r>
  <r>
    <n v="10428"/>
    <x v="1"/>
    <x v="3"/>
    <x v="4"/>
    <n v="82805"/>
    <d v="2012-03-14T00:00:00"/>
    <n v="36"/>
    <x v="1"/>
    <n v="3"/>
    <s v="No"/>
    <n v="6869.12"/>
    <x v="1"/>
    <x v="0"/>
    <n v="3"/>
    <x v="1"/>
    <x v="1"/>
    <x v="13"/>
    <n v="2015"/>
    <s v="On-Site"/>
    <n v="59"/>
    <x v="9"/>
  </r>
  <r>
    <n v="10429"/>
    <x v="7"/>
    <x v="0"/>
    <x v="5"/>
    <n v="79648"/>
    <d v="2007-07-18T00:00:00"/>
    <n v="47"/>
    <x v="1"/>
    <n v="2"/>
    <s v="Yes"/>
    <n v="6627.9"/>
    <x v="0"/>
    <x v="0"/>
    <n v="20"/>
    <x v="0"/>
    <x v="2"/>
    <x v="15"/>
    <n v="2017"/>
    <s v="Hybrid"/>
    <n v="78"/>
    <x v="18"/>
  </r>
  <r>
    <n v="10430"/>
    <x v="1"/>
    <x v="0"/>
    <x v="4"/>
    <n v="86851"/>
    <d v="2009-08-25T00:00:00"/>
    <n v="32"/>
    <x v="1"/>
    <n v="9"/>
    <s v="Yes"/>
    <n v="2605.7199999999998"/>
    <x v="1"/>
    <x v="1"/>
    <n v="7"/>
    <x v="1"/>
    <x v="2"/>
    <x v="11"/>
    <n v="2019"/>
    <s v="Fully Remote"/>
    <n v="76"/>
    <x v="20"/>
  </r>
  <r>
    <n v="10431"/>
    <x v="7"/>
    <x v="3"/>
    <x v="2"/>
    <n v="61688"/>
    <d v="2009-12-03T00:00:00"/>
    <n v="59"/>
    <x v="1"/>
    <n v="9"/>
    <s v="Yes"/>
    <n v="1864.11"/>
    <x v="0"/>
    <x v="3"/>
    <n v="11"/>
    <x v="2"/>
    <x v="2"/>
    <x v="9"/>
    <n v="2014"/>
    <s v="Hybrid"/>
    <n v="172"/>
    <x v="22"/>
  </r>
  <r>
    <n v="10432"/>
    <x v="6"/>
    <x v="3"/>
    <x v="0"/>
    <n v="59764"/>
    <d v="2007-06-25T00:00:00"/>
    <n v="48"/>
    <x v="0"/>
    <n v="5"/>
    <s v="No"/>
    <n v="9796.9699999999993"/>
    <x v="0"/>
    <x v="4"/>
    <n v="29"/>
    <x v="1"/>
    <x v="0"/>
    <x v="12"/>
    <n v="2023"/>
    <s v="Hybrid"/>
    <n v="50"/>
    <x v="26"/>
  </r>
  <r>
    <n v="10433"/>
    <x v="2"/>
    <x v="2"/>
    <x v="2"/>
    <n v="62470"/>
    <d v="2017-09-21T00:00:00"/>
    <n v="60"/>
    <x v="0"/>
    <n v="8"/>
    <s v="Yes"/>
    <n v="930.3"/>
    <x v="0"/>
    <x v="2"/>
    <n v="3"/>
    <x v="1"/>
    <x v="0"/>
    <x v="18"/>
    <n v="2017"/>
    <s v="Fully Remote"/>
    <n v="83"/>
    <x v="6"/>
  </r>
  <r>
    <n v="10434"/>
    <x v="4"/>
    <x v="1"/>
    <x v="1"/>
    <n v="68501"/>
    <d v="2017-06-02T00:00:00"/>
    <n v="28"/>
    <x v="0"/>
    <n v="7"/>
    <s v="No"/>
    <n v="4943.5"/>
    <x v="3"/>
    <x v="1"/>
    <n v="21"/>
    <x v="2"/>
    <x v="1"/>
    <x v="2"/>
    <n v="2021"/>
    <s v="Fully Remote"/>
    <n v="174"/>
    <x v="32"/>
  </r>
  <r>
    <n v="10435"/>
    <x v="1"/>
    <x v="1"/>
    <x v="1"/>
    <n v="87207"/>
    <d v="2017-05-22T00:00:00"/>
    <n v="22"/>
    <x v="1"/>
    <n v="3"/>
    <s v="No"/>
    <n v="4538.26"/>
    <x v="1"/>
    <x v="1"/>
    <n v="32"/>
    <x v="0"/>
    <x v="3"/>
    <x v="4"/>
    <n v="2014"/>
    <s v="On-Site"/>
    <n v="150"/>
    <x v="8"/>
  </r>
  <r>
    <n v="10436"/>
    <x v="4"/>
    <x v="2"/>
    <x v="4"/>
    <n v="92157"/>
    <d v="2004-08-20T00:00:00"/>
    <n v="31"/>
    <x v="0"/>
    <n v="5"/>
    <s v="No"/>
    <n v="3920.18"/>
    <x v="3"/>
    <x v="1"/>
    <n v="30"/>
    <x v="0"/>
    <x v="4"/>
    <x v="12"/>
    <n v="2022"/>
    <s v="On-Site"/>
    <n v="19"/>
    <x v="15"/>
  </r>
  <r>
    <n v="10437"/>
    <x v="4"/>
    <x v="0"/>
    <x v="4"/>
    <n v="33216"/>
    <d v="2007-12-02T00:00:00"/>
    <n v="42"/>
    <x v="1"/>
    <n v="9"/>
    <s v="No"/>
    <n v="7928.85"/>
    <x v="0"/>
    <x v="1"/>
    <n v="39"/>
    <x v="1"/>
    <x v="3"/>
    <x v="8"/>
    <n v="2012"/>
    <s v="Hybrid"/>
    <n v="103"/>
    <x v="23"/>
  </r>
  <r>
    <n v="10438"/>
    <x v="4"/>
    <x v="0"/>
    <x v="5"/>
    <n v="52072"/>
    <d v="2010-06-08T00:00:00"/>
    <n v="36"/>
    <x v="1"/>
    <n v="4"/>
    <s v="No"/>
    <n v="7580.83"/>
    <x v="2"/>
    <x v="0"/>
    <n v="11"/>
    <x v="2"/>
    <x v="0"/>
    <x v="13"/>
    <n v="2017"/>
    <s v="On-Site"/>
    <n v="70"/>
    <x v="3"/>
  </r>
  <r>
    <n v="10439"/>
    <x v="0"/>
    <x v="4"/>
    <x v="5"/>
    <n v="67132"/>
    <d v="2011-06-12T00:00:00"/>
    <n v="51"/>
    <x v="0"/>
    <n v="3"/>
    <s v="Yes"/>
    <n v="9099.64"/>
    <x v="2"/>
    <x v="3"/>
    <n v="17"/>
    <x v="2"/>
    <x v="4"/>
    <x v="2"/>
    <n v="2021"/>
    <s v="Hybrid"/>
    <n v="145"/>
    <x v="6"/>
  </r>
  <r>
    <n v="10440"/>
    <x v="3"/>
    <x v="4"/>
    <x v="1"/>
    <n v="47861"/>
    <d v="2001-11-15T00:00:00"/>
    <n v="51"/>
    <x v="0"/>
    <n v="7"/>
    <s v="No"/>
    <n v="4257.13"/>
    <x v="3"/>
    <x v="1"/>
    <n v="25"/>
    <x v="1"/>
    <x v="2"/>
    <x v="13"/>
    <n v="2013"/>
    <s v="On-Site"/>
    <n v="113"/>
    <x v="24"/>
  </r>
  <r>
    <n v="10441"/>
    <x v="7"/>
    <x v="1"/>
    <x v="0"/>
    <n v="94186"/>
    <d v="2011-11-19T00:00:00"/>
    <n v="29"/>
    <x v="1"/>
    <n v="8"/>
    <s v="No"/>
    <n v="5859.71"/>
    <x v="2"/>
    <x v="1"/>
    <n v="25"/>
    <x v="0"/>
    <x v="3"/>
    <x v="3"/>
    <n v="2023"/>
    <s v="Fully Remote"/>
    <n v="61"/>
    <x v="36"/>
  </r>
  <r>
    <n v="10442"/>
    <x v="4"/>
    <x v="2"/>
    <x v="2"/>
    <n v="34960"/>
    <d v="2007-12-29T00:00:00"/>
    <n v="45"/>
    <x v="1"/>
    <n v="5"/>
    <s v="No"/>
    <n v="8976.92"/>
    <x v="1"/>
    <x v="1"/>
    <n v="9"/>
    <x v="0"/>
    <x v="3"/>
    <x v="15"/>
    <n v="2012"/>
    <s v="Fully Remote"/>
    <n v="141"/>
    <x v="12"/>
  </r>
  <r>
    <n v="10443"/>
    <x v="7"/>
    <x v="5"/>
    <x v="5"/>
    <n v="48781"/>
    <d v="2019-08-15T00:00:00"/>
    <n v="40"/>
    <x v="0"/>
    <n v="8"/>
    <s v="No"/>
    <n v="9941.56"/>
    <x v="2"/>
    <x v="4"/>
    <n v="29"/>
    <x v="0"/>
    <x v="3"/>
    <x v="3"/>
    <n v="2012"/>
    <s v="Fully Remote"/>
    <n v="125"/>
    <x v="30"/>
  </r>
  <r>
    <n v="10444"/>
    <x v="4"/>
    <x v="5"/>
    <x v="3"/>
    <n v="61126"/>
    <d v="2010-04-14T00:00:00"/>
    <n v="24"/>
    <x v="1"/>
    <n v="5"/>
    <s v="Yes"/>
    <n v="9708.2999999999993"/>
    <x v="2"/>
    <x v="4"/>
    <n v="15"/>
    <x v="2"/>
    <x v="0"/>
    <x v="19"/>
    <n v="2015"/>
    <s v="Fully Remote"/>
    <n v="103"/>
    <x v="10"/>
  </r>
  <r>
    <n v="10445"/>
    <x v="1"/>
    <x v="2"/>
    <x v="5"/>
    <n v="52578"/>
    <d v="2014-12-07T00:00:00"/>
    <n v="36"/>
    <x v="0"/>
    <n v="9"/>
    <s v="Yes"/>
    <n v="7319.52"/>
    <x v="0"/>
    <x v="2"/>
    <n v="19"/>
    <x v="2"/>
    <x v="4"/>
    <x v="7"/>
    <n v="2017"/>
    <s v="Hybrid"/>
    <n v="70"/>
    <x v="37"/>
  </r>
  <r>
    <n v="10446"/>
    <x v="3"/>
    <x v="4"/>
    <x v="0"/>
    <n v="47883"/>
    <d v="2008-12-27T00:00:00"/>
    <n v="57"/>
    <x v="0"/>
    <n v="7"/>
    <s v="Yes"/>
    <n v="1860.66"/>
    <x v="1"/>
    <x v="3"/>
    <n v="15"/>
    <x v="2"/>
    <x v="2"/>
    <x v="19"/>
    <n v="2019"/>
    <s v="Fully Remote"/>
    <n v="148"/>
    <x v="0"/>
  </r>
  <r>
    <n v="10447"/>
    <x v="3"/>
    <x v="1"/>
    <x v="0"/>
    <n v="59782"/>
    <d v="2012-11-04T00:00:00"/>
    <n v="27"/>
    <x v="1"/>
    <n v="5"/>
    <s v="No"/>
    <n v="720.27"/>
    <x v="1"/>
    <x v="1"/>
    <n v="39"/>
    <x v="0"/>
    <x v="0"/>
    <x v="6"/>
    <n v="2014"/>
    <s v="Fully Remote"/>
    <n v="114"/>
    <x v="2"/>
  </r>
  <r>
    <n v="10448"/>
    <x v="6"/>
    <x v="1"/>
    <x v="4"/>
    <n v="86387"/>
    <d v="2018-09-11T00:00:00"/>
    <n v="63"/>
    <x v="1"/>
    <n v="9"/>
    <s v="Yes"/>
    <n v="8339.57"/>
    <x v="2"/>
    <x v="2"/>
    <n v="35"/>
    <x v="1"/>
    <x v="2"/>
    <x v="3"/>
    <n v="2010"/>
    <s v="Fully Remote"/>
    <n v="134"/>
    <x v="2"/>
  </r>
  <r>
    <n v="10449"/>
    <x v="0"/>
    <x v="4"/>
    <x v="2"/>
    <n v="46979"/>
    <d v="2011-01-09T00:00:00"/>
    <n v="39"/>
    <x v="1"/>
    <n v="5"/>
    <s v="Yes"/>
    <n v="8488.9500000000007"/>
    <x v="0"/>
    <x v="2"/>
    <n v="13"/>
    <x v="2"/>
    <x v="5"/>
    <x v="19"/>
    <n v="2010"/>
    <s v="Fully Remote"/>
    <n v="148"/>
    <x v="0"/>
  </r>
  <r>
    <n v="10450"/>
    <x v="6"/>
    <x v="5"/>
    <x v="0"/>
    <n v="63746"/>
    <d v="2003-03-02T00:00:00"/>
    <n v="59"/>
    <x v="1"/>
    <n v="8"/>
    <s v="No"/>
    <n v="7590.43"/>
    <x v="2"/>
    <x v="3"/>
    <n v="16"/>
    <x v="2"/>
    <x v="5"/>
    <x v="2"/>
    <n v="2012"/>
    <s v="On-Site"/>
    <n v="76"/>
    <x v="9"/>
  </r>
  <r>
    <n v="10451"/>
    <x v="6"/>
    <x v="6"/>
    <x v="5"/>
    <n v="96266"/>
    <d v="2008-05-19T00:00:00"/>
    <n v="40"/>
    <x v="1"/>
    <n v="4"/>
    <s v="No"/>
    <n v="3159.27"/>
    <x v="2"/>
    <x v="4"/>
    <n v="3"/>
    <x v="1"/>
    <x v="2"/>
    <x v="8"/>
    <n v="2021"/>
    <s v="Hybrid"/>
    <n v="5"/>
    <x v="7"/>
  </r>
  <r>
    <n v="10452"/>
    <x v="6"/>
    <x v="6"/>
    <x v="5"/>
    <n v="30056"/>
    <d v="2019-08-06T00:00:00"/>
    <n v="51"/>
    <x v="0"/>
    <n v="9"/>
    <s v="No"/>
    <n v="6578.27"/>
    <x v="3"/>
    <x v="3"/>
    <n v="31"/>
    <x v="0"/>
    <x v="5"/>
    <x v="15"/>
    <n v="2021"/>
    <s v="Hybrid"/>
    <n v="109"/>
    <x v="14"/>
  </r>
  <r>
    <n v="10453"/>
    <x v="6"/>
    <x v="4"/>
    <x v="1"/>
    <n v="61457"/>
    <d v="2016-03-16T00:00:00"/>
    <n v="34"/>
    <x v="0"/>
    <n v="6"/>
    <s v="No"/>
    <n v="3504.36"/>
    <x v="0"/>
    <x v="2"/>
    <n v="1"/>
    <x v="2"/>
    <x v="4"/>
    <x v="5"/>
    <n v="2015"/>
    <s v="On-Site"/>
    <n v="158"/>
    <x v="23"/>
  </r>
  <r>
    <n v="10454"/>
    <x v="6"/>
    <x v="6"/>
    <x v="0"/>
    <n v="32243"/>
    <d v="2016-02-19T00:00:00"/>
    <n v="60"/>
    <x v="0"/>
    <n v="6"/>
    <s v="No"/>
    <n v="4781.16"/>
    <x v="3"/>
    <x v="3"/>
    <n v="35"/>
    <x v="0"/>
    <x v="4"/>
    <x v="2"/>
    <n v="2011"/>
    <s v="On-Site"/>
    <n v="176"/>
    <x v="5"/>
  </r>
  <r>
    <n v="10455"/>
    <x v="2"/>
    <x v="3"/>
    <x v="3"/>
    <n v="85031"/>
    <d v="2012-03-03T00:00:00"/>
    <n v="33"/>
    <x v="0"/>
    <n v="3"/>
    <s v="Yes"/>
    <n v="4133.13"/>
    <x v="2"/>
    <x v="4"/>
    <n v="16"/>
    <x v="2"/>
    <x v="0"/>
    <x v="10"/>
    <n v="2010"/>
    <s v="Hybrid"/>
    <n v="137"/>
    <x v="0"/>
  </r>
  <r>
    <n v="10456"/>
    <x v="3"/>
    <x v="2"/>
    <x v="4"/>
    <n v="31701"/>
    <d v="2006-05-18T00:00:00"/>
    <n v="55"/>
    <x v="1"/>
    <n v="3"/>
    <s v="Yes"/>
    <n v="9179.58"/>
    <x v="2"/>
    <x v="2"/>
    <n v="1"/>
    <x v="2"/>
    <x v="2"/>
    <x v="14"/>
    <n v="2016"/>
    <s v="Hybrid"/>
    <n v="25"/>
    <x v="1"/>
  </r>
  <r>
    <n v="10457"/>
    <x v="6"/>
    <x v="2"/>
    <x v="2"/>
    <n v="86381"/>
    <d v="2017-08-15T00:00:00"/>
    <n v="33"/>
    <x v="0"/>
    <n v="4"/>
    <s v="Yes"/>
    <n v="2724.49"/>
    <x v="0"/>
    <x v="3"/>
    <n v="14"/>
    <x v="1"/>
    <x v="0"/>
    <x v="4"/>
    <n v="2023"/>
    <s v="On-Site"/>
    <n v="39"/>
    <x v="25"/>
  </r>
  <r>
    <n v="10458"/>
    <x v="4"/>
    <x v="4"/>
    <x v="3"/>
    <n v="80438"/>
    <d v="2003-07-16T00:00:00"/>
    <n v="45"/>
    <x v="1"/>
    <n v="1"/>
    <s v="Yes"/>
    <n v="5987.3"/>
    <x v="1"/>
    <x v="1"/>
    <n v="7"/>
    <x v="1"/>
    <x v="4"/>
    <x v="1"/>
    <n v="2023"/>
    <s v="Fully Remote"/>
    <n v="108"/>
    <x v="0"/>
  </r>
  <r>
    <n v="10459"/>
    <x v="3"/>
    <x v="0"/>
    <x v="4"/>
    <n v="103839"/>
    <d v="2005-02-27T00:00:00"/>
    <n v="25"/>
    <x v="1"/>
    <n v="6"/>
    <s v="Yes"/>
    <n v="3929.32"/>
    <x v="2"/>
    <x v="1"/>
    <n v="23"/>
    <x v="1"/>
    <x v="4"/>
    <x v="14"/>
    <n v="2021"/>
    <s v="Hybrid"/>
    <n v="58"/>
    <x v="6"/>
  </r>
  <r>
    <n v="10460"/>
    <x v="3"/>
    <x v="5"/>
    <x v="5"/>
    <n v="110636"/>
    <d v="2004-04-09T00:00:00"/>
    <n v="57"/>
    <x v="1"/>
    <n v="1"/>
    <s v="No"/>
    <n v="6799.18"/>
    <x v="2"/>
    <x v="3"/>
    <n v="35"/>
    <x v="1"/>
    <x v="4"/>
    <x v="15"/>
    <n v="2011"/>
    <s v="On-Site"/>
    <n v="128"/>
    <x v="6"/>
  </r>
  <r>
    <n v="10461"/>
    <x v="5"/>
    <x v="4"/>
    <x v="3"/>
    <n v="96483"/>
    <d v="2002-09-10T00:00:00"/>
    <n v="35"/>
    <x v="1"/>
    <n v="4"/>
    <s v="Yes"/>
    <n v="5863.35"/>
    <x v="3"/>
    <x v="3"/>
    <n v="29"/>
    <x v="0"/>
    <x v="3"/>
    <x v="11"/>
    <n v="2017"/>
    <s v="Fully Remote"/>
    <n v="182"/>
    <x v="9"/>
  </r>
  <r>
    <n v="10462"/>
    <x v="2"/>
    <x v="6"/>
    <x v="4"/>
    <n v="50505"/>
    <d v="2005-08-29T00:00:00"/>
    <n v="38"/>
    <x v="1"/>
    <n v="7"/>
    <s v="Yes"/>
    <n v="9277.7900000000009"/>
    <x v="3"/>
    <x v="4"/>
    <n v="22"/>
    <x v="0"/>
    <x v="5"/>
    <x v="0"/>
    <n v="2011"/>
    <s v="Fully Remote"/>
    <n v="112"/>
    <x v="3"/>
  </r>
  <r>
    <n v="10463"/>
    <x v="6"/>
    <x v="5"/>
    <x v="5"/>
    <n v="36553"/>
    <d v="2018-11-24T00:00:00"/>
    <n v="24"/>
    <x v="0"/>
    <n v="6"/>
    <s v="Yes"/>
    <n v="1465.32"/>
    <x v="0"/>
    <x v="2"/>
    <n v="16"/>
    <x v="0"/>
    <x v="0"/>
    <x v="19"/>
    <n v="2020"/>
    <s v="On-Site"/>
    <n v="48"/>
    <x v="7"/>
  </r>
  <r>
    <n v="10464"/>
    <x v="7"/>
    <x v="0"/>
    <x v="5"/>
    <n v="63525"/>
    <d v="2005-02-06T00:00:00"/>
    <n v="59"/>
    <x v="1"/>
    <n v="8"/>
    <s v="Yes"/>
    <n v="2596.09"/>
    <x v="3"/>
    <x v="3"/>
    <n v="29"/>
    <x v="1"/>
    <x v="0"/>
    <x v="12"/>
    <n v="2010"/>
    <s v="Hybrid"/>
    <n v="89"/>
    <x v="7"/>
  </r>
  <r>
    <n v="10465"/>
    <x v="1"/>
    <x v="6"/>
    <x v="5"/>
    <n v="110402"/>
    <d v="2005-06-02T00:00:00"/>
    <n v="44"/>
    <x v="1"/>
    <n v="4"/>
    <s v="Yes"/>
    <n v="7780.31"/>
    <x v="1"/>
    <x v="2"/>
    <n v="6"/>
    <x v="2"/>
    <x v="4"/>
    <x v="0"/>
    <n v="2019"/>
    <s v="Hybrid"/>
    <n v="8"/>
    <x v="4"/>
  </r>
  <r>
    <n v="10466"/>
    <x v="0"/>
    <x v="1"/>
    <x v="5"/>
    <n v="74348"/>
    <d v="2004-10-02T00:00:00"/>
    <n v="34"/>
    <x v="0"/>
    <n v="9"/>
    <s v="No"/>
    <n v="4003.47"/>
    <x v="2"/>
    <x v="1"/>
    <n v="18"/>
    <x v="0"/>
    <x v="3"/>
    <x v="16"/>
    <n v="2011"/>
    <s v="Fully Remote"/>
    <n v="127"/>
    <x v="1"/>
  </r>
  <r>
    <n v="10467"/>
    <x v="4"/>
    <x v="3"/>
    <x v="5"/>
    <n v="101187"/>
    <d v="2006-09-18T00:00:00"/>
    <n v="30"/>
    <x v="0"/>
    <n v="8"/>
    <s v="No"/>
    <n v="2074.9499999999998"/>
    <x v="3"/>
    <x v="2"/>
    <n v="29"/>
    <x v="1"/>
    <x v="0"/>
    <x v="4"/>
    <n v="2011"/>
    <s v="On-Site"/>
    <n v="46"/>
    <x v="5"/>
  </r>
  <r>
    <n v="10468"/>
    <x v="7"/>
    <x v="6"/>
    <x v="1"/>
    <n v="37273"/>
    <d v="2014-05-01T00:00:00"/>
    <n v="42"/>
    <x v="0"/>
    <n v="5"/>
    <s v="Yes"/>
    <n v="5281.55"/>
    <x v="1"/>
    <x v="0"/>
    <n v="25"/>
    <x v="1"/>
    <x v="1"/>
    <x v="7"/>
    <n v="2016"/>
    <s v="Fully Remote"/>
    <n v="173"/>
    <x v="21"/>
  </r>
  <r>
    <n v="10469"/>
    <x v="2"/>
    <x v="3"/>
    <x v="3"/>
    <n v="94236"/>
    <d v="2005-04-02T00:00:00"/>
    <n v="62"/>
    <x v="1"/>
    <n v="6"/>
    <s v="No"/>
    <n v="6695.35"/>
    <x v="2"/>
    <x v="4"/>
    <n v="2"/>
    <x v="1"/>
    <x v="0"/>
    <x v="2"/>
    <n v="2010"/>
    <s v="Fully Remote"/>
    <n v="168"/>
    <x v="11"/>
  </r>
  <r>
    <n v="10470"/>
    <x v="1"/>
    <x v="5"/>
    <x v="4"/>
    <n v="105569"/>
    <d v="2001-12-01T00:00:00"/>
    <n v="29"/>
    <x v="1"/>
    <n v="5"/>
    <s v="Yes"/>
    <n v="925.85"/>
    <x v="2"/>
    <x v="4"/>
    <n v="32"/>
    <x v="0"/>
    <x v="3"/>
    <x v="16"/>
    <n v="2012"/>
    <s v="Fully Remote"/>
    <n v="28"/>
    <x v="13"/>
  </r>
  <r>
    <n v="10471"/>
    <x v="2"/>
    <x v="3"/>
    <x v="1"/>
    <n v="33535"/>
    <d v="2019-07-03T00:00:00"/>
    <n v="38"/>
    <x v="1"/>
    <n v="6"/>
    <s v="Yes"/>
    <n v="3270.41"/>
    <x v="1"/>
    <x v="2"/>
    <n v="36"/>
    <x v="2"/>
    <x v="4"/>
    <x v="16"/>
    <n v="2014"/>
    <s v="On-Site"/>
    <n v="137"/>
    <x v="28"/>
  </r>
  <r>
    <n v="10472"/>
    <x v="4"/>
    <x v="5"/>
    <x v="1"/>
    <n v="48677"/>
    <d v="2011-01-29T00:00:00"/>
    <n v="37"/>
    <x v="1"/>
    <n v="1"/>
    <s v="No"/>
    <n v="8189.51"/>
    <x v="2"/>
    <x v="4"/>
    <n v="32"/>
    <x v="0"/>
    <x v="3"/>
    <x v="18"/>
    <n v="2021"/>
    <s v="Hybrid"/>
    <n v="189"/>
    <x v="14"/>
  </r>
  <r>
    <n v="10473"/>
    <x v="3"/>
    <x v="5"/>
    <x v="0"/>
    <n v="113024"/>
    <d v="2005-09-04T00:00:00"/>
    <n v="37"/>
    <x v="0"/>
    <n v="4"/>
    <s v="No"/>
    <n v="5442.32"/>
    <x v="1"/>
    <x v="2"/>
    <n v="20"/>
    <x v="1"/>
    <x v="5"/>
    <x v="7"/>
    <n v="2016"/>
    <s v="Fully Remote"/>
    <n v="71"/>
    <x v="3"/>
  </r>
  <r>
    <n v="10474"/>
    <x v="1"/>
    <x v="5"/>
    <x v="0"/>
    <n v="30908"/>
    <d v="2012-10-05T00:00:00"/>
    <n v="49"/>
    <x v="0"/>
    <n v="9"/>
    <s v="No"/>
    <n v="836.1"/>
    <x v="1"/>
    <x v="2"/>
    <n v="37"/>
    <x v="1"/>
    <x v="0"/>
    <x v="11"/>
    <n v="2023"/>
    <s v="Hybrid"/>
    <n v="15"/>
    <x v="34"/>
  </r>
  <r>
    <n v="10475"/>
    <x v="3"/>
    <x v="5"/>
    <x v="0"/>
    <n v="100153"/>
    <d v="2010-04-11T00:00:00"/>
    <n v="37"/>
    <x v="0"/>
    <n v="4"/>
    <s v="Yes"/>
    <n v="3178.53"/>
    <x v="3"/>
    <x v="1"/>
    <n v="38"/>
    <x v="1"/>
    <x v="5"/>
    <x v="6"/>
    <n v="2015"/>
    <s v="Hybrid"/>
    <n v="177"/>
    <x v="23"/>
  </r>
  <r>
    <n v="10476"/>
    <x v="4"/>
    <x v="5"/>
    <x v="2"/>
    <n v="118989"/>
    <d v="2001-01-29T00:00:00"/>
    <n v="35"/>
    <x v="0"/>
    <n v="2"/>
    <s v="Yes"/>
    <n v="6571.84"/>
    <x v="0"/>
    <x v="2"/>
    <n v="33"/>
    <x v="0"/>
    <x v="0"/>
    <x v="10"/>
    <n v="2017"/>
    <s v="On-Site"/>
    <n v="100"/>
    <x v="11"/>
  </r>
  <r>
    <n v="10477"/>
    <x v="7"/>
    <x v="6"/>
    <x v="0"/>
    <n v="65079"/>
    <d v="2005-05-10T00:00:00"/>
    <n v="59"/>
    <x v="0"/>
    <n v="6"/>
    <s v="Yes"/>
    <n v="2393.91"/>
    <x v="1"/>
    <x v="4"/>
    <n v="5"/>
    <x v="2"/>
    <x v="5"/>
    <x v="19"/>
    <n v="2010"/>
    <s v="Hybrid"/>
    <n v="26"/>
    <x v="18"/>
  </r>
  <r>
    <n v="10478"/>
    <x v="4"/>
    <x v="5"/>
    <x v="4"/>
    <n v="111556"/>
    <d v="2008-05-06T00:00:00"/>
    <n v="41"/>
    <x v="0"/>
    <n v="2"/>
    <s v="No"/>
    <n v="8360.2199999999993"/>
    <x v="3"/>
    <x v="0"/>
    <n v="6"/>
    <x v="0"/>
    <x v="0"/>
    <x v="9"/>
    <n v="2016"/>
    <s v="Hybrid"/>
    <n v="143"/>
    <x v="8"/>
  </r>
  <r>
    <n v="10479"/>
    <x v="7"/>
    <x v="6"/>
    <x v="1"/>
    <n v="79323"/>
    <d v="2009-06-14T00:00:00"/>
    <n v="62"/>
    <x v="1"/>
    <n v="3"/>
    <s v="No"/>
    <n v="6927.47"/>
    <x v="2"/>
    <x v="3"/>
    <n v="22"/>
    <x v="1"/>
    <x v="1"/>
    <x v="1"/>
    <n v="2018"/>
    <s v="Fully Remote"/>
    <n v="170"/>
    <x v="18"/>
  </r>
  <r>
    <n v="10480"/>
    <x v="1"/>
    <x v="5"/>
    <x v="4"/>
    <n v="75320"/>
    <d v="2001-06-06T00:00:00"/>
    <n v="55"/>
    <x v="1"/>
    <n v="7"/>
    <s v="Yes"/>
    <n v="4978.1000000000004"/>
    <x v="3"/>
    <x v="4"/>
    <n v="21"/>
    <x v="1"/>
    <x v="4"/>
    <x v="2"/>
    <n v="2016"/>
    <s v="On-Site"/>
    <n v="191"/>
    <x v="34"/>
  </r>
  <r>
    <n v="10481"/>
    <x v="1"/>
    <x v="3"/>
    <x v="3"/>
    <n v="119909"/>
    <d v="2004-04-11T00:00:00"/>
    <n v="50"/>
    <x v="0"/>
    <n v="4"/>
    <s v="No"/>
    <n v="9198.43"/>
    <x v="1"/>
    <x v="0"/>
    <n v="19"/>
    <x v="1"/>
    <x v="1"/>
    <x v="17"/>
    <n v="2015"/>
    <s v="On-Site"/>
    <n v="90"/>
    <x v="3"/>
  </r>
  <r>
    <n v="10482"/>
    <x v="6"/>
    <x v="1"/>
    <x v="0"/>
    <n v="76105"/>
    <d v="2007-12-19T00:00:00"/>
    <n v="24"/>
    <x v="0"/>
    <n v="1"/>
    <s v="No"/>
    <n v="4222.1099999999997"/>
    <x v="3"/>
    <x v="4"/>
    <n v="15"/>
    <x v="0"/>
    <x v="2"/>
    <x v="4"/>
    <n v="2018"/>
    <s v="Fully Remote"/>
    <n v="136"/>
    <x v="14"/>
  </r>
  <r>
    <n v="10483"/>
    <x v="2"/>
    <x v="5"/>
    <x v="2"/>
    <n v="60164"/>
    <d v="2014-03-30T00:00:00"/>
    <n v="31"/>
    <x v="0"/>
    <n v="9"/>
    <s v="Yes"/>
    <n v="2733.2"/>
    <x v="0"/>
    <x v="0"/>
    <n v="34"/>
    <x v="0"/>
    <x v="3"/>
    <x v="7"/>
    <n v="2022"/>
    <s v="Fully Remote"/>
    <n v="199"/>
    <x v="5"/>
  </r>
  <r>
    <n v="10484"/>
    <x v="6"/>
    <x v="0"/>
    <x v="3"/>
    <n v="31885"/>
    <d v="2007-10-20T00:00:00"/>
    <n v="41"/>
    <x v="0"/>
    <n v="6"/>
    <s v="No"/>
    <n v="6783.33"/>
    <x v="2"/>
    <x v="4"/>
    <n v="7"/>
    <x v="0"/>
    <x v="0"/>
    <x v="4"/>
    <n v="2013"/>
    <s v="Hybrid"/>
    <n v="142"/>
    <x v="20"/>
  </r>
  <r>
    <n v="10485"/>
    <x v="2"/>
    <x v="5"/>
    <x v="2"/>
    <n v="87819"/>
    <d v="2001-07-03T00:00:00"/>
    <n v="23"/>
    <x v="1"/>
    <n v="9"/>
    <s v="No"/>
    <n v="5946.3"/>
    <x v="3"/>
    <x v="3"/>
    <n v="17"/>
    <x v="1"/>
    <x v="3"/>
    <x v="5"/>
    <n v="2021"/>
    <s v="Hybrid"/>
    <n v="23"/>
    <x v="3"/>
  </r>
  <r>
    <n v="10486"/>
    <x v="6"/>
    <x v="5"/>
    <x v="3"/>
    <n v="31049"/>
    <d v="2004-01-08T00:00:00"/>
    <n v="48"/>
    <x v="1"/>
    <n v="3"/>
    <s v="Yes"/>
    <n v="3684.86"/>
    <x v="2"/>
    <x v="1"/>
    <n v="5"/>
    <x v="0"/>
    <x v="0"/>
    <x v="12"/>
    <n v="2019"/>
    <s v="On-Site"/>
    <n v="86"/>
    <x v="36"/>
  </r>
  <r>
    <n v="10487"/>
    <x v="3"/>
    <x v="3"/>
    <x v="1"/>
    <n v="83281"/>
    <d v="2017-01-21T00:00:00"/>
    <n v="53"/>
    <x v="1"/>
    <n v="5"/>
    <s v="Yes"/>
    <n v="3764.81"/>
    <x v="1"/>
    <x v="1"/>
    <n v="39"/>
    <x v="2"/>
    <x v="2"/>
    <x v="18"/>
    <n v="2015"/>
    <s v="On-Site"/>
    <n v="160"/>
    <x v="19"/>
  </r>
  <r>
    <n v="10488"/>
    <x v="1"/>
    <x v="2"/>
    <x v="4"/>
    <n v="73271"/>
    <d v="2002-04-12T00:00:00"/>
    <n v="31"/>
    <x v="0"/>
    <n v="9"/>
    <s v="Yes"/>
    <n v="4283"/>
    <x v="0"/>
    <x v="3"/>
    <n v="2"/>
    <x v="2"/>
    <x v="4"/>
    <x v="11"/>
    <n v="2015"/>
    <s v="Hybrid"/>
    <n v="99"/>
    <x v="16"/>
  </r>
  <r>
    <n v="10489"/>
    <x v="7"/>
    <x v="3"/>
    <x v="5"/>
    <n v="96697"/>
    <d v="2012-04-09T00:00:00"/>
    <n v="61"/>
    <x v="0"/>
    <n v="6"/>
    <s v="No"/>
    <n v="3265.82"/>
    <x v="0"/>
    <x v="4"/>
    <n v="27"/>
    <x v="2"/>
    <x v="4"/>
    <x v="16"/>
    <n v="2023"/>
    <s v="Fully Remote"/>
    <n v="21"/>
    <x v="17"/>
  </r>
  <r>
    <n v="10490"/>
    <x v="2"/>
    <x v="0"/>
    <x v="4"/>
    <n v="96351"/>
    <d v="2013-11-06T00:00:00"/>
    <n v="38"/>
    <x v="0"/>
    <n v="2"/>
    <s v="Yes"/>
    <n v="7247.29"/>
    <x v="3"/>
    <x v="0"/>
    <n v="24"/>
    <x v="0"/>
    <x v="3"/>
    <x v="12"/>
    <n v="2019"/>
    <s v="On-Site"/>
    <n v="28"/>
    <x v="0"/>
  </r>
  <r>
    <n v="10491"/>
    <x v="4"/>
    <x v="2"/>
    <x v="0"/>
    <n v="66534"/>
    <d v="2018-08-25T00:00:00"/>
    <n v="54"/>
    <x v="1"/>
    <n v="1"/>
    <s v="No"/>
    <n v="6687.9"/>
    <x v="2"/>
    <x v="2"/>
    <n v="28"/>
    <x v="1"/>
    <x v="1"/>
    <x v="16"/>
    <n v="2023"/>
    <s v="Fully Remote"/>
    <n v="133"/>
    <x v="15"/>
  </r>
  <r>
    <n v="10492"/>
    <x v="2"/>
    <x v="4"/>
    <x v="5"/>
    <n v="88097"/>
    <d v="2003-11-22T00:00:00"/>
    <n v="27"/>
    <x v="1"/>
    <n v="9"/>
    <s v="Yes"/>
    <n v="4687.3900000000003"/>
    <x v="2"/>
    <x v="4"/>
    <n v="1"/>
    <x v="1"/>
    <x v="2"/>
    <x v="10"/>
    <n v="2012"/>
    <s v="Hybrid"/>
    <n v="9"/>
    <x v="35"/>
  </r>
  <r>
    <n v="10493"/>
    <x v="7"/>
    <x v="4"/>
    <x v="2"/>
    <n v="83813"/>
    <d v="2000-10-12T00:00:00"/>
    <n v="60"/>
    <x v="1"/>
    <n v="1"/>
    <s v="Yes"/>
    <n v="4279.62"/>
    <x v="3"/>
    <x v="3"/>
    <n v="21"/>
    <x v="1"/>
    <x v="3"/>
    <x v="0"/>
    <n v="2016"/>
    <s v="On-Site"/>
    <n v="164"/>
    <x v="10"/>
  </r>
  <r>
    <n v="10494"/>
    <x v="6"/>
    <x v="0"/>
    <x v="1"/>
    <n v="55037"/>
    <d v="2007-07-08T00:00:00"/>
    <n v="39"/>
    <x v="0"/>
    <n v="5"/>
    <s v="Yes"/>
    <n v="3967.99"/>
    <x v="3"/>
    <x v="1"/>
    <n v="28"/>
    <x v="1"/>
    <x v="4"/>
    <x v="7"/>
    <n v="2010"/>
    <s v="On-Site"/>
    <n v="57"/>
    <x v="30"/>
  </r>
  <r>
    <n v="10495"/>
    <x v="2"/>
    <x v="3"/>
    <x v="1"/>
    <n v="66007"/>
    <d v="2010-04-23T00:00:00"/>
    <n v="30"/>
    <x v="1"/>
    <n v="1"/>
    <s v="No"/>
    <n v="3192.95"/>
    <x v="3"/>
    <x v="1"/>
    <n v="3"/>
    <x v="1"/>
    <x v="5"/>
    <x v="2"/>
    <n v="2020"/>
    <s v="Hybrid"/>
    <n v="85"/>
    <x v="13"/>
  </r>
  <r>
    <n v="10496"/>
    <x v="0"/>
    <x v="6"/>
    <x v="2"/>
    <n v="109478"/>
    <d v="2019-06-18T00:00:00"/>
    <n v="29"/>
    <x v="1"/>
    <n v="5"/>
    <s v="Yes"/>
    <n v="1314.12"/>
    <x v="3"/>
    <x v="4"/>
    <n v="30"/>
    <x v="0"/>
    <x v="3"/>
    <x v="18"/>
    <n v="2017"/>
    <s v="Hybrid"/>
    <n v="189"/>
    <x v="39"/>
  </r>
  <r>
    <n v="10497"/>
    <x v="3"/>
    <x v="0"/>
    <x v="0"/>
    <n v="57278"/>
    <d v="2012-03-22T00:00:00"/>
    <n v="46"/>
    <x v="0"/>
    <n v="5"/>
    <s v="Yes"/>
    <n v="3047.94"/>
    <x v="0"/>
    <x v="0"/>
    <n v="1"/>
    <x v="2"/>
    <x v="0"/>
    <x v="6"/>
    <n v="2017"/>
    <s v="Fully Remote"/>
    <n v="175"/>
    <x v="17"/>
  </r>
  <r>
    <n v="10498"/>
    <x v="1"/>
    <x v="1"/>
    <x v="2"/>
    <n v="38272"/>
    <d v="2018-08-12T00:00:00"/>
    <n v="52"/>
    <x v="1"/>
    <n v="7"/>
    <s v="No"/>
    <n v="3551.41"/>
    <x v="3"/>
    <x v="3"/>
    <n v="18"/>
    <x v="0"/>
    <x v="4"/>
    <x v="13"/>
    <n v="2017"/>
    <s v="Fully Remote"/>
    <n v="90"/>
    <x v="19"/>
  </r>
  <r>
    <n v="10499"/>
    <x v="7"/>
    <x v="2"/>
    <x v="3"/>
    <n v="87183"/>
    <d v="2003-12-16T00:00:00"/>
    <n v="63"/>
    <x v="0"/>
    <n v="7"/>
    <s v="No"/>
    <n v="5703"/>
    <x v="2"/>
    <x v="3"/>
    <n v="33"/>
    <x v="1"/>
    <x v="0"/>
    <x v="12"/>
    <n v="2018"/>
    <s v="Hybrid"/>
    <n v="107"/>
    <x v="30"/>
  </r>
  <r>
    <n v="10500"/>
    <x v="1"/>
    <x v="2"/>
    <x v="0"/>
    <n v="68294"/>
    <d v="2015-12-25T00:00:00"/>
    <n v="25"/>
    <x v="0"/>
    <n v="1"/>
    <s v="Yes"/>
    <n v="7850.99"/>
    <x v="1"/>
    <x v="0"/>
    <n v="15"/>
    <x v="0"/>
    <x v="2"/>
    <x v="15"/>
    <n v="2013"/>
    <s v="Hybrid"/>
    <n v="171"/>
    <x v="21"/>
  </r>
  <r>
    <n v="10501"/>
    <x v="0"/>
    <x v="5"/>
    <x v="5"/>
    <n v="103277"/>
    <d v="2018-08-11T00:00:00"/>
    <n v="41"/>
    <x v="0"/>
    <n v="9"/>
    <s v="Yes"/>
    <n v="4259.17"/>
    <x v="2"/>
    <x v="0"/>
    <n v="24"/>
    <x v="0"/>
    <x v="1"/>
    <x v="3"/>
    <n v="2015"/>
    <s v="Hybrid"/>
    <n v="166"/>
    <x v="19"/>
  </r>
  <r>
    <n v="10502"/>
    <x v="2"/>
    <x v="4"/>
    <x v="2"/>
    <n v="92509"/>
    <d v="2018-09-23T00:00:00"/>
    <n v="49"/>
    <x v="1"/>
    <n v="1"/>
    <s v="Yes"/>
    <n v="9475.19"/>
    <x v="3"/>
    <x v="4"/>
    <n v="36"/>
    <x v="0"/>
    <x v="1"/>
    <x v="4"/>
    <n v="2020"/>
    <s v="On-Site"/>
    <n v="84"/>
    <x v="22"/>
  </r>
  <r>
    <n v="10503"/>
    <x v="2"/>
    <x v="2"/>
    <x v="0"/>
    <n v="34694"/>
    <d v="2004-01-06T00:00:00"/>
    <n v="61"/>
    <x v="1"/>
    <n v="5"/>
    <s v="No"/>
    <n v="8359.82"/>
    <x v="0"/>
    <x v="4"/>
    <n v="34"/>
    <x v="1"/>
    <x v="4"/>
    <x v="13"/>
    <n v="2021"/>
    <s v="Hybrid"/>
    <n v="9"/>
    <x v="15"/>
  </r>
  <r>
    <n v="10504"/>
    <x v="4"/>
    <x v="0"/>
    <x v="5"/>
    <n v="88150"/>
    <d v="2004-11-11T00:00:00"/>
    <n v="22"/>
    <x v="0"/>
    <n v="7"/>
    <s v="No"/>
    <n v="9855.6200000000008"/>
    <x v="3"/>
    <x v="1"/>
    <n v="26"/>
    <x v="1"/>
    <x v="4"/>
    <x v="10"/>
    <n v="2016"/>
    <s v="On-Site"/>
    <n v="22"/>
    <x v="18"/>
  </r>
  <r>
    <n v="10505"/>
    <x v="0"/>
    <x v="2"/>
    <x v="2"/>
    <n v="97470"/>
    <d v="2015-06-10T00:00:00"/>
    <n v="61"/>
    <x v="1"/>
    <n v="8"/>
    <s v="Yes"/>
    <n v="8823.93"/>
    <x v="1"/>
    <x v="1"/>
    <n v="22"/>
    <x v="1"/>
    <x v="1"/>
    <x v="2"/>
    <n v="2011"/>
    <s v="Hybrid"/>
    <n v="136"/>
    <x v="17"/>
  </r>
  <r>
    <n v="10506"/>
    <x v="7"/>
    <x v="0"/>
    <x v="1"/>
    <n v="51556"/>
    <d v="2019-08-16T00:00:00"/>
    <n v="44"/>
    <x v="0"/>
    <n v="2"/>
    <s v="Yes"/>
    <n v="6358.9"/>
    <x v="3"/>
    <x v="0"/>
    <n v="16"/>
    <x v="0"/>
    <x v="3"/>
    <x v="6"/>
    <n v="2015"/>
    <s v="On-Site"/>
    <n v="113"/>
    <x v="33"/>
  </r>
  <r>
    <n v="10507"/>
    <x v="4"/>
    <x v="6"/>
    <x v="2"/>
    <n v="94471"/>
    <d v="2010-01-03T00:00:00"/>
    <n v="34"/>
    <x v="1"/>
    <n v="1"/>
    <s v="Yes"/>
    <n v="6185.55"/>
    <x v="1"/>
    <x v="2"/>
    <n v="16"/>
    <x v="0"/>
    <x v="1"/>
    <x v="18"/>
    <n v="2017"/>
    <s v="Fully Remote"/>
    <n v="95"/>
    <x v="32"/>
  </r>
  <r>
    <n v="10508"/>
    <x v="3"/>
    <x v="5"/>
    <x v="4"/>
    <n v="79855"/>
    <d v="2002-07-03T00:00:00"/>
    <n v="37"/>
    <x v="0"/>
    <n v="4"/>
    <s v="Yes"/>
    <n v="1730.5"/>
    <x v="3"/>
    <x v="2"/>
    <n v="5"/>
    <x v="2"/>
    <x v="1"/>
    <x v="18"/>
    <n v="2013"/>
    <s v="Fully Remote"/>
    <n v="74"/>
    <x v="4"/>
  </r>
  <r>
    <n v="10509"/>
    <x v="4"/>
    <x v="4"/>
    <x v="2"/>
    <n v="79086"/>
    <d v="2000-10-14T00:00:00"/>
    <n v="47"/>
    <x v="0"/>
    <n v="4"/>
    <s v="No"/>
    <n v="7362.79"/>
    <x v="0"/>
    <x v="2"/>
    <n v="6"/>
    <x v="2"/>
    <x v="3"/>
    <x v="17"/>
    <n v="2014"/>
    <s v="On-Site"/>
    <n v="143"/>
    <x v="15"/>
  </r>
  <r>
    <n v="10510"/>
    <x v="5"/>
    <x v="2"/>
    <x v="4"/>
    <n v="48907"/>
    <d v="2011-06-22T00:00:00"/>
    <n v="52"/>
    <x v="1"/>
    <n v="6"/>
    <s v="No"/>
    <n v="6201.97"/>
    <x v="2"/>
    <x v="3"/>
    <n v="24"/>
    <x v="1"/>
    <x v="0"/>
    <x v="16"/>
    <n v="2017"/>
    <s v="Fully Remote"/>
    <n v="179"/>
    <x v="8"/>
  </r>
  <r>
    <n v="10511"/>
    <x v="7"/>
    <x v="0"/>
    <x v="5"/>
    <n v="101695"/>
    <d v="2018-08-26T00:00:00"/>
    <n v="22"/>
    <x v="0"/>
    <n v="1"/>
    <s v="No"/>
    <n v="5315.85"/>
    <x v="1"/>
    <x v="4"/>
    <n v="30"/>
    <x v="2"/>
    <x v="3"/>
    <x v="2"/>
    <n v="2012"/>
    <s v="Fully Remote"/>
    <n v="85"/>
    <x v="13"/>
  </r>
  <r>
    <n v="10512"/>
    <x v="5"/>
    <x v="3"/>
    <x v="2"/>
    <n v="78487"/>
    <d v="2005-09-19T00:00:00"/>
    <n v="38"/>
    <x v="0"/>
    <n v="1"/>
    <s v="Yes"/>
    <n v="7086.23"/>
    <x v="2"/>
    <x v="0"/>
    <n v="37"/>
    <x v="1"/>
    <x v="5"/>
    <x v="17"/>
    <n v="2015"/>
    <s v="On-Site"/>
    <n v="35"/>
    <x v="25"/>
  </r>
  <r>
    <n v="10513"/>
    <x v="0"/>
    <x v="4"/>
    <x v="5"/>
    <n v="59158"/>
    <d v="2012-02-13T00:00:00"/>
    <n v="37"/>
    <x v="0"/>
    <n v="3"/>
    <s v="Yes"/>
    <n v="4718.45"/>
    <x v="3"/>
    <x v="1"/>
    <n v="32"/>
    <x v="1"/>
    <x v="4"/>
    <x v="6"/>
    <n v="2023"/>
    <s v="Hybrid"/>
    <n v="17"/>
    <x v="20"/>
  </r>
  <r>
    <n v="10514"/>
    <x v="6"/>
    <x v="6"/>
    <x v="5"/>
    <n v="50293"/>
    <d v="2016-03-29T00:00:00"/>
    <n v="58"/>
    <x v="0"/>
    <n v="5"/>
    <s v="No"/>
    <n v="5476.67"/>
    <x v="2"/>
    <x v="2"/>
    <n v="19"/>
    <x v="0"/>
    <x v="1"/>
    <x v="19"/>
    <n v="2010"/>
    <s v="Hybrid"/>
    <n v="27"/>
    <x v="7"/>
  </r>
  <r>
    <n v="10515"/>
    <x v="5"/>
    <x v="0"/>
    <x v="0"/>
    <n v="75761"/>
    <d v="2004-12-09T00:00:00"/>
    <n v="31"/>
    <x v="0"/>
    <n v="6"/>
    <s v="Yes"/>
    <n v="4284.3500000000004"/>
    <x v="0"/>
    <x v="1"/>
    <n v="28"/>
    <x v="2"/>
    <x v="2"/>
    <x v="10"/>
    <n v="2013"/>
    <s v="On-Site"/>
    <n v="69"/>
    <x v="37"/>
  </r>
  <r>
    <n v="10516"/>
    <x v="3"/>
    <x v="1"/>
    <x v="5"/>
    <n v="63387"/>
    <d v="2003-03-24T00:00:00"/>
    <n v="59"/>
    <x v="1"/>
    <n v="5"/>
    <s v="No"/>
    <n v="7315.02"/>
    <x v="0"/>
    <x v="4"/>
    <n v="8"/>
    <x v="1"/>
    <x v="4"/>
    <x v="10"/>
    <n v="2023"/>
    <s v="Fully Remote"/>
    <n v="34"/>
    <x v="3"/>
  </r>
  <r>
    <n v="10517"/>
    <x v="4"/>
    <x v="1"/>
    <x v="5"/>
    <n v="70750"/>
    <d v="2006-12-26T00:00:00"/>
    <n v="52"/>
    <x v="1"/>
    <n v="5"/>
    <s v="Yes"/>
    <n v="8827.7999999999993"/>
    <x v="2"/>
    <x v="0"/>
    <n v="1"/>
    <x v="1"/>
    <x v="1"/>
    <x v="16"/>
    <n v="2015"/>
    <s v="Hybrid"/>
    <n v="163"/>
    <x v="37"/>
  </r>
  <r>
    <n v="10518"/>
    <x v="6"/>
    <x v="5"/>
    <x v="2"/>
    <n v="98602"/>
    <d v="2011-12-19T00:00:00"/>
    <n v="31"/>
    <x v="0"/>
    <n v="9"/>
    <s v="Yes"/>
    <n v="8488.0300000000007"/>
    <x v="2"/>
    <x v="2"/>
    <n v="4"/>
    <x v="2"/>
    <x v="0"/>
    <x v="15"/>
    <n v="2012"/>
    <s v="Hybrid"/>
    <n v="51"/>
    <x v="7"/>
  </r>
  <r>
    <n v="10519"/>
    <x v="4"/>
    <x v="5"/>
    <x v="2"/>
    <n v="51256"/>
    <d v="2004-05-07T00:00:00"/>
    <n v="55"/>
    <x v="1"/>
    <n v="2"/>
    <s v="Yes"/>
    <n v="7967.24"/>
    <x v="0"/>
    <x v="2"/>
    <n v="22"/>
    <x v="2"/>
    <x v="1"/>
    <x v="8"/>
    <n v="2010"/>
    <s v="Fully Remote"/>
    <n v="148"/>
    <x v="23"/>
  </r>
  <r>
    <n v="10520"/>
    <x v="5"/>
    <x v="6"/>
    <x v="1"/>
    <n v="35594"/>
    <d v="2017-04-23T00:00:00"/>
    <n v="27"/>
    <x v="0"/>
    <n v="1"/>
    <s v="No"/>
    <n v="630.98"/>
    <x v="1"/>
    <x v="0"/>
    <n v="22"/>
    <x v="2"/>
    <x v="3"/>
    <x v="1"/>
    <n v="2015"/>
    <s v="On-Site"/>
    <n v="175"/>
    <x v="6"/>
  </r>
  <r>
    <n v="10521"/>
    <x v="4"/>
    <x v="6"/>
    <x v="0"/>
    <n v="32460"/>
    <d v="2005-05-10T00:00:00"/>
    <n v="49"/>
    <x v="0"/>
    <n v="6"/>
    <s v="Yes"/>
    <n v="9162.86"/>
    <x v="1"/>
    <x v="1"/>
    <n v="30"/>
    <x v="2"/>
    <x v="4"/>
    <x v="1"/>
    <n v="2023"/>
    <s v="On-Site"/>
    <n v="135"/>
    <x v="31"/>
  </r>
  <r>
    <n v="10522"/>
    <x v="0"/>
    <x v="5"/>
    <x v="5"/>
    <n v="102356"/>
    <d v="2004-11-10T00:00:00"/>
    <n v="49"/>
    <x v="0"/>
    <n v="9"/>
    <s v="Yes"/>
    <n v="3111.32"/>
    <x v="0"/>
    <x v="4"/>
    <n v="27"/>
    <x v="2"/>
    <x v="3"/>
    <x v="8"/>
    <n v="2012"/>
    <s v="Hybrid"/>
    <n v="16"/>
    <x v="9"/>
  </r>
  <r>
    <n v="10523"/>
    <x v="6"/>
    <x v="2"/>
    <x v="0"/>
    <n v="84698"/>
    <d v="2017-03-12T00:00:00"/>
    <n v="34"/>
    <x v="0"/>
    <n v="7"/>
    <s v="No"/>
    <n v="8935.75"/>
    <x v="0"/>
    <x v="4"/>
    <n v="27"/>
    <x v="2"/>
    <x v="1"/>
    <x v="13"/>
    <n v="2017"/>
    <s v="On-Site"/>
    <n v="143"/>
    <x v="22"/>
  </r>
  <r>
    <n v="10524"/>
    <x v="0"/>
    <x v="2"/>
    <x v="4"/>
    <n v="46191"/>
    <d v="2013-04-24T00:00:00"/>
    <n v="62"/>
    <x v="0"/>
    <n v="8"/>
    <s v="Yes"/>
    <n v="2371.1999999999998"/>
    <x v="1"/>
    <x v="4"/>
    <n v="13"/>
    <x v="2"/>
    <x v="0"/>
    <x v="13"/>
    <n v="2016"/>
    <s v="Fully Remote"/>
    <n v="20"/>
    <x v="11"/>
  </r>
  <r>
    <n v="10525"/>
    <x v="5"/>
    <x v="0"/>
    <x v="5"/>
    <n v="114631"/>
    <d v="2002-09-14T00:00:00"/>
    <n v="33"/>
    <x v="1"/>
    <n v="5"/>
    <s v="Yes"/>
    <n v="4676.63"/>
    <x v="2"/>
    <x v="1"/>
    <n v="39"/>
    <x v="1"/>
    <x v="3"/>
    <x v="0"/>
    <n v="2020"/>
    <s v="On-Site"/>
    <n v="161"/>
    <x v="34"/>
  </r>
  <r>
    <n v="10526"/>
    <x v="0"/>
    <x v="3"/>
    <x v="0"/>
    <n v="40529"/>
    <d v="2016-01-12T00:00:00"/>
    <n v="61"/>
    <x v="1"/>
    <n v="4"/>
    <s v="No"/>
    <n v="7619.29"/>
    <x v="2"/>
    <x v="1"/>
    <n v="27"/>
    <x v="0"/>
    <x v="2"/>
    <x v="17"/>
    <n v="2016"/>
    <s v="On-Site"/>
    <n v="121"/>
    <x v="33"/>
  </r>
  <r>
    <n v="10527"/>
    <x v="3"/>
    <x v="0"/>
    <x v="1"/>
    <n v="62175"/>
    <d v="2003-04-18T00:00:00"/>
    <n v="23"/>
    <x v="1"/>
    <n v="6"/>
    <s v="Yes"/>
    <n v="6582.65"/>
    <x v="3"/>
    <x v="2"/>
    <n v="39"/>
    <x v="1"/>
    <x v="1"/>
    <x v="2"/>
    <n v="2022"/>
    <s v="On-Site"/>
    <n v="153"/>
    <x v="39"/>
  </r>
  <r>
    <n v="10528"/>
    <x v="5"/>
    <x v="3"/>
    <x v="1"/>
    <n v="47675"/>
    <d v="2009-02-12T00:00:00"/>
    <n v="29"/>
    <x v="1"/>
    <n v="3"/>
    <s v="No"/>
    <n v="4451.26"/>
    <x v="1"/>
    <x v="1"/>
    <n v="38"/>
    <x v="1"/>
    <x v="0"/>
    <x v="7"/>
    <n v="2021"/>
    <s v="On-Site"/>
    <n v="113"/>
    <x v="10"/>
  </r>
  <r>
    <n v="10529"/>
    <x v="5"/>
    <x v="6"/>
    <x v="5"/>
    <n v="73158"/>
    <d v="2017-06-26T00:00:00"/>
    <n v="63"/>
    <x v="1"/>
    <n v="1"/>
    <s v="Yes"/>
    <n v="6946.93"/>
    <x v="0"/>
    <x v="3"/>
    <n v="8"/>
    <x v="0"/>
    <x v="4"/>
    <x v="2"/>
    <n v="2017"/>
    <s v="Fully Remote"/>
    <n v="62"/>
    <x v="21"/>
  </r>
  <r>
    <n v="10530"/>
    <x v="5"/>
    <x v="4"/>
    <x v="4"/>
    <n v="76798"/>
    <d v="2003-01-24T00:00:00"/>
    <n v="30"/>
    <x v="1"/>
    <n v="4"/>
    <s v="Yes"/>
    <n v="5715.02"/>
    <x v="3"/>
    <x v="0"/>
    <n v="12"/>
    <x v="0"/>
    <x v="4"/>
    <x v="7"/>
    <n v="2016"/>
    <s v="On-Site"/>
    <n v="175"/>
    <x v="33"/>
  </r>
  <r>
    <n v="10531"/>
    <x v="7"/>
    <x v="0"/>
    <x v="1"/>
    <n v="100910"/>
    <d v="2000-07-15T00:00:00"/>
    <n v="29"/>
    <x v="0"/>
    <n v="9"/>
    <s v="No"/>
    <n v="3119.49"/>
    <x v="2"/>
    <x v="1"/>
    <n v="24"/>
    <x v="0"/>
    <x v="2"/>
    <x v="14"/>
    <n v="2014"/>
    <s v="Hybrid"/>
    <n v="9"/>
    <x v="38"/>
  </r>
  <r>
    <n v="10532"/>
    <x v="4"/>
    <x v="0"/>
    <x v="1"/>
    <n v="55976"/>
    <d v="2010-11-19T00:00:00"/>
    <n v="24"/>
    <x v="1"/>
    <n v="4"/>
    <s v="Yes"/>
    <n v="6640.13"/>
    <x v="1"/>
    <x v="4"/>
    <n v="18"/>
    <x v="2"/>
    <x v="5"/>
    <x v="14"/>
    <n v="2019"/>
    <s v="On-Site"/>
    <n v="184"/>
    <x v="20"/>
  </r>
  <r>
    <n v="10533"/>
    <x v="7"/>
    <x v="3"/>
    <x v="4"/>
    <n v="93116"/>
    <d v="2001-06-09T00:00:00"/>
    <n v="30"/>
    <x v="0"/>
    <n v="1"/>
    <s v="No"/>
    <n v="2440.35"/>
    <x v="3"/>
    <x v="1"/>
    <n v="15"/>
    <x v="2"/>
    <x v="3"/>
    <x v="19"/>
    <n v="2017"/>
    <s v="Hybrid"/>
    <n v="145"/>
    <x v="2"/>
  </r>
  <r>
    <n v="10534"/>
    <x v="7"/>
    <x v="6"/>
    <x v="0"/>
    <n v="108678"/>
    <d v="2012-12-10T00:00:00"/>
    <n v="34"/>
    <x v="0"/>
    <n v="4"/>
    <s v="Yes"/>
    <n v="7092.89"/>
    <x v="2"/>
    <x v="2"/>
    <n v="16"/>
    <x v="2"/>
    <x v="1"/>
    <x v="2"/>
    <n v="2023"/>
    <s v="Fully Remote"/>
    <n v="85"/>
    <x v="25"/>
  </r>
  <r>
    <n v="10535"/>
    <x v="3"/>
    <x v="6"/>
    <x v="1"/>
    <n v="92821"/>
    <d v="2003-11-11T00:00:00"/>
    <n v="30"/>
    <x v="1"/>
    <n v="7"/>
    <s v="No"/>
    <n v="529.54999999999995"/>
    <x v="0"/>
    <x v="0"/>
    <n v="33"/>
    <x v="1"/>
    <x v="4"/>
    <x v="17"/>
    <n v="2017"/>
    <s v="On-Site"/>
    <n v="144"/>
    <x v="32"/>
  </r>
  <r>
    <n v="10536"/>
    <x v="6"/>
    <x v="1"/>
    <x v="2"/>
    <n v="42204"/>
    <d v="2012-04-30T00:00:00"/>
    <n v="52"/>
    <x v="1"/>
    <n v="3"/>
    <s v="Yes"/>
    <n v="5713.34"/>
    <x v="2"/>
    <x v="0"/>
    <n v="10"/>
    <x v="0"/>
    <x v="1"/>
    <x v="1"/>
    <n v="2020"/>
    <s v="Hybrid"/>
    <n v="5"/>
    <x v="15"/>
  </r>
  <r>
    <n v="10537"/>
    <x v="4"/>
    <x v="3"/>
    <x v="3"/>
    <n v="85665"/>
    <d v="2003-07-16T00:00:00"/>
    <n v="46"/>
    <x v="0"/>
    <n v="6"/>
    <s v="Yes"/>
    <n v="4310.1400000000003"/>
    <x v="2"/>
    <x v="4"/>
    <n v="24"/>
    <x v="0"/>
    <x v="2"/>
    <x v="11"/>
    <n v="2017"/>
    <s v="On-Site"/>
    <n v="12"/>
    <x v="34"/>
  </r>
  <r>
    <n v="10538"/>
    <x v="0"/>
    <x v="6"/>
    <x v="3"/>
    <n v="37394"/>
    <d v="2003-04-09T00:00:00"/>
    <n v="29"/>
    <x v="0"/>
    <n v="1"/>
    <s v="Yes"/>
    <n v="3379.49"/>
    <x v="1"/>
    <x v="0"/>
    <n v="19"/>
    <x v="1"/>
    <x v="3"/>
    <x v="7"/>
    <n v="2021"/>
    <s v="On-Site"/>
    <n v="148"/>
    <x v="2"/>
  </r>
  <r>
    <n v="10539"/>
    <x v="2"/>
    <x v="5"/>
    <x v="1"/>
    <n v="94814"/>
    <d v="2005-05-02T00:00:00"/>
    <n v="52"/>
    <x v="0"/>
    <n v="4"/>
    <s v="Yes"/>
    <n v="5399.23"/>
    <x v="0"/>
    <x v="3"/>
    <n v="27"/>
    <x v="2"/>
    <x v="0"/>
    <x v="11"/>
    <n v="2019"/>
    <s v="Hybrid"/>
    <n v="147"/>
    <x v="26"/>
  </r>
  <r>
    <n v="10540"/>
    <x v="5"/>
    <x v="2"/>
    <x v="0"/>
    <n v="63593"/>
    <d v="2010-01-03T00:00:00"/>
    <n v="52"/>
    <x v="0"/>
    <n v="3"/>
    <s v="Yes"/>
    <n v="6630.46"/>
    <x v="1"/>
    <x v="0"/>
    <n v="31"/>
    <x v="0"/>
    <x v="1"/>
    <x v="15"/>
    <n v="2015"/>
    <s v="Fully Remote"/>
    <n v="23"/>
    <x v="38"/>
  </r>
  <r>
    <n v="10541"/>
    <x v="0"/>
    <x v="1"/>
    <x v="0"/>
    <n v="71964"/>
    <d v="2013-02-07T00:00:00"/>
    <n v="38"/>
    <x v="0"/>
    <n v="1"/>
    <s v="No"/>
    <n v="9670.4699999999993"/>
    <x v="0"/>
    <x v="4"/>
    <n v="21"/>
    <x v="1"/>
    <x v="2"/>
    <x v="17"/>
    <n v="2011"/>
    <s v="Fully Remote"/>
    <n v="157"/>
    <x v="37"/>
  </r>
  <r>
    <n v="10542"/>
    <x v="5"/>
    <x v="5"/>
    <x v="5"/>
    <n v="107188"/>
    <d v="2006-01-26T00:00:00"/>
    <n v="40"/>
    <x v="1"/>
    <n v="3"/>
    <s v="Yes"/>
    <n v="8414.11"/>
    <x v="3"/>
    <x v="0"/>
    <n v="16"/>
    <x v="2"/>
    <x v="0"/>
    <x v="16"/>
    <n v="2017"/>
    <s v="Fully Remote"/>
    <n v="35"/>
    <x v="6"/>
  </r>
  <r>
    <n v="10543"/>
    <x v="3"/>
    <x v="4"/>
    <x v="2"/>
    <n v="83365"/>
    <d v="2011-08-25T00:00:00"/>
    <n v="24"/>
    <x v="1"/>
    <n v="4"/>
    <s v="No"/>
    <n v="7312.92"/>
    <x v="2"/>
    <x v="1"/>
    <n v="23"/>
    <x v="1"/>
    <x v="0"/>
    <x v="18"/>
    <n v="2022"/>
    <s v="Fully Remote"/>
    <n v="134"/>
    <x v="40"/>
  </r>
  <r>
    <n v="10544"/>
    <x v="5"/>
    <x v="0"/>
    <x v="0"/>
    <n v="30443"/>
    <d v="2009-10-20T00:00:00"/>
    <n v="51"/>
    <x v="0"/>
    <n v="5"/>
    <s v="No"/>
    <n v="5050.1899999999996"/>
    <x v="1"/>
    <x v="2"/>
    <n v="14"/>
    <x v="2"/>
    <x v="0"/>
    <x v="2"/>
    <n v="2019"/>
    <s v="Fully Remote"/>
    <n v="125"/>
    <x v="24"/>
  </r>
  <r>
    <n v="10545"/>
    <x v="7"/>
    <x v="1"/>
    <x v="4"/>
    <n v="119439"/>
    <d v="2018-01-16T00:00:00"/>
    <n v="31"/>
    <x v="0"/>
    <n v="6"/>
    <s v="Yes"/>
    <n v="4225.37"/>
    <x v="0"/>
    <x v="1"/>
    <n v="23"/>
    <x v="1"/>
    <x v="3"/>
    <x v="6"/>
    <n v="2010"/>
    <s v="Fully Remote"/>
    <n v="63"/>
    <x v="1"/>
  </r>
  <r>
    <n v="10546"/>
    <x v="4"/>
    <x v="4"/>
    <x v="2"/>
    <n v="58180"/>
    <d v="2015-11-03T00:00:00"/>
    <n v="50"/>
    <x v="0"/>
    <n v="2"/>
    <s v="Yes"/>
    <n v="809.03"/>
    <x v="1"/>
    <x v="3"/>
    <n v="18"/>
    <x v="2"/>
    <x v="5"/>
    <x v="17"/>
    <n v="2018"/>
    <s v="On-Site"/>
    <n v="35"/>
    <x v="35"/>
  </r>
  <r>
    <n v="10547"/>
    <x v="2"/>
    <x v="0"/>
    <x v="3"/>
    <n v="78791"/>
    <d v="2016-07-08T00:00:00"/>
    <n v="61"/>
    <x v="0"/>
    <n v="2"/>
    <s v="Yes"/>
    <n v="3911.42"/>
    <x v="2"/>
    <x v="3"/>
    <n v="36"/>
    <x v="1"/>
    <x v="1"/>
    <x v="15"/>
    <n v="2018"/>
    <s v="On-Site"/>
    <n v="144"/>
    <x v="0"/>
  </r>
  <r>
    <n v="10548"/>
    <x v="1"/>
    <x v="2"/>
    <x v="2"/>
    <n v="116655"/>
    <d v="2002-10-14T00:00:00"/>
    <n v="39"/>
    <x v="0"/>
    <n v="6"/>
    <s v="No"/>
    <n v="8559.58"/>
    <x v="2"/>
    <x v="2"/>
    <n v="12"/>
    <x v="1"/>
    <x v="0"/>
    <x v="3"/>
    <n v="2015"/>
    <s v="Hybrid"/>
    <n v="149"/>
    <x v="2"/>
  </r>
  <r>
    <n v="10549"/>
    <x v="5"/>
    <x v="6"/>
    <x v="4"/>
    <n v="105899"/>
    <d v="2008-08-19T00:00:00"/>
    <n v="33"/>
    <x v="0"/>
    <n v="5"/>
    <s v="Yes"/>
    <n v="4148.2299999999996"/>
    <x v="3"/>
    <x v="2"/>
    <n v="37"/>
    <x v="1"/>
    <x v="4"/>
    <x v="17"/>
    <n v="2019"/>
    <s v="Fully Remote"/>
    <n v="33"/>
    <x v="11"/>
  </r>
  <r>
    <n v="10550"/>
    <x v="0"/>
    <x v="5"/>
    <x v="1"/>
    <n v="73665"/>
    <d v="2014-03-04T00:00:00"/>
    <n v="44"/>
    <x v="0"/>
    <n v="1"/>
    <s v="Yes"/>
    <n v="4885.0600000000004"/>
    <x v="0"/>
    <x v="2"/>
    <n v="11"/>
    <x v="1"/>
    <x v="3"/>
    <x v="13"/>
    <n v="2015"/>
    <s v="Fully Remote"/>
    <n v="168"/>
    <x v="14"/>
  </r>
  <r>
    <n v="10551"/>
    <x v="7"/>
    <x v="3"/>
    <x v="4"/>
    <n v="33465"/>
    <d v="2009-10-30T00:00:00"/>
    <n v="32"/>
    <x v="0"/>
    <n v="3"/>
    <s v="Yes"/>
    <n v="3082.43"/>
    <x v="0"/>
    <x v="2"/>
    <n v="5"/>
    <x v="0"/>
    <x v="3"/>
    <x v="1"/>
    <n v="2015"/>
    <s v="Fully Remote"/>
    <n v="108"/>
    <x v="34"/>
  </r>
  <r>
    <n v="10552"/>
    <x v="1"/>
    <x v="5"/>
    <x v="4"/>
    <n v="98247"/>
    <d v="2011-07-09T00:00:00"/>
    <n v="30"/>
    <x v="1"/>
    <n v="5"/>
    <s v="Yes"/>
    <n v="3104.26"/>
    <x v="3"/>
    <x v="0"/>
    <n v="21"/>
    <x v="0"/>
    <x v="0"/>
    <x v="14"/>
    <n v="2020"/>
    <s v="Hybrid"/>
    <n v="67"/>
    <x v="13"/>
  </r>
  <r>
    <n v="10553"/>
    <x v="2"/>
    <x v="2"/>
    <x v="1"/>
    <n v="81559"/>
    <d v="2011-02-21T00:00:00"/>
    <n v="45"/>
    <x v="0"/>
    <n v="2"/>
    <s v="Yes"/>
    <n v="1087.78"/>
    <x v="3"/>
    <x v="1"/>
    <n v="32"/>
    <x v="0"/>
    <x v="4"/>
    <x v="4"/>
    <n v="2013"/>
    <s v="On-Site"/>
    <n v="19"/>
    <x v="0"/>
  </r>
  <r>
    <n v="10554"/>
    <x v="1"/>
    <x v="4"/>
    <x v="1"/>
    <n v="55198"/>
    <d v="2000-02-17T00:00:00"/>
    <n v="46"/>
    <x v="0"/>
    <n v="1"/>
    <s v="Yes"/>
    <n v="6331.14"/>
    <x v="0"/>
    <x v="3"/>
    <n v="29"/>
    <x v="0"/>
    <x v="2"/>
    <x v="15"/>
    <n v="2010"/>
    <s v="On-Site"/>
    <n v="34"/>
    <x v="1"/>
  </r>
  <r>
    <n v="10555"/>
    <x v="7"/>
    <x v="3"/>
    <x v="1"/>
    <n v="84740"/>
    <d v="2010-01-11T00:00:00"/>
    <n v="46"/>
    <x v="1"/>
    <n v="9"/>
    <s v="No"/>
    <n v="4756.66"/>
    <x v="0"/>
    <x v="0"/>
    <n v="7"/>
    <x v="1"/>
    <x v="3"/>
    <x v="12"/>
    <n v="2010"/>
    <s v="Fully Remote"/>
    <n v="183"/>
    <x v="22"/>
  </r>
  <r>
    <n v="10556"/>
    <x v="4"/>
    <x v="6"/>
    <x v="1"/>
    <n v="52488"/>
    <d v="2016-06-11T00:00:00"/>
    <n v="30"/>
    <x v="0"/>
    <n v="5"/>
    <s v="Yes"/>
    <n v="6256.63"/>
    <x v="1"/>
    <x v="2"/>
    <n v="36"/>
    <x v="0"/>
    <x v="0"/>
    <x v="8"/>
    <n v="2010"/>
    <s v="On-Site"/>
    <n v="15"/>
    <x v="22"/>
  </r>
  <r>
    <n v="10557"/>
    <x v="4"/>
    <x v="2"/>
    <x v="1"/>
    <n v="68515"/>
    <d v="2012-03-29T00:00:00"/>
    <n v="33"/>
    <x v="0"/>
    <n v="2"/>
    <s v="No"/>
    <n v="5695.43"/>
    <x v="0"/>
    <x v="4"/>
    <n v="27"/>
    <x v="0"/>
    <x v="1"/>
    <x v="7"/>
    <n v="2014"/>
    <s v="On-Site"/>
    <n v="189"/>
    <x v="29"/>
  </r>
  <r>
    <n v="10558"/>
    <x v="6"/>
    <x v="3"/>
    <x v="4"/>
    <n v="119144"/>
    <d v="2002-04-07T00:00:00"/>
    <n v="32"/>
    <x v="0"/>
    <n v="4"/>
    <s v="No"/>
    <n v="8089.02"/>
    <x v="1"/>
    <x v="4"/>
    <n v="6"/>
    <x v="1"/>
    <x v="0"/>
    <x v="3"/>
    <n v="2022"/>
    <s v="On-Site"/>
    <n v="17"/>
    <x v="31"/>
  </r>
  <r>
    <n v="10559"/>
    <x v="4"/>
    <x v="2"/>
    <x v="5"/>
    <n v="57898"/>
    <d v="2016-11-28T00:00:00"/>
    <n v="59"/>
    <x v="0"/>
    <n v="3"/>
    <s v="Yes"/>
    <n v="7634.61"/>
    <x v="1"/>
    <x v="1"/>
    <n v="38"/>
    <x v="0"/>
    <x v="1"/>
    <x v="3"/>
    <n v="2016"/>
    <s v="Fully Remote"/>
    <n v="59"/>
    <x v="28"/>
  </r>
  <r>
    <n v="10560"/>
    <x v="6"/>
    <x v="2"/>
    <x v="5"/>
    <n v="31919"/>
    <d v="2018-03-14T00:00:00"/>
    <n v="49"/>
    <x v="1"/>
    <n v="7"/>
    <s v="Yes"/>
    <n v="7828.81"/>
    <x v="1"/>
    <x v="3"/>
    <n v="4"/>
    <x v="0"/>
    <x v="1"/>
    <x v="5"/>
    <n v="2010"/>
    <s v="On-Site"/>
    <n v="67"/>
    <x v="7"/>
  </r>
  <r>
    <n v="10561"/>
    <x v="1"/>
    <x v="6"/>
    <x v="0"/>
    <n v="80070"/>
    <d v="2012-12-05T00:00:00"/>
    <n v="29"/>
    <x v="0"/>
    <n v="1"/>
    <s v="No"/>
    <n v="5242.7700000000004"/>
    <x v="1"/>
    <x v="3"/>
    <n v="35"/>
    <x v="2"/>
    <x v="5"/>
    <x v="14"/>
    <n v="2010"/>
    <s v="On-Site"/>
    <n v="134"/>
    <x v="32"/>
  </r>
  <r>
    <n v="10562"/>
    <x v="3"/>
    <x v="1"/>
    <x v="5"/>
    <n v="92613"/>
    <d v="2016-06-20T00:00:00"/>
    <n v="31"/>
    <x v="0"/>
    <n v="4"/>
    <s v="Yes"/>
    <n v="3861.87"/>
    <x v="2"/>
    <x v="1"/>
    <n v="10"/>
    <x v="0"/>
    <x v="5"/>
    <x v="7"/>
    <n v="2023"/>
    <s v="Hybrid"/>
    <n v="188"/>
    <x v="23"/>
  </r>
  <r>
    <n v="10563"/>
    <x v="0"/>
    <x v="0"/>
    <x v="3"/>
    <n v="116135"/>
    <d v="2014-01-09T00:00:00"/>
    <n v="46"/>
    <x v="0"/>
    <n v="7"/>
    <s v="Yes"/>
    <n v="9367.65"/>
    <x v="3"/>
    <x v="2"/>
    <n v="38"/>
    <x v="2"/>
    <x v="2"/>
    <x v="3"/>
    <n v="2022"/>
    <s v="Fully Remote"/>
    <n v="11"/>
    <x v="15"/>
  </r>
  <r>
    <n v="10564"/>
    <x v="0"/>
    <x v="3"/>
    <x v="5"/>
    <n v="112501"/>
    <d v="2016-05-23T00:00:00"/>
    <n v="57"/>
    <x v="1"/>
    <n v="5"/>
    <s v="Yes"/>
    <n v="1015.56"/>
    <x v="3"/>
    <x v="2"/>
    <n v="30"/>
    <x v="0"/>
    <x v="2"/>
    <x v="2"/>
    <n v="2021"/>
    <s v="On-Site"/>
    <n v="175"/>
    <x v="5"/>
  </r>
  <r>
    <n v="10565"/>
    <x v="1"/>
    <x v="6"/>
    <x v="4"/>
    <n v="77003"/>
    <d v="2005-09-20T00:00:00"/>
    <n v="64"/>
    <x v="0"/>
    <n v="4"/>
    <s v="Yes"/>
    <n v="1949.9"/>
    <x v="0"/>
    <x v="3"/>
    <n v="9"/>
    <x v="1"/>
    <x v="1"/>
    <x v="9"/>
    <n v="2020"/>
    <s v="Fully Remote"/>
    <n v="163"/>
    <x v="2"/>
  </r>
  <r>
    <n v="10566"/>
    <x v="5"/>
    <x v="2"/>
    <x v="1"/>
    <n v="78478"/>
    <d v="2005-08-18T00:00:00"/>
    <n v="30"/>
    <x v="0"/>
    <n v="4"/>
    <s v="No"/>
    <n v="4486.1899999999996"/>
    <x v="3"/>
    <x v="3"/>
    <n v="16"/>
    <x v="0"/>
    <x v="2"/>
    <x v="5"/>
    <n v="2021"/>
    <s v="On-Site"/>
    <n v="193"/>
    <x v="14"/>
  </r>
  <r>
    <n v="10567"/>
    <x v="5"/>
    <x v="6"/>
    <x v="1"/>
    <n v="44434"/>
    <d v="2019-07-23T00:00:00"/>
    <n v="62"/>
    <x v="1"/>
    <n v="2"/>
    <s v="No"/>
    <n v="6332.6"/>
    <x v="3"/>
    <x v="3"/>
    <n v="4"/>
    <x v="1"/>
    <x v="2"/>
    <x v="16"/>
    <n v="2015"/>
    <s v="Fully Remote"/>
    <n v="154"/>
    <x v="18"/>
  </r>
  <r>
    <n v="10568"/>
    <x v="4"/>
    <x v="1"/>
    <x v="4"/>
    <n v="76246"/>
    <d v="2002-03-29T00:00:00"/>
    <n v="29"/>
    <x v="1"/>
    <n v="8"/>
    <s v="No"/>
    <n v="577.9"/>
    <x v="2"/>
    <x v="2"/>
    <n v="26"/>
    <x v="0"/>
    <x v="0"/>
    <x v="1"/>
    <n v="2020"/>
    <s v="On-Site"/>
    <n v="194"/>
    <x v="10"/>
  </r>
  <r>
    <n v="10569"/>
    <x v="0"/>
    <x v="0"/>
    <x v="3"/>
    <n v="66649"/>
    <d v="2013-01-04T00:00:00"/>
    <n v="24"/>
    <x v="1"/>
    <n v="4"/>
    <s v="Yes"/>
    <n v="7333.57"/>
    <x v="1"/>
    <x v="4"/>
    <n v="29"/>
    <x v="0"/>
    <x v="0"/>
    <x v="10"/>
    <n v="2011"/>
    <s v="On-Site"/>
    <n v="32"/>
    <x v="4"/>
  </r>
  <r>
    <n v="10570"/>
    <x v="0"/>
    <x v="5"/>
    <x v="5"/>
    <n v="89030"/>
    <d v="2010-11-28T00:00:00"/>
    <n v="39"/>
    <x v="1"/>
    <n v="2"/>
    <s v="No"/>
    <n v="5807.9"/>
    <x v="1"/>
    <x v="1"/>
    <n v="28"/>
    <x v="1"/>
    <x v="0"/>
    <x v="8"/>
    <n v="2011"/>
    <s v="Hybrid"/>
    <n v="29"/>
    <x v="28"/>
  </r>
  <r>
    <n v="10571"/>
    <x v="6"/>
    <x v="3"/>
    <x v="4"/>
    <n v="83061"/>
    <d v="2010-01-28T00:00:00"/>
    <n v="56"/>
    <x v="0"/>
    <n v="9"/>
    <s v="No"/>
    <n v="5104.68"/>
    <x v="1"/>
    <x v="1"/>
    <n v="11"/>
    <x v="1"/>
    <x v="4"/>
    <x v="12"/>
    <n v="2021"/>
    <s v="Fully Remote"/>
    <n v="197"/>
    <x v="39"/>
  </r>
  <r>
    <n v="10572"/>
    <x v="3"/>
    <x v="0"/>
    <x v="0"/>
    <n v="31999"/>
    <d v="2004-12-16T00:00:00"/>
    <n v="38"/>
    <x v="1"/>
    <n v="7"/>
    <s v="No"/>
    <n v="4523.2"/>
    <x v="3"/>
    <x v="0"/>
    <n v="28"/>
    <x v="1"/>
    <x v="1"/>
    <x v="8"/>
    <n v="2022"/>
    <s v="On-Site"/>
    <n v="164"/>
    <x v="10"/>
  </r>
  <r>
    <n v="10573"/>
    <x v="7"/>
    <x v="4"/>
    <x v="1"/>
    <n v="44849"/>
    <d v="2013-05-17T00:00:00"/>
    <n v="57"/>
    <x v="1"/>
    <n v="3"/>
    <s v="Yes"/>
    <n v="5435.13"/>
    <x v="3"/>
    <x v="0"/>
    <n v="32"/>
    <x v="1"/>
    <x v="2"/>
    <x v="13"/>
    <n v="2016"/>
    <s v="Hybrid"/>
    <n v="180"/>
    <x v="6"/>
  </r>
  <r>
    <n v="10574"/>
    <x v="5"/>
    <x v="3"/>
    <x v="2"/>
    <n v="106439"/>
    <d v="2015-03-18T00:00:00"/>
    <n v="49"/>
    <x v="1"/>
    <n v="7"/>
    <s v="Yes"/>
    <n v="2036.96"/>
    <x v="0"/>
    <x v="4"/>
    <n v="24"/>
    <x v="2"/>
    <x v="4"/>
    <x v="9"/>
    <n v="2018"/>
    <s v="Hybrid"/>
    <n v="84"/>
    <x v="25"/>
  </r>
  <r>
    <n v="10575"/>
    <x v="0"/>
    <x v="0"/>
    <x v="0"/>
    <n v="82800"/>
    <d v="2019-09-12T00:00:00"/>
    <n v="36"/>
    <x v="0"/>
    <n v="1"/>
    <s v="Yes"/>
    <n v="1532.76"/>
    <x v="2"/>
    <x v="3"/>
    <n v="39"/>
    <x v="2"/>
    <x v="3"/>
    <x v="4"/>
    <n v="2017"/>
    <s v="Fully Remote"/>
    <n v="28"/>
    <x v="14"/>
  </r>
  <r>
    <n v="10576"/>
    <x v="6"/>
    <x v="2"/>
    <x v="3"/>
    <n v="35445"/>
    <d v="2008-07-11T00:00:00"/>
    <n v="40"/>
    <x v="1"/>
    <n v="1"/>
    <s v="Yes"/>
    <n v="3251.56"/>
    <x v="2"/>
    <x v="4"/>
    <n v="7"/>
    <x v="1"/>
    <x v="1"/>
    <x v="16"/>
    <n v="2011"/>
    <s v="Fully Remote"/>
    <n v="85"/>
    <x v="37"/>
  </r>
  <r>
    <n v="10577"/>
    <x v="2"/>
    <x v="3"/>
    <x v="0"/>
    <n v="48040"/>
    <d v="2014-05-17T00:00:00"/>
    <n v="43"/>
    <x v="0"/>
    <n v="4"/>
    <s v="Yes"/>
    <n v="7240.3"/>
    <x v="0"/>
    <x v="0"/>
    <n v="18"/>
    <x v="2"/>
    <x v="3"/>
    <x v="5"/>
    <n v="2023"/>
    <s v="Hybrid"/>
    <n v="129"/>
    <x v="39"/>
  </r>
  <r>
    <n v="10578"/>
    <x v="6"/>
    <x v="3"/>
    <x v="4"/>
    <n v="94315"/>
    <d v="2004-06-17T00:00:00"/>
    <n v="27"/>
    <x v="0"/>
    <n v="4"/>
    <s v="No"/>
    <n v="6088.73"/>
    <x v="0"/>
    <x v="0"/>
    <n v="3"/>
    <x v="0"/>
    <x v="0"/>
    <x v="2"/>
    <n v="2016"/>
    <s v="Fully Remote"/>
    <n v="174"/>
    <x v="0"/>
  </r>
  <r>
    <n v="10579"/>
    <x v="5"/>
    <x v="6"/>
    <x v="5"/>
    <n v="30246"/>
    <d v="2004-03-23T00:00:00"/>
    <n v="28"/>
    <x v="1"/>
    <n v="4"/>
    <s v="No"/>
    <n v="5061.17"/>
    <x v="0"/>
    <x v="1"/>
    <n v="20"/>
    <x v="0"/>
    <x v="3"/>
    <x v="7"/>
    <n v="2014"/>
    <s v="Fully Remote"/>
    <n v="74"/>
    <x v="4"/>
  </r>
  <r>
    <n v="10580"/>
    <x v="5"/>
    <x v="2"/>
    <x v="1"/>
    <n v="61153"/>
    <d v="2018-06-16T00:00:00"/>
    <n v="30"/>
    <x v="0"/>
    <n v="9"/>
    <s v="Yes"/>
    <n v="5929.45"/>
    <x v="1"/>
    <x v="4"/>
    <n v="34"/>
    <x v="0"/>
    <x v="0"/>
    <x v="9"/>
    <n v="2022"/>
    <s v="Fully Remote"/>
    <n v="82"/>
    <x v="22"/>
  </r>
  <r>
    <n v="10581"/>
    <x v="6"/>
    <x v="4"/>
    <x v="3"/>
    <n v="35212"/>
    <d v="2009-10-19T00:00:00"/>
    <n v="41"/>
    <x v="1"/>
    <n v="6"/>
    <s v="Yes"/>
    <n v="5812.95"/>
    <x v="1"/>
    <x v="2"/>
    <n v="30"/>
    <x v="2"/>
    <x v="1"/>
    <x v="7"/>
    <n v="2020"/>
    <s v="On-Site"/>
    <n v="94"/>
    <x v="30"/>
  </r>
  <r>
    <n v="10582"/>
    <x v="7"/>
    <x v="5"/>
    <x v="3"/>
    <n v="33339"/>
    <d v="2015-10-18T00:00:00"/>
    <n v="58"/>
    <x v="1"/>
    <n v="3"/>
    <s v="No"/>
    <n v="3416.9"/>
    <x v="1"/>
    <x v="0"/>
    <n v="9"/>
    <x v="2"/>
    <x v="1"/>
    <x v="13"/>
    <n v="2019"/>
    <s v="Fully Remote"/>
    <n v="128"/>
    <x v="8"/>
  </r>
  <r>
    <n v="10583"/>
    <x v="1"/>
    <x v="1"/>
    <x v="2"/>
    <n v="118678"/>
    <d v="2005-03-19T00:00:00"/>
    <n v="32"/>
    <x v="0"/>
    <n v="6"/>
    <s v="No"/>
    <n v="1425.83"/>
    <x v="1"/>
    <x v="1"/>
    <n v="10"/>
    <x v="0"/>
    <x v="2"/>
    <x v="4"/>
    <n v="2021"/>
    <s v="Fully Remote"/>
    <n v="96"/>
    <x v="35"/>
  </r>
  <r>
    <n v="10584"/>
    <x v="5"/>
    <x v="0"/>
    <x v="0"/>
    <n v="86238"/>
    <d v="2003-12-07T00:00:00"/>
    <n v="23"/>
    <x v="0"/>
    <n v="2"/>
    <s v="Yes"/>
    <n v="9019.43"/>
    <x v="0"/>
    <x v="3"/>
    <n v="6"/>
    <x v="1"/>
    <x v="4"/>
    <x v="7"/>
    <n v="2023"/>
    <s v="Hybrid"/>
    <n v="115"/>
    <x v="12"/>
  </r>
  <r>
    <n v="10585"/>
    <x v="6"/>
    <x v="6"/>
    <x v="2"/>
    <n v="49394"/>
    <d v="2013-10-10T00:00:00"/>
    <n v="43"/>
    <x v="0"/>
    <n v="2"/>
    <s v="Yes"/>
    <n v="6199.16"/>
    <x v="0"/>
    <x v="4"/>
    <n v="17"/>
    <x v="0"/>
    <x v="0"/>
    <x v="5"/>
    <n v="2022"/>
    <s v="Hybrid"/>
    <n v="168"/>
    <x v="31"/>
  </r>
  <r>
    <n v="10586"/>
    <x v="0"/>
    <x v="0"/>
    <x v="5"/>
    <n v="83871"/>
    <d v="2009-01-30T00:00:00"/>
    <n v="57"/>
    <x v="0"/>
    <n v="7"/>
    <s v="Yes"/>
    <n v="7128.61"/>
    <x v="0"/>
    <x v="0"/>
    <n v="15"/>
    <x v="2"/>
    <x v="5"/>
    <x v="1"/>
    <n v="2013"/>
    <s v="Hybrid"/>
    <n v="163"/>
    <x v="20"/>
  </r>
  <r>
    <n v="10587"/>
    <x v="6"/>
    <x v="4"/>
    <x v="5"/>
    <n v="107722"/>
    <d v="2009-08-21T00:00:00"/>
    <n v="26"/>
    <x v="1"/>
    <n v="3"/>
    <s v="No"/>
    <n v="4907.97"/>
    <x v="1"/>
    <x v="2"/>
    <n v="33"/>
    <x v="0"/>
    <x v="5"/>
    <x v="8"/>
    <n v="2021"/>
    <s v="Fully Remote"/>
    <n v="132"/>
    <x v="21"/>
  </r>
  <r>
    <n v="10588"/>
    <x v="3"/>
    <x v="4"/>
    <x v="2"/>
    <n v="64607"/>
    <d v="2008-05-17T00:00:00"/>
    <n v="28"/>
    <x v="0"/>
    <n v="7"/>
    <s v="No"/>
    <n v="7686.57"/>
    <x v="1"/>
    <x v="0"/>
    <n v="13"/>
    <x v="0"/>
    <x v="2"/>
    <x v="8"/>
    <n v="2023"/>
    <s v="Fully Remote"/>
    <n v="159"/>
    <x v="40"/>
  </r>
  <r>
    <n v="10589"/>
    <x v="1"/>
    <x v="3"/>
    <x v="1"/>
    <n v="82055"/>
    <d v="2011-04-09T00:00:00"/>
    <n v="27"/>
    <x v="0"/>
    <n v="3"/>
    <s v="Yes"/>
    <n v="6052.72"/>
    <x v="3"/>
    <x v="2"/>
    <n v="22"/>
    <x v="2"/>
    <x v="4"/>
    <x v="10"/>
    <n v="2019"/>
    <s v="Hybrid"/>
    <n v="198"/>
    <x v="40"/>
  </r>
  <r>
    <n v="10590"/>
    <x v="2"/>
    <x v="1"/>
    <x v="5"/>
    <n v="34395"/>
    <d v="2002-09-25T00:00:00"/>
    <n v="43"/>
    <x v="0"/>
    <n v="2"/>
    <s v="Yes"/>
    <n v="1011.11"/>
    <x v="0"/>
    <x v="4"/>
    <n v="16"/>
    <x v="2"/>
    <x v="0"/>
    <x v="14"/>
    <n v="2023"/>
    <s v="Hybrid"/>
    <n v="177"/>
    <x v="13"/>
  </r>
  <r>
    <n v="10591"/>
    <x v="7"/>
    <x v="4"/>
    <x v="2"/>
    <n v="45290"/>
    <d v="2003-12-02T00:00:00"/>
    <n v="31"/>
    <x v="0"/>
    <n v="4"/>
    <s v="No"/>
    <n v="8955.92"/>
    <x v="2"/>
    <x v="2"/>
    <n v="34"/>
    <x v="2"/>
    <x v="2"/>
    <x v="15"/>
    <n v="2013"/>
    <s v="On-Site"/>
    <n v="48"/>
    <x v="5"/>
  </r>
  <r>
    <n v="10592"/>
    <x v="4"/>
    <x v="0"/>
    <x v="0"/>
    <n v="117687"/>
    <d v="2012-06-18T00:00:00"/>
    <n v="61"/>
    <x v="1"/>
    <n v="4"/>
    <s v="No"/>
    <n v="3402.59"/>
    <x v="2"/>
    <x v="2"/>
    <n v="3"/>
    <x v="2"/>
    <x v="4"/>
    <x v="0"/>
    <n v="2013"/>
    <s v="On-Site"/>
    <n v="61"/>
    <x v="17"/>
  </r>
  <r>
    <n v="10593"/>
    <x v="2"/>
    <x v="2"/>
    <x v="2"/>
    <n v="95078"/>
    <d v="2015-03-26T00:00:00"/>
    <n v="41"/>
    <x v="1"/>
    <n v="3"/>
    <s v="No"/>
    <n v="1809.96"/>
    <x v="3"/>
    <x v="1"/>
    <n v="8"/>
    <x v="0"/>
    <x v="5"/>
    <x v="11"/>
    <n v="2018"/>
    <s v="On-Site"/>
    <n v="25"/>
    <x v="15"/>
  </r>
  <r>
    <n v="10594"/>
    <x v="1"/>
    <x v="2"/>
    <x v="2"/>
    <n v="33691"/>
    <d v="2016-10-06T00:00:00"/>
    <n v="49"/>
    <x v="0"/>
    <n v="9"/>
    <s v="Yes"/>
    <n v="1336.39"/>
    <x v="1"/>
    <x v="4"/>
    <n v="20"/>
    <x v="2"/>
    <x v="0"/>
    <x v="3"/>
    <n v="2016"/>
    <s v="Fully Remote"/>
    <n v="59"/>
    <x v="31"/>
  </r>
  <r>
    <n v="10595"/>
    <x v="1"/>
    <x v="3"/>
    <x v="4"/>
    <n v="37470"/>
    <d v="2008-05-19T00:00:00"/>
    <n v="44"/>
    <x v="0"/>
    <n v="6"/>
    <s v="Yes"/>
    <n v="7344.18"/>
    <x v="0"/>
    <x v="0"/>
    <n v="24"/>
    <x v="1"/>
    <x v="4"/>
    <x v="0"/>
    <n v="2016"/>
    <s v="Fully Remote"/>
    <n v="113"/>
    <x v="19"/>
  </r>
  <r>
    <n v="10596"/>
    <x v="1"/>
    <x v="5"/>
    <x v="5"/>
    <n v="33841"/>
    <d v="2000-09-21T00:00:00"/>
    <n v="56"/>
    <x v="1"/>
    <n v="5"/>
    <s v="Yes"/>
    <n v="7187.7"/>
    <x v="1"/>
    <x v="3"/>
    <n v="18"/>
    <x v="2"/>
    <x v="3"/>
    <x v="12"/>
    <n v="2023"/>
    <s v="Hybrid"/>
    <n v="147"/>
    <x v="35"/>
  </r>
  <r>
    <n v="10597"/>
    <x v="2"/>
    <x v="0"/>
    <x v="1"/>
    <n v="93197"/>
    <d v="2010-03-20T00:00:00"/>
    <n v="22"/>
    <x v="1"/>
    <n v="6"/>
    <s v="Yes"/>
    <n v="7151.54"/>
    <x v="1"/>
    <x v="4"/>
    <n v="23"/>
    <x v="2"/>
    <x v="0"/>
    <x v="11"/>
    <n v="2013"/>
    <s v="On-Site"/>
    <n v="166"/>
    <x v="18"/>
  </r>
  <r>
    <n v="10598"/>
    <x v="0"/>
    <x v="0"/>
    <x v="1"/>
    <n v="85773"/>
    <d v="2017-04-28T00:00:00"/>
    <n v="50"/>
    <x v="1"/>
    <n v="8"/>
    <s v="No"/>
    <n v="9199.65"/>
    <x v="2"/>
    <x v="4"/>
    <n v="1"/>
    <x v="0"/>
    <x v="3"/>
    <x v="3"/>
    <n v="2018"/>
    <s v="Fully Remote"/>
    <n v="108"/>
    <x v="28"/>
  </r>
  <r>
    <n v="10599"/>
    <x v="1"/>
    <x v="4"/>
    <x v="4"/>
    <n v="47776"/>
    <d v="2006-03-24T00:00:00"/>
    <n v="30"/>
    <x v="1"/>
    <n v="5"/>
    <s v="No"/>
    <n v="3814.96"/>
    <x v="2"/>
    <x v="3"/>
    <n v="2"/>
    <x v="1"/>
    <x v="1"/>
    <x v="10"/>
    <n v="2017"/>
    <s v="On-Site"/>
    <n v="135"/>
    <x v="20"/>
  </r>
  <r>
    <n v="10600"/>
    <x v="6"/>
    <x v="1"/>
    <x v="3"/>
    <n v="101596"/>
    <d v="2010-08-11T00:00:00"/>
    <n v="30"/>
    <x v="0"/>
    <n v="4"/>
    <s v="Yes"/>
    <n v="5830.76"/>
    <x v="0"/>
    <x v="0"/>
    <n v="5"/>
    <x v="1"/>
    <x v="1"/>
    <x v="17"/>
    <n v="2019"/>
    <s v="On-Site"/>
    <n v="133"/>
    <x v="37"/>
  </r>
  <r>
    <n v="10601"/>
    <x v="2"/>
    <x v="0"/>
    <x v="1"/>
    <n v="57584"/>
    <d v="2009-01-30T00:00:00"/>
    <n v="43"/>
    <x v="0"/>
    <n v="7"/>
    <s v="Yes"/>
    <n v="6385.21"/>
    <x v="0"/>
    <x v="1"/>
    <n v="18"/>
    <x v="1"/>
    <x v="1"/>
    <x v="0"/>
    <n v="2013"/>
    <s v="Fully Remote"/>
    <n v="28"/>
    <x v="14"/>
  </r>
  <r>
    <n v="10602"/>
    <x v="4"/>
    <x v="6"/>
    <x v="2"/>
    <n v="34300"/>
    <d v="2005-08-08T00:00:00"/>
    <n v="23"/>
    <x v="1"/>
    <n v="5"/>
    <s v="Yes"/>
    <n v="9805.08"/>
    <x v="1"/>
    <x v="0"/>
    <n v="16"/>
    <x v="2"/>
    <x v="2"/>
    <x v="3"/>
    <n v="2022"/>
    <s v="On-Site"/>
    <n v="175"/>
    <x v="29"/>
  </r>
  <r>
    <n v="10603"/>
    <x v="1"/>
    <x v="5"/>
    <x v="4"/>
    <n v="33338"/>
    <d v="2008-08-10T00:00:00"/>
    <n v="37"/>
    <x v="1"/>
    <n v="4"/>
    <s v="Yes"/>
    <n v="3467.29"/>
    <x v="1"/>
    <x v="3"/>
    <n v="10"/>
    <x v="0"/>
    <x v="4"/>
    <x v="7"/>
    <n v="2015"/>
    <s v="Hybrid"/>
    <n v="31"/>
    <x v="23"/>
  </r>
  <r>
    <n v="10604"/>
    <x v="6"/>
    <x v="4"/>
    <x v="0"/>
    <n v="92601"/>
    <d v="2008-10-26T00:00:00"/>
    <n v="61"/>
    <x v="0"/>
    <n v="5"/>
    <s v="Yes"/>
    <n v="9585.15"/>
    <x v="3"/>
    <x v="0"/>
    <n v="29"/>
    <x v="0"/>
    <x v="1"/>
    <x v="13"/>
    <n v="2013"/>
    <s v="Hybrid"/>
    <n v="141"/>
    <x v="21"/>
  </r>
  <r>
    <n v="10605"/>
    <x v="0"/>
    <x v="6"/>
    <x v="5"/>
    <n v="35487"/>
    <d v="2008-08-06T00:00:00"/>
    <n v="27"/>
    <x v="0"/>
    <n v="4"/>
    <s v="Yes"/>
    <n v="1912.98"/>
    <x v="1"/>
    <x v="4"/>
    <n v="35"/>
    <x v="2"/>
    <x v="4"/>
    <x v="13"/>
    <n v="2010"/>
    <s v="Fully Remote"/>
    <n v="92"/>
    <x v="9"/>
  </r>
  <r>
    <n v="10606"/>
    <x v="3"/>
    <x v="3"/>
    <x v="5"/>
    <n v="66282"/>
    <d v="2013-11-12T00:00:00"/>
    <n v="34"/>
    <x v="1"/>
    <n v="8"/>
    <s v="Yes"/>
    <n v="7758.01"/>
    <x v="3"/>
    <x v="1"/>
    <n v="25"/>
    <x v="1"/>
    <x v="4"/>
    <x v="14"/>
    <n v="2014"/>
    <s v="On-Site"/>
    <n v="149"/>
    <x v="25"/>
  </r>
  <r>
    <n v="10607"/>
    <x v="0"/>
    <x v="2"/>
    <x v="5"/>
    <n v="106816"/>
    <d v="2013-06-01T00:00:00"/>
    <n v="54"/>
    <x v="0"/>
    <n v="8"/>
    <s v="Yes"/>
    <n v="6512.42"/>
    <x v="1"/>
    <x v="2"/>
    <n v="24"/>
    <x v="1"/>
    <x v="4"/>
    <x v="16"/>
    <n v="2019"/>
    <s v="Hybrid"/>
    <n v="96"/>
    <x v="4"/>
  </r>
  <r>
    <n v="10608"/>
    <x v="4"/>
    <x v="3"/>
    <x v="2"/>
    <n v="58804"/>
    <d v="2003-06-07T00:00:00"/>
    <n v="40"/>
    <x v="1"/>
    <n v="1"/>
    <s v="Yes"/>
    <n v="8260.51"/>
    <x v="1"/>
    <x v="0"/>
    <n v="13"/>
    <x v="0"/>
    <x v="0"/>
    <x v="6"/>
    <n v="2023"/>
    <s v="On-Site"/>
    <n v="43"/>
    <x v="13"/>
  </r>
  <r>
    <n v="10609"/>
    <x v="1"/>
    <x v="2"/>
    <x v="0"/>
    <n v="39915"/>
    <d v="2001-12-23T00:00:00"/>
    <n v="36"/>
    <x v="0"/>
    <n v="3"/>
    <s v="Yes"/>
    <n v="772.51"/>
    <x v="1"/>
    <x v="2"/>
    <n v="21"/>
    <x v="2"/>
    <x v="3"/>
    <x v="5"/>
    <n v="2020"/>
    <s v="Hybrid"/>
    <n v="59"/>
    <x v="9"/>
  </r>
  <r>
    <n v="10610"/>
    <x v="4"/>
    <x v="3"/>
    <x v="4"/>
    <n v="41158"/>
    <d v="2014-03-19T00:00:00"/>
    <n v="54"/>
    <x v="0"/>
    <n v="4"/>
    <s v="No"/>
    <n v="1242.24"/>
    <x v="0"/>
    <x v="1"/>
    <n v="39"/>
    <x v="1"/>
    <x v="3"/>
    <x v="0"/>
    <n v="2012"/>
    <s v="Hybrid"/>
    <n v="129"/>
    <x v="12"/>
  </r>
  <r>
    <n v="10611"/>
    <x v="2"/>
    <x v="0"/>
    <x v="4"/>
    <n v="104157"/>
    <d v="2013-12-15T00:00:00"/>
    <n v="31"/>
    <x v="1"/>
    <n v="2"/>
    <s v="No"/>
    <n v="1162.1099999999999"/>
    <x v="0"/>
    <x v="2"/>
    <n v="34"/>
    <x v="2"/>
    <x v="2"/>
    <x v="3"/>
    <n v="2010"/>
    <s v="On-Site"/>
    <n v="49"/>
    <x v="5"/>
  </r>
  <r>
    <n v="10612"/>
    <x v="5"/>
    <x v="6"/>
    <x v="5"/>
    <n v="40547"/>
    <d v="2019-03-20T00:00:00"/>
    <n v="22"/>
    <x v="0"/>
    <n v="5"/>
    <s v="No"/>
    <n v="6133.11"/>
    <x v="0"/>
    <x v="0"/>
    <n v="19"/>
    <x v="0"/>
    <x v="1"/>
    <x v="14"/>
    <n v="2011"/>
    <s v="Fully Remote"/>
    <n v="160"/>
    <x v="32"/>
  </r>
  <r>
    <n v="10613"/>
    <x v="1"/>
    <x v="2"/>
    <x v="0"/>
    <n v="118713"/>
    <d v="2000-03-24T00:00:00"/>
    <n v="33"/>
    <x v="1"/>
    <n v="8"/>
    <s v="No"/>
    <n v="6227.89"/>
    <x v="3"/>
    <x v="3"/>
    <n v="28"/>
    <x v="2"/>
    <x v="2"/>
    <x v="6"/>
    <n v="2011"/>
    <s v="Fully Remote"/>
    <n v="188"/>
    <x v="12"/>
  </r>
  <r>
    <n v="10614"/>
    <x v="5"/>
    <x v="4"/>
    <x v="0"/>
    <n v="32459"/>
    <d v="2013-03-28T00:00:00"/>
    <n v="64"/>
    <x v="0"/>
    <n v="2"/>
    <s v="Yes"/>
    <n v="9108"/>
    <x v="3"/>
    <x v="4"/>
    <n v="27"/>
    <x v="2"/>
    <x v="4"/>
    <x v="18"/>
    <n v="2017"/>
    <s v="Fully Remote"/>
    <n v="105"/>
    <x v="8"/>
  </r>
  <r>
    <n v="10615"/>
    <x v="6"/>
    <x v="6"/>
    <x v="0"/>
    <n v="58768"/>
    <d v="2009-03-24T00:00:00"/>
    <n v="50"/>
    <x v="1"/>
    <n v="9"/>
    <s v="No"/>
    <n v="4942.2299999999996"/>
    <x v="0"/>
    <x v="4"/>
    <n v="26"/>
    <x v="2"/>
    <x v="5"/>
    <x v="5"/>
    <n v="2013"/>
    <s v="On-Site"/>
    <n v="161"/>
    <x v="8"/>
  </r>
  <r>
    <n v="10616"/>
    <x v="3"/>
    <x v="4"/>
    <x v="1"/>
    <n v="93146"/>
    <d v="2010-06-16T00:00:00"/>
    <n v="38"/>
    <x v="1"/>
    <n v="7"/>
    <s v="No"/>
    <n v="1146.47"/>
    <x v="3"/>
    <x v="2"/>
    <n v="11"/>
    <x v="2"/>
    <x v="5"/>
    <x v="11"/>
    <n v="2012"/>
    <s v="On-Site"/>
    <n v="33"/>
    <x v="24"/>
  </r>
  <r>
    <n v="10617"/>
    <x v="7"/>
    <x v="6"/>
    <x v="1"/>
    <n v="80870"/>
    <d v="2009-03-18T00:00:00"/>
    <n v="25"/>
    <x v="1"/>
    <n v="6"/>
    <s v="No"/>
    <n v="2490.5300000000002"/>
    <x v="0"/>
    <x v="4"/>
    <n v="35"/>
    <x v="1"/>
    <x v="4"/>
    <x v="0"/>
    <n v="2013"/>
    <s v="On-Site"/>
    <n v="73"/>
    <x v="4"/>
  </r>
  <r>
    <n v="10618"/>
    <x v="4"/>
    <x v="6"/>
    <x v="5"/>
    <n v="80460"/>
    <d v="2004-10-23T00:00:00"/>
    <n v="50"/>
    <x v="0"/>
    <n v="8"/>
    <s v="No"/>
    <n v="576.69000000000005"/>
    <x v="2"/>
    <x v="4"/>
    <n v="20"/>
    <x v="0"/>
    <x v="1"/>
    <x v="17"/>
    <n v="2019"/>
    <s v="Fully Remote"/>
    <n v="15"/>
    <x v="32"/>
  </r>
  <r>
    <n v="10619"/>
    <x v="0"/>
    <x v="3"/>
    <x v="0"/>
    <n v="112970"/>
    <d v="2016-09-02T00:00:00"/>
    <n v="28"/>
    <x v="1"/>
    <n v="2"/>
    <s v="No"/>
    <n v="7878.79"/>
    <x v="0"/>
    <x v="3"/>
    <n v="12"/>
    <x v="1"/>
    <x v="3"/>
    <x v="9"/>
    <n v="2010"/>
    <s v="On-Site"/>
    <n v="134"/>
    <x v="4"/>
  </r>
  <r>
    <n v="10620"/>
    <x v="3"/>
    <x v="2"/>
    <x v="3"/>
    <n v="90817"/>
    <d v="2011-10-28T00:00:00"/>
    <n v="34"/>
    <x v="1"/>
    <n v="5"/>
    <s v="Yes"/>
    <n v="8248.19"/>
    <x v="2"/>
    <x v="2"/>
    <n v="28"/>
    <x v="1"/>
    <x v="2"/>
    <x v="5"/>
    <n v="2010"/>
    <s v="Fully Remote"/>
    <n v="142"/>
    <x v="28"/>
  </r>
  <r>
    <n v="10621"/>
    <x v="1"/>
    <x v="2"/>
    <x v="0"/>
    <n v="68247"/>
    <d v="2018-12-28T00:00:00"/>
    <n v="26"/>
    <x v="0"/>
    <n v="4"/>
    <s v="No"/>
    <n v="9980.43"/>
    <x v="1"/>
    <x v="3"/>
    <n v="2"/>
    <x v="1"/>
    <x v="0"/>
    <x v="12"/>
    <n v="2014"/>
    <s v="Hybrid"/>
    <n v="107"/>
    <x v="27"/>
  </r>
  <r>
    <n v="10622"/>
    <x v="5"/>
    <x v="1"/>
    <x v="4"/>
    <n v="45419"/>
    <d v="2007-08-12T00:00:00"/>
    <n v="27"/>
    <x v="0"/>
    <n v="8"/>
    <s v="No"/>
    <n v="4415.8500000000004"/>
    <x v="3"/>
    <x v="3"/>
    <n v="1"/>
    <x v="1"/>
    <x v="5"/>
    <x v="7"/>
    <n v="2016"/>
    <s v="Fully Remote"/>
    <n v="112"/>
    <x v="23"/>
  </r>
  <r>
    <n v="10623"/>
    <x v="0"/>
    <x v="6"/>
    <x v="4"/>
    <n v="65577"/>
    <d v="2008-12-31T00:00:00"/>
    <n v="55"/>
    <x v="1"/>
    <n v="1"/>
    <s v="Yes"/>
    <n v="683.33"/>
    <x v="3"/>
    <x v="1"/>
    <n v="9"/>
    <x v="0"/>
    <x v="2"/>
    <x v="4"/>
    <n v="2018"/>
    <s v="Fully Remote"/>
    <n v="123"/>
    <x v="17"/>
  </r>
  <r>
    <n v="10624"/>
    <x v="5"/>
    <x v="0"/>
    <x v="5"/>
    <n v="32921"/>
    <d v="2006-09-18T00:00:00"/>
    <n v="28"/>
    <x v="1"/>
    <n v="3"/>
    <s v="No"/>
    <n v="2729.93"/>
    <x v="0"/>
    <x v="2"/>
    <n v="22"/>
    <x v="0"/>
    <x v="5"/>
    <x v="19"/>
    <n v="2016"/>
    <s v="Fully Remote"/>
    <n v="159"/>
    <x v="28"/>
  </r>
  <r>
    <n v="10625"/>
    <x v="2"/>
    <x v="0"/>
    <x v="3"/>
    <n v="34676"/>
    <d v="2014-06-24T00:00:00"/>
    <n v="49"/>
    <x v="0"/>
    <n v="8"/>
    <s v="Yes"/>
    <n v="6083.8"/>
    <x v="1"/>
    <x v="3"/>
    <n v="27"/>
    <x v="1"/>
    <x v="3"/>
    <x v="9"/>
    <n v="2020"/>
    <s v="On-Site"/>
    <n v="91"/>
    <x v="30"/>
  </r>
  <r>
    <n v="10626"/>
    <x v="5"/>
    <x v="4"/>
    <x v="0"/>
    <n v="115961"/>
    <d v="2000-11-24T00:00:00"/>
    <n v="31"/>
    <x v="0"/>
    <n v="5"/>
    <s v="No"/>
    <n v="9638.4599999999991"/>
    <x v="1"/>
    <x v="0"/>
    <n v="9"/>
    <x v="2"/>
    <x v="3"/>
    <x v="1"/>
    <n v="2014"/>
    <s v="Fully Remote"/>
    <n v="116"/>
    <x v="26"/>
  </r>
  <r>
    <n v="10627"/>
    <x v="2"/>
    <x v="4"/>
    <x v="3"/>
    <n v="79684"/>
    <d v="2001-03-01T00:00:00"/>
    <n v="25"/>
    <x v="0"/>
    <n v="4"/>
    <s v="Yes"/>
    <n v="1484"/>
    <x v="1"/>
    <x v="4"/>
    <n v="7"/>
    <x v="2"/>
    <x v="4"/>
    <x v="14"/>
    <n v="2012"/>
    <s v="Hybrid"/>
    <n v="167"/>
    <x v="11"/>
  </r>
  <r>
    <n v="10628"/>
    <x v="6"/>
    <x v="3"/>
    <x v="5"/>
    <n v="43463"/>
    <d v="2015-07-14T00:00:00"/>
    <n v="24"/>
    <x v="1"/>
    <n v="6"/>
    <s v="Yes"/>
    <n v="1654.94"/>
    <x v="1"/>
    <x v="2"/>
    <n v="36"/>
    <x v="2"/>
    <x v="4"/>
    <x v="16"/>
    <n v="2017"/>
    <s v="Hybrid"/>
    <n v="182"/>
    <x v="12"/>
  </r>
  <r>
    <n v="10629"/>
    <x v="0"/>
    <x v="6"/>
    <x v="4"/>
    <n v="55474"/>
    <d v="2002-02-08T00:00:00"/>
    <n v="46"/>
    <x v="0"/>
    <n v="5"/>
    <s v="Yes"/>
    <n v="7166.71"/>
    <x v="3"/>
    <x v="1"/>
    <n v="38"/>
    <x v="2"/>
    <x v="5"/>
    <x v="12"/>
    <n v="2021"/>
    <s v="Hybrid"/>
    <n v="78"/>
    <x v="12"/>
  </r>
  <r>
    <n v="10630"/>
    <x v="0"/>
    <x v="4"/>
    <x v="4"/>
    <n v="70935"/>
    <d v="2014-07-21T00:00:00"/>
    <n v="44"/>
    <x v="1"/>
    <n v="3"/>
    <s v="No"/>
    <n v="6838.47"/>
    <x v="0"/>
    <x v="3"/>
    <n v="2"/>
    <x v="2"/>
    <x v="5"/>
    <x v="10"/>
    <n v="2016"/>
    <s v="Hybrid"/>
    <n v="6"/>
    <x v="2"/>
  </r>
  <r>
    <n v="10631"/>
    <x v="7"/>
    <x v="4"/>
    <x v="1"/>
    <n v="97005"/>
    <d v="2010-11-19T00:00:00"/>
    <n v="48"/>
    <x v="1"/>
    <n v="5"/>
    <s v="No"/>
    <n v="2879.81"/>
    <x v="0"/>
    <x v="0"/>
    <n v="5"/>
    <x v="0"/>
    <x v="2"/>
    <x v="9"/>
    <n v="2013"/>
    <s v="Hybrid"/>
    <n v="21"/>
    <x v="3"/>
  </r>
  <r>
    <n v="10632"/>
    <x v="1"/>
    <x v="5"/>
    <x v="5"/>
    <n v="88596"/>
    <d v="2001-08-30T00:00:00"/>
    <n v="35"/>
    <x v="1"/>
    <n v="4"/>
    <s v="Yes"/>
    <n v="8224.8799999999992"/>
    <x v="2"/>
    <x v="4"/>
    <n v="17"/>
    <x v="2"/>
    <x v="4"/>
    <x v="19"/>
    <n v="2010"/>
    <s v="Hybrid"/>
    <n v="99"/>
    <x v="7"/>
  </r>
  <r>
    <n v="10633"/>
    <x v="2"/>
    <x v="6"/>
    <x v="5"/>
    <n v="102828"/>
    <d v="2005-01-26T00:00:00"/>
    <n v="59"/>
    <x v="0"/>
    <n v="1"/>
    <s v="Yes"/>
    <n v="1723.4"/>
    <x v="3"/>
    <x v="4"/>
    <n v="37"/>
    <x v="0"/>
    <x v="3"/>
    <x v="12"/>
    <n v="2022"/>
    <s v="Fully Remote"/>
    <n v="84"/>
    <x v="4"/>
  </r>
  <r>
    <n v="10634"/>
    <x v="7"/>
    <x v="3"/>
    <x v="0"/>
    <n v="119062"/>
    <d v="2018-04-05T00:00:00"/>
    <n v="53"/>
    <x v="0"/>
    <n v="1"/>
    <s v="Yes"/>
    <n v="9294.5499999999993"/>
    <x v="2"/>
    <x v="0"/>
    <n v="35"/>
    <x v="2"/>
    <x v="1"/>
    <x v="13"/>
    <n v="2012"/>
    <s v="On-Site"/>
    <n v="28"/>
    <x v="4"/>
  </r>
  <r>
    <n v="10635"/>
    <x v="5"/>
    <x v="4"/>
    <x v="0"/>
    <n v="85152"/>
    <d v="2007-04-26T00:00:00"/>
    <n v="44"/>
    <x v="0"/>
    <n v="7"/>
    <s v="Yes"/>
    <n v="2409.8000000000002"/>
    <x v="1"/>
    <x v="2"/>
    <n v="8"/>
    <x v="2"/>
    <x v="2"/>
    <x v="18"/>
    <n v="2020"/>
    <s v="On-Site"/>
    <n v="61"/>
    <x v="14"/>
  </r>
  <r>
    <n v="10636"/>
    <x v="5"/>
    <x v="3"/>
    <x v="1"/>
    <n v="119001"/>
    <d v="2005-10-25T00:00:00"/>
    <n v="61"/>
    <x v="1"/>
    <n v="4"/>
    <s v="Yes"/>
    <n v="1272.8499999999999"/>
    <x v="0"/>
    <x v="4"/>
    <n v="3"/>
    <x v="1"/>
    <x v="2"/>
    <x v="9"/>
    <n v="2017"/>
    <s v="Hybrid"/>
    <n v="75"/>
    <x v="39"/>
  </r>
  <r>
    <n v="10637"/>
    <x v="7"/>
    <x v="2"/>
    <x v="2"/>
    <n v="116569"/>
    <d v="2016-10-25T00:00:00"/>
    <n v="58"/>
    <x v="1"/>
    <n v="1"/>
    <s v="Yes"/>
    <n v="3725.46"/>
    <x v="2"/>
    <x v="4"/>
    <n v="3"/>
    <x v="1"/>
    <x v="0"/>
    <x v="18"/>
    <n v="2011"/>
    <s v="Fully Remote"/>
    <n v="87"/>
    <x v="35"/>
  </r>
  <r>
    <n v="10638"/>
    <x v="0"/>
    <x v="3"/>
    <x v="3"/>
    <n v="102467"/>
    <d v="2003-07-24T00:00:00"/>
    <n v="24"/>
    <x v="0"/>
    <n v="6"/>
    <s v="Yes"/>
    <n v="2284.4899999999998"/>
    <x v="3"/>
    <x v="4"/>
    <n v="1"/>
    <x v="1"/>
    <x v="1"/>
    <x v="5"/>
    <n v="2018"/>
    <s v="Hybrid"/>
    <n v="148"/>
    <x v="4"/>
  </r>
  <r>
    <n v="10639"/>
    <x v="5"/>
    <x v="0"/>
    <x v="2"/>
    <n v="82576"/>
    <d v="2013-09-24T00:00:00"/>
    <n v="56"/>
    <x v="0"/>
    <n v="1"/>
    <s v="Yes"/>
    <n v="5505.94"/>
    <x v="0"/>
    <x v="3"/>
    <n v="24"/>
    <x v="0"/>
    <x v="3"/>
    <x v="18"/>
    <n v="2023"/>
    <s v="Hybrid"/>
    <n v="101"/>
    <x v="0"/>
  </r>
  <r>
    <n v="10640"/>
    <x v="4"/>
    <x v="0"/>
    <x v="2"/>
    <n v="96627"/>
    <d v="2019-05-30T00:00:00"/>
    <n v="34"/>
    <x v="1"/>
    <n v="8"/>
    <s v="Yes"/>
    <n v="7025.04"/>
    <x v="3"/>
    <x v="3"/>
    <n v="30"/>
    <x v="0"/>
    <x v="2"/>
    <x v="5"/>
    <n v="2013"/>
    <s v="Hybrid"/>
    <n v="40"/>
    <x v="28"/>
  </r>
  <r>
    <n v="10641"/>
    <x v="6"/>
    <x v="3"/>
    <x v="5"/>
    <n v="55772"/>
    <d v="2001-04-10T00:00:00"/>
    <n v="55"/>
    <x v="1"/>
    <n v="9"/>
    <s v="Yes"/>
    <n v="5163.75"/>
    <x v="0"/>
    <x v="4"/>
    <n v="26"/>
    <x v="1"/>
    <x v="1"/>
    <x v="0"/>
    <n v="2023"/>
    <s v="Hybrid"/>
    <n v="49"/>
    <x v="11"/>
  </r>
  <r>
    <n v="10642"/>
    <x v="6"/>
    <x v="0"/>
    <x v="3"/>
    <n v="46363"/>
    <d v="2005-05-18T00:00:00"/>
    <n v="45"/>
    <x v="1"/>
    <n v="3"/>
    <s v="No"/>
    <n v="6775.77"/>
    <x v="3"/>
    <x v="1"/>
    <n v="38"/>
    <x v="1"/>
    <x v="0"/>
    <x v="11"/>
    <n v="2016"/>
    <s v="On-Site"/>
    <n v="14"/>
    <x v="30"/>
  </r>
  <r>
    <n v="10643"/>
    <x v="4"/>
    <x v="2"/>
    <x v="5"/>
    <n v="58490"/>
    <d v="2015-03-30T00:00:00"/>
    <n v="22"/>
    <x v="1"/>
    <n v="7"/>
    <s v="Yes"/>
    <n v="3966.74"/>
    <x v="3"/>
    <x v="4"/>
    <n v="38"/>
    <x v="2"/>
    <x v="1"/>
    <x v="14"/>
    <n v="2019"/>
    <s v="On-Site"/>
    <n v="67"/>
    <x v="6"/>
  </r>
  <r>
    <n v="10644"/>
    <x v="7"/>
    <x v="6"/>
    <x v="3"/>
    <n v="89004"/>
    <d v="2005-04-29T00:00:00"/>
    <n v="33"/>
    <x v="0"/>
    <n v="5"/>
    <s v="No"/>
    <n v="765.26"/>
    <x v="0"/>
    <x v="2"/>
    <n v="3"/>
    <x v="0"/>
    <x v="4"/>
    <x v="3"/>
    <n v="2021"/>
    <s v="Fully Remote"/>
    <n v="47"/>
    <x v="9"/>
  </r>
  <r>
    <n v="10645"/>
    <x v="4"/>
    <x v="0"/>
    <x v="4"/>
    <n v="83806"/>
    <d v="2014-06-15T00:00:00"/>
    <n v="29"/>
    <x v="1"/>
    <n v="3"/>
    <s v="Yes"/>
    <n v="9753.61"/>
    <x v="3"/>
    <x v="1"/>
    <n v="13"/>
    <x v="2"/>
    <x v="3"/>
    <x v="2"/>
    <n v="2016"/>
    <s v="Fully Remote"/>
    <n v="55"/>
    <x v="32"/>
  </r>
  <r>
    <n v="10646"/>
    <x v="2"/>
    <x v="0"/>
    <x v="5"/>
    <n v="30260"/>
    <d v="2006-12-14T00:00:00"/>
    <n v="40"/>
    <x v="1"/>
    <n v="5"/>
    <s v="No"/>
    <n v="8284.43"/>
    <x v="3"/>
    <x v="2"/>
    <n v="36"/>
    <x v="2"/>
    <x v="4"/>
    <x v="9"/>
    <n v="2021"/>
    <s v="Hybrid"/>
    <n v="111"/>
    <x v="17"/>
  </r>
  <r>
    <n v="10647"/>
    <x v="2"/>
    <x v="3"/>
    <x v="5"/>
    <n v="105992"/>
    <d v="2006-06-18T00:00:00"/>
    <n v="30"/>
    <x v="0"/>
    <n v="7"/>
    <s v="Yes"/>
    <n v="1197.48"/>
    <x v="1"/>
    <x v="0"/>
    <n v="12"/>
    <x v="1"/>
    <x v="0"/>
    <x v="18"/>
    <n v="2017"/>
    <s v="On-Site"/>
    <n v="7"/>
    <x v="19"/>
  </r>
  <r>
    <n v="10648"/>
    <x v="7"/>
    <x v="2"/>
    <x v="5"/>
    <n v="52320"/>
    <d v="2015-09-29T00:00:00"/>
    <n v="49"/>
    <x v="0"/>
    <n v="7"/>
    <s v="No"/>
    <n v="4767.18"/>
    <x v="0"/>
    <x v="0"/>
    <n v="20"/>
    <x v="2"/>
    <x v="3"/>
    <x v="9"/>
    <n v="2016"/>
    <s v="Hybrid"/>
    <n v="198"/>
    <x v="20"/>
  </r>
  <r>
    <n v="10649"/>
    <x v="4"/>
    <x v="1"/>
    <x v="1"/>
    <n v="108971"/>
    <d v="2005-08-01T00:00:00"/>
    <n v="35"/>
    <x v="0"/>
    <n v="9"/>
    <s v="Yes"/>
    <n v="6532.68"/>
    <x v="2"/>
    <x v="3"/>
    <n v="39"/>
    <x v="2"/>
    <x v="5"/>
    <x v="9"/>
    <n v="2020"/>
    <s v="On-Site"/>
    <n v="167"/>
    <x v="32"/>
  </r>
  <r>
    <n v="10650"/>
    <x v="2"/>
    <x v="1"/>
    <x v="5"/>
    <n v="72145"/>
    <d v="2003-03-30T00:00:00"/>
    <n v="48"/>
    <x v="0"/>
    <n v="8"/>
    <s v="Yes"/>
    <n v="2310.65"/>
    <x v="0"/>
    <x v="3"/>
    <n v="8"/>
    <x v="1"/>
    <x v="5"/>
    <x v="15"/>
    <n v="2013"/>
    <s v="On-Site"/>
    <n v="73"/>
    <x v="3"/>
  </r>
  <r>
    <n v="10651"/>
    <x v="0"/>
    <x v="1"/>
    <x v="0"/>
    <n v="93688"/>
    <d v="2017-08-30T00:00:00"/>
    <n v="39"/>
    <x v="1"/>
    <n v="4"/>
    <s v="Yes"/>
    <n v="5990.89"/>
    <x v="0"/>
    <x v="3"/>
    <n v="2"/>
    <x v="1"/>
    <x v="5"/>
    <x v="12"/>
    <n v="2022"/>
    <s v="Fully Remote"/>
    <n v="83"/>
    <x v="33"/>
  </r>
  <r>
    <n v="10652"/>
    <x v="4"/>
    <x v="1"/>
    <x v="0"/>
    <n v="78581"/>
    <d v="2010-10-09T00:00:00"/>
    <n v="63"/>
    <x v="1"/>
    <n v="5"/>
    <s v="No"/>
    <n v="5569.66"/>
    <x v="1"/>
    <x v="0"/>
    <n v="11"/>
    <x v="2"/>
    <x v="1"/>
    <x v="6"/>
    <n v="2021"/>
    <s v="Fully Remote"/>
    <n v="40"/>
    <x v="17"/>
  </r>
  <r>
    <n v="10653"/>
    <x v="0"/>
    <x v="6"/>
    <x v="3"/>
    <n v="50754"/>
    <d v="2008-10-22T00:00:00"/>
    <n v="62"/>
    <x v="1"/>
    <n v="5"/>
    <s v="Yes"/>
    <n v="2478.52"/>
    <x v="2"/>
    <x v="2"/>
    <n v="21"/>
    <x v="2"/>
    <x v="2"/>
    <x v="6"/>
    <n v="2016"/>
    <s v="On-Site"/>
    <n v="53"/>
    <x v="40"/>
  </r>
  <r>
    <n v="10654"/>
    <x v="2"/>
    <x v="3"/>
    <x v="4"/>
    <n v="99837"/>
    <d v="2015-11-12T00:00:00"/>
    <n v="27"/>
    <x v="1"/>
    <n v="2"/>
    <s v="Yes"/>
    <n v="1841.5"/>
    <x v="2"/>
    <x v="1"/>
    <n v="37"/>
    <x v="2"/>
    <x v="1"/>
    <x v="0"/>
    <n v="2014"/>
    <s v="Fully Remote"/>
    <n v="5"/>
    <x v="35"/>
  </r>
  <r>
    <n v="10655"/>
    <x v="6"/>
    <x v="3"/>
    <x v="1"/>
    <n v="37207"/>
    <d v="2018-09-17T00:00:00"/>
    <n v="54"/>
    <x v="1"/>
    <n v="7"/>
    <s v="Yes"/>
    <n v="7710.14"/>
    <x v="2"/>
    <x v="3"/>
    <n v="6"/>
    <x v="0"/>
    <x v="1"/>
    <x v="15"/>
    <n v="2021"/>
    <s v="Hybrid"/>
    <n v="174"/>
    <x v="0"/>
  </r>
  <r>
    <n v="10656"/>
    <x v="2"/>
    <x v="5"/>
    <x v="3"/>
    <n v="57920"/>
    <d v="2017-01-23T00:00:00"/>
    <n v="58"/>
    <x v="0"/>
    <n v="7"/>
    <s v="No"/>
    <n v="3564.57"/>
    <x v="3"/>
    <x v="0"/>
    <n v="19"/>
    <x v="2"/>
    <x v="1"/>
    <x v="5"/>
    <n v="2019"/>
    <s v="On-Site"/>
    <n v="173"/>
    <x v="3"/>
  </r>
  <r>
    <n v="10657"/>
    <x v="0"/>
    <x v="2"/>
    <x v="0"/>
    <n v="117739"/>
    <d v="2007-08-14T00:00:00"/>
    <n v="63"/>
    <x v="0"/>
    <n v="9"/>
    <s v="No"/>
    <n v="2818.39"/>
    <x v="3"/>
    <x v="3"/>
    <n v="30"/>
    <x v="1"/>
    <x v="1"/>
    <x v="5"/>
    <n v="2016"/>
    <s v="On-Site"/>
    <n v="77"/>
    <x v="20"/>
  </r>
  <r>
    <n v="10658"/>
    <x v="3"/>
    <x v="1"/>
    <x v="1"/>
    <n v="117081"/>
    <d v="2002-02-16T00:00:00"/>
    <n v="46"/>
    <x v="1"/>
    <n v="9"/>
    <s v="Yes"/>
    <n v="7509.84"/>
    <x v="3"/>
    <x v="4"/>
    <n v="39"/>
    <x v="2"/>
    <x v="5"/>
    <x v="10"/>
    <n v="2012"/>
    <s v="On-Site"/>
    <n v="189"/>
    <x v="13"/>
  </r>
  <r>
    <n v="10659"/>
    <x v="1"/>
    <x v="6"/>
    <x v="1"/>
    <n v="54016"/>
    <d v="2018-11-16T00:00:00"/>
    <n v="34"/>
    <x v="0"/>
    <n v="4"/>
    <s v="Yes"/>
    <n v="7492.65"/>
    <x v="2"/>
    <x v="1"/>
    <n v="36"/>
    <x v="0"/>
    <x v="2"/>
    <x v="7"/>
    <n v="2019"/>
    <s v="Hybrid"/>
    <n v="120"/>
    <x v="30"/>
  </r>
  <r>
    <n v="10660"/>
    <x v="5"/>
    <x v="2"/>
    <x v="4"/>
    <n v="90522"/>
    <d v="2009-04-02T00:00:00"/>
    <n v="44"/>
    <x v="1"/>
    <n v="5"/>
    <s v="No"/>
    <n v="3125.82"/>
    <x v="0"/>
    <x v="2"/>
    <n v="20"/>
    <x v="2"/>
    <x v="2"/>
    <x v="11"/>
    <n v="2020"/>
    <s v="On-Site"/>
    <n v="152"/>
    <x v="35"/>
  </r>
  <r>
    <n v="10661"/>
    <x v="4"/>
    <x v="1"/>
    <x v="1"/>
    <n v="104092"/>
    <d v="2006-08-15T00:00:00"/>
    <n v="57"/>
    <x v="1"/>
    <n v="7"/>
    <s v="No"/>
    <n v="8789.4"/>
    <x v="0"/>
    <x v="3"/>
    <n v="10"/>
    <x v="0"/>
    <x v="0"/>
    <x v="13"/>
    <n v="2016"/>
    <s v="Fully Remote"/>
    <n v="18"/>
    <x v="30"/>
  </r>
  <r>
    <n v="10662"/>
    <x v="3"/>
    <x v="6"/>
    <x v="5"/>
    <n v="84068"/>
    <d v="2018-01-20T00:00:00"/>
    <n v="54"/>
    <x v="1"/>
    <n v="7"/>
    <s v="Yes"/>
    <n v="7038.38"/>
    <x v="2"/>
    <x v="4"/>
    <n v="24"/>
    <x v="0"/>
    <x v="5"/>
    <x v="3"/>
    <n v="2016"/>
    <s v="Hybrid"/>
    <n v="126"/>
    <x v="28"/>
  </r>
  <r>
    <n v="10663"/>
    <x v="2"/>
    <x v="2"/>
    <x v="1"/>
    <n v="50102"/>
    <d v="2011-03-01T00:00:00"/>
    <n v="42"/>
    <x v="1"/>
    <n v="8"/>
    <s v="Yes"/>
    <n v="3784.76"/>
    <x v="2"/>
    <x v="4"/>
    <n v="33"/>
    <x v="1"/>
    <x v="3"/>
    <x v="6"/>
    <n v="2011"/>
    <s v="On-Site"/>
    <n v="97"/>
    <x v="2"/>
  </r>
  <r>
    <n v="10664"/>
    <x v="6"/>
    <x v="3"/>
    <x v="4"/>
    <n v="31924"/>
    <d v="2011-09-02T00:00:00"/>
    <n v="55"/>
    <x v="1"/>
    <n v="8"/>
    <s v="Yes"/>
    <n v="4561.1499999999996"/>
    <x v="1"/>
    <x v="1"/>
    <n v="29"/>
    <x v="2"/>
    <x v="1"/>
    <x v="15"/>
    <n v="2017"/>
    <s v="Hybrid"/>
    <n v="184"/>
    <x v="32"/>
  </r>
  <r>
    <n v="10665"/>
    <x v="7"/>
    <x v="3"/>
    <x v="3"/>
    <n v="115015"/>
    <d v="2006-09-05T00:00:00"/>
    <n v="57"/>
    <x v="0"/>
    <n v="2"/>
    <s v="No"/>
    <n v="7403.74"/>
    <x v="3"/>
    <x v="0"/>
    <n v="30"/>
    <x v="0"/>
    <x v="2"/>
    <x v="19"/>
    <n v="2016"/>
    <s v="Hybrid"/>
    <n v="58"/>
    <x v="37"/>
  </r>
  <r>
    <n v="10666"/>
    <x v="2"/>
    <x v="4"/>
    <x v="4"/>
    <n v="84333"/>
    <d v="2013-03-24T00:00:00"/>
    <n v="38"/>
    <x v="0"/>
    <n v="9"/>
    <s v="No"/>
    <n v="2510.0500000000002"/>
    <x v="3"/>
    <x v="0"/>
    <n v="36"/>
    <x v="2"/>
    <x v="0"/>
    <x v="14"/>
    <n v="2018"/>
    <s v="Fully Remote"/>
    <n v="53"/>
    <x v="28"/>
  </r>
  <r>
    <n v="10667"/>
    <x v="6"/>
    <x v="0"/>
    <x v="4"/>
    <n v="114458"/>
    <d v="2018-03-01T00:00:00"/>
    <n v="31"/>
    <x v="1"/>
    <n v="4"/>
    <s v="Yes"/>
    <n v="4953.2299999999996"/>
    <x v="3"/>
    <x v="3"/>
    <n v="6"/>
    <x v="0"/>
    <x v="2"/>
    <x v="13"/>
    <n v="2021"/>
    <s v="Fully Remote"/>
    <n v="34"/>
    <x v="16"/>
  </r>
  <r>
    <n v="10668"/>
    <x v="1"/>
    <x v="1"/>
    <x v="0"/>
    <n v="114196"/>
    <d v="2013-09-29T00:00:00"/>
    <n v="44"/>
    <x v="1"/>
    <n v="1"/>
    <s v="No"/>
    <n v="6708.8"/>
    <x v="1"/>
    <x v="3"/>
    <n v="14"/>
    <x v="1"/>
    <x v="3"/>
    <x v="11"/>
    <n v="2013"/>
    <s v="Fully Remote"/>
    <n v="135"/>
    <x v="4"/>
  </r>
  <r>
    <n v="10669"/>
    <x v="2"/>
    <x v="5"/>
    <x v="5"/>
    <n v="76099"/>
    <d v="2014-06-05T00:00:00"/>
    <n v="23"/>
    <x v="0"/>
    <n v="1"/>
    <s v="No"/>
    <n v="5625.24"/>
    <x v="1"/>
    <x v="0"/>
    <n v="3"/>
    <x v="1"/>
    <x v="3"/>
    <x v="17"/>
    <n v="2018"/>
    <s v="On-Site"/>
    <n v="16"/>
    <x v="30"/>
  </r>
  <r>
    <n v="10670"/>
    <x v="0"/>
    <x v="2"/>
    <x v="0"/>
    <n v="87346"/>
    <d v="2015-04-19T00:00:00"/>
    <n v="56"/>
    <x v="1"/>
    <n v="5"/>
    <s v="Yes"/>
    <n v="6279.12"/>
    <x v="1"/>
    <x v="2"/>
    <n v="24"/>
    <x v="2"/>
    <x v="5"/>
    <x v="0"/>
    <n v="2010"/>
    <s v="On-Site"/>
    <n v="115"/>
    <x v="37"/>
  </r>
  <r>
    <n v="10671"/>
    <x v="7"/>
    <x v="5"/>
    <x v="3"/>
    <n v="105481"/>
    <d v="2005-06-12T00:00:00"/>
    <n v="35"/>
    <x v="1"/>
    <n v="7"/>
    <s v="Yes"/>
    <n v="5689.02"/>
    <x v="2"/>
    <x v="2"/>
    <n v="19"/>
    <x v="2"/>
    <x v="2"/>
    <x v="5"/>
    <n v="2014"/>
    <s v="Fully Remote"/>
    <n v="163"/>
    <x v="31"/>
  </r>
  <r>
    <n v="10672"/>
    <x v="6"/>
    <x v="4"/>
    <x v="2"/>
    <n v="80062"/>
    <d v="2002-12-02T00:00:00"/>
    <n v="62"/>
    <x v="1"/>
    <n v="5"/>
    <s v="Yes"/>
    <n v="2392.66"/>
    <x v="1"/>
    <x v="4"/>
    <n v="38"/>
    <x v="2"/>
    <x v="3"/>
    <x v="5"/>
    <n v="2019"/>
    <s v="Fully Remote"/>
    <n v="169"/>
    <x v="30"/>
  </r>
  <r>
    <n v="10673"/>
    <x v="6"/>
    <x v="0"/>
    <x v="3"/>
    <n v="30306"/>
    <d v="2002-08-02T00:00:00"/>
    <n v="23"/>
    <x v="0"/>
    <n v="3"/>
    <s v="No"/>
    <n v="4396.95"/>
    <x v="0"/>
    <x v="1"/>
    <n v="34"/>
    <x v="2"/>
    <x v="4"/>
    <x v="13"/>
    <n v="2016"/>
    <s v="On-Site"/>
    <n v="159"/>
    <x v="0"/>
  </r>
  <r>
    <n v="10674"/>
    <x v="6"/>
    <x v="2"/>
    <x v="5"/>
    <n v="118495"/>
    <d v="2000-01-29T00:00:00"/>
    <n v="40"/>
    <x v="1"/>
    <n v="7"/>
    <s v="No"/>
    <n v="5553.86"/>
    <x v="2"/>
    <x v="2"/>
    <n v="9"/>
    <x v="2"/>
    <x v="3"/>
    <x v="3"/>
    <n v="2013"/>
    <s v="Fully Remote"/>
    <n v="120"/>
    <x v="0"/>
  </r>
  <r>
    <n v="10675"/>
    <x v="1"/>
    <x v="6"/>
    <x v="1"/>
    <n v="99767"/>
    <d v="2005-03-12T00:00:00"/>
    <n v="37"/>
    <x v="1"/>
    <n v="1"/>
    <s v="Yes"/>
    <n v="7910.6"/>
    <x v="2"/>
    <x v="3"/>
    <n v="30"/>
    <x v="0"/>
    <x v="3"/>
    <x v="3"/>
    <n v="2022"/>
    <s v="Hybrid"/>
    <n v="156"/>
    <x v="32"/>
  </r>
  <r>
    <n v="10676"/>
    <x v="2"/>
    <x v="1"/>
    <x v="4"/>
    <n v="42207"/>
    <d v="2015-09-30T00:00:00"/>
    <n v="64"/>
    <x v="0"/>
    <n v="1"/>
    <s v="No"/>
    <n v="6712.09"/>
    <x v="3"/>
    <x v="2"/>
    <n v="32"/>
    <x v="2"/>
    <x v="2"/>
    <x v="4"/>
    <n v="2016"/>
    <s v="Hybrid"/>
    <n v="116"/>
    <x v="17"/>
  </r>
  <r>
    <n v="10677"/>
    <x v="1"/>
    <x v="0"/>
    <x v="2"/>
    <n v="69426"/>
    <d v="2016-05-04T00:00:00"/>
    <n v="46"/>
    <x v="1"/>
    <n v="2"/>
    <s v="No"/>
    <n v="4552.6099999999997"/>
    <x v="3"/>
    <x v="1"/>
    <n v="13"/>
    <x v="0"/>
    <x v="1"/>
    <x v="18"/>
    <n v="2023"/>
    <s v="Hybrid"/>
    <n v="173"/>
    <x v="36"/>
  </r>
  <r>
    <n v="10678"/>
    <x v="4"/>
    <x v="3"/>
    <x v="5"/>
    <n v="36336"/>
    <d v="2014-02-06T00:00:00"/>
    <n v="22"/>
    <x v="1"/>
    <n v="1"/>
    <s v="No"/>
    <n v="9756.7999999999993"/>
    <x v="1"/>
    <x v="3"/>
    <n v="18"/>
    <x v="0"/>
    <x v="3"/>
    <x v="19"/>
    <n v="2021"/>
    <s v="On-Site"/>
    <n v="108"/>
    <x v="37"/>
  </r>
  <r>
    <n v="10679"/>
    <x v="5"/>
    <x v="4"/>
    <x v="0"/>
    <n v="105166"/>
    <d v="2018-09-19T00:00:00"/>
    <n v="23"/>
    <x v="0"/>
    <n v="9"/>
    <s v="No"/>
    <n v="1524.06"/>
    <x v="0"/>
    <x v="1"/>
    <n v="22"/>
    <x v="0"/>
    <x v="0"/>
    <x v="15"/>
    <n v="2018"/>
    <s v="Fully Remote"/>
    <n v="196"/>
    <x v="28"/>
  </r>
  <r>
    <n v="10680"/>
    <x v="5"/>
    <x v="0"/>
    <x v="4"/>
    <n v="47256"/>
    <d v="2004-08-24T00:00:00"/>
    <n v="48"/>
    <x v="0"/>
    <n v="4"/>
    <s v="Yes"/>
    <n v="2464.65"/>
    <x v="2"/>
    <x v="0"/>
    <n v="4"/>
    <x v="2"/>
    <x v="1"/>
    <x v="8"/>
    <n v="2022"/>
    <s v="Hybrid"/>
    <n v="15"/>
    <x v="16"/>
  </r>
  <r>
    <n v="10681"/>
    <x v="4"/>
    <x v="1"/>
    <x v="3"/>
    <n v="79817"/>
    <d v="2017-03-03T00:00:00"/>
    <n v="23"/>
    <x v="1"/>
    <n v="7"/>
    <s v="No"/>
    <n v="3742.47"/>
    <x v="2"/>
    <x v="1"/>
    <n v="23"/>
    <x v="1"/>
    <x v="3"/>
    <x v="17"/>
    <n v="2023"/>
    <s v="On-Site"/>
    <n v="95"/>
    <x v="37"/>
  </r>
  <r>
    <n v="10682"/>
    <x v="2"/>
    <x v="0"/>
    <x v="0"/>
    <n v="63719"/>
    <d v="2007-09-15T00:00:00"/>
    <n v="51"/>
    <x v="0"/>
    <n v="5"/>
    <s v="Yes"/>
    <n v="2671.43"/>
    <x v="2"/>
    <x v="1"/>
    <n v="7"/>
    <x v="1"/>
    <x v="4"/>
    <x v="6"/>
    <n v="2014"/>
    <s v="Fully Remote"/>
    <n v="77"/>
    <x v="12"/>
  </r>
  <r>
    <n v="10683"/>
    <x v="0"/>
    <x v="1"/>
    <x v="5"/>
    <n v="72017"/>
    <d v="2009-03-19T00:00:00"/>
    <n v="31"/>
    <x v="1"/>
    <n v="7"/>
    <s v="No"/>
    <n v="6441.7"/>
    <x v="3"/>
    <x v="1"/>
    <n v="11"/>
    <x v="2"/>
    <x v="3"/>
    <x v="14"/>
    <n v="2014"/>
    <s v="Fully Remote"/>
    <n v="20"/>
    <x v="34"/>
  </r>
  <r>
    <n v="10684"/>
    <x v="1"/>
    <x v="3"/>
    <x v="5"/>
    <n v="75704"/>
    <d v="2006-10-24T00:00:00"/>
    <n v="40"/>
    <x v="1"/>
    <n v="7"/>
    <s v="Yes"/>
    <n v="875.73"/>
    <x v="3"/>
    <x v="3"/>
    <n v="39"/>
    <x v="2"/>
    <x v="5"/>
    <x v="2"/>
    <n v="2011"/>
    <s v="Hybrid"/>
    <n v="18"/>
    <x v="22"/>
  </r>
  <r>
    <n v="10685"/>
    <x v="7"/>
    <x v="2"/>
    <x v="3"/>
    <n v="60013"/>
    <d v="2019-03-14T00:00:00"/>
    <n v="63"/>
    <x v="0"/>
    <n v="1"/>
    <s v="No"/>
    <n v="2185.65"/>
    <x v="0"/>
    <x v="1"/>
    <n v="34"/>
    <x v="2"/>
    <x v="2"/>
    <x v="6"/>
    <n v="2023"/>
    <s v="Fully Remote"/>
    <n v="179"/>
    <x v="10"/>
  </r>
  <r>
    <n v="10686"/>
    <x v="6"/>
    <x v="6"/>
    <x v="2"/>
    <n v="109991"/>
    <d v="2015-01-29T00:00:00"/>
    <n v="37"/>
    <x v="1"/>
    <n v="1"/>
    <s v="Yes"/>
    <n v="3286.8"/>
    <x v="3"/>
    <x v="1"/>
    <n v="5"/>
    <x v="0"/>
    <x v="4"/>
    <x v="9"/>
    <n v="2014"/>
    <s v="Fully Remote"/>
    <n v="162"/>
    <x v="1"/>
  </r>
  <r>
    <n v="10687"/>
    <x v="6"/>
    <x v="3"/>
    <x v="3"/>
    <n v="100258"/>
    <d v="2016-02-11T00:00:00"/>
    <n v="34"/>
    <x v="0"/>
    <n v="3"/>
    <s v="Yes"/>
    <n v="6991.78"/>
    <x v="0"/>
    <x v="4"/>
    <n v="25"/>
    <x v="1"/>
    <x v="0"/>
    <x v="12"/>
    <n v="2017"/>
    <s v="Hybrid"/>
    <n v="114"/>
    <x v="15"/>
  </r>
  <r>
    <n v="10688"/>
    <x v="2"/>
    <x v="6"/>
    <x v="1"/>
    <n v="108348"/>
    <d v="2004-07-23T00:00:00"/>
    <n v="29"/>
    <x v="0"/>
    <n v="2"/>
    <s v="No"/>
    <n v="8820.7199999999993"/>
    <x v="3"/>
    <x v="3"/>
    <n v="28"/>
    <x v="1"/>
    <x v="3"/>
    <x v="0"/>
    <n v="2013"/>
    <s v="Hybrid"/>
    <n v="156"/>
    <x v="16"/>
  </r>
  <r>
    <n v="10689"/>
    <x v="0"/>
    <x v="2"/>
    <x v="0"/>
    <n v="66776"/>
    <d v="2012-08-24T00:00:00"/>
    <n v="52"/>
    <x v="0"/>
    <n v="7"/>
    <s v="No"/>
    <n v="8085.67"/>
    <x v="0"/>
    <x v="1"/>
    <n v="14"/>
    <x v="1"/>
    <x v="3"/>
    <x v="3"/>
    <n v="2011"/>
    <s v="Fully Remote"/>
    <n v="145"/>
    <x v="37"/>
  </r>
  <r>
    <n v="10690"/>
    <x v="5"/>
    <x v="0"/>
    <x v="2"/>
    <n v="40060"/>
    <d v="2004-04-19T00:00:00"/>
    <n v="46"/>
    <x v="1"/>
    <n v="3"/>
    <s v="Yes"/>
    <n v="2229.77"/>
    <x v="3"/>
    <x v="2"/>
    <n v="27"/>
    <x v="1"/>
    <x v="0"/>
    <x v="17"/>
    <n v="2017"/>
    <s v="On-Site"/>
    <n v="123"/>
    <x v="8"/>
  </r>
  <r>
    <n v="10691"/>
    <x v="5"/>
    <x v="6"/>
    <x v="4"/>
    <n v="108592"/>
    <d v="2004-09-29T00:00:00"/>
    <n v="60"/>
    <x v="0"/>
    <n v="7"/>
    <s v="No"/>
    <n v="5871.35"/>
    <x v="3"/>
    <x v="1"/>
    <n v="16"/>
    <x v="0"/>
    <x v="3"/>
    <x v="15"/>
    <n v="2013"/>
    <s v="On-Site"/>
    <n v="130"/>
    <x v="37"/>
  </r>
  <r>
    <n v="10692"/>
    <x v="6"/>
    <x v="4"/>
    <x v="1"/>
    <n v="36655"/>
    <d v="2002-01-29T00:00:00"/>
    <n v="42"/>
    <x v="1"/>
    <n v="9"/>
    <s v="Yes"/>
    <n v="785.22"/>
    <x v="1"/>
    <x v="2"/>
    <n v="27"/>
    <x v="2"/>
    <x v="5"/>
    <x v="12"/>
    <n v="2023"/>
    <s v="Hybrid"/>
    <n v="13"/>
    <x v="24"/>
  </r>
  <r>
    <n v="10693"/>
    <x v="2"/>
    <x v="4"/>
    <x v="2"/>
    <n v="118110"/>
    <d v="2005-11-27T00:00:00"/>
    <n v="59"/>
    <x v="0"/>
    <n v="1"/>
    <s v="Yes"/>
    <n v="3450.1"/>
    <x v="1"/>
    <x v="0"/>
    <n v="2"/>
    <x v="0"/>
    <x v="1"/>
    <x v="3"/>
    <n v="2022"/>
    <s v="Fully Remote"/>
    <n v="181"/>
    <x v="0"/>
  </r>
  <r>
    <n v="10694"/>
    <x v="1"/>
    <x v="1"/>
    <x v="0"/>
    <n v="79923"/>
    <d v="2003-09-13T00:00:00"/>
    <n v="62"/>
    <x v="0"/>
    <n v="3"/>
    <s v="Yes"/>
    <n v="8156.85"/>
    <x v="1"/>
    <x v="0"/>
    <n v="19"/>
    <x v="2"/>
    <x v="1"/>
    <x v="4"/>
    <n v="2014"/>
    <s v="Hybrid"/>
    <n v="158"/>
    <x v="23"/>
  </r>
  <r>
    <n v="10695"/>
    <x v="5"/>
    <x v="3"/>
    <x v="5"/>
    <n v="108563"/>
    <d v="2009-07-08T00:00:00"/>
    <n v="50"/>
    <x v="1"/>
    <n v="6"/>
    <s v="Yes"/>
    <n v="4838.32"/>
    <x v="0"/>
    <x v="3"/>
    <n v="23"/>
    <x v="2"/>
    <x v="4"/>
    <x v="13"/>
    <n v="2023"/>
    <s v="On-Site"/>
    <n v="53"/>
    <x v="36"/>
  </r>
  <r>
    <n v="10696"/>
    <x v="1"/>
    <x v="2"/>
    <x v="4"/>
    <n v="34030"/>
    <d v="2003-06-22T00:00:00"/>
    <n v="27"/>
    <x v="1"/>
    <n v="9"/>
    <s v="No"/>
    <n v="1924.44"/>
    <x v="0"/>
    <x v="3"/>
    <n v="14"/>
    <x v="1"/>
    <x v="3"/>
    <x v="7"/>
    <n v="2021"/>
    <s v="On-Site"/>
    <n v="46"/>
    <x v="6"/>
  </r>
  <r>
    <n v="10697"/>
    <x v="0"/>
    <x v="1"/>
    <x v="3"/>
    <n v="119779"/>
    <d v="2004-11-20T00:00:00"/>
    <n v="39"/>
    <x v="0"/>
    <n v="5"/>
    <s v="No"/>
    <n v="4666.26"/>
    <x v="0"/>
    <x v="0"/>
    <n v="26"/>
    <x v="1"/>
    <x v="0"/>
    <x v="7"/>
    <n v="2016"/>
    <s v="Fully Remote"/>
    <n v="177"/>
    <x v="5"/>
  </r>
  <r>
    <n v="10698"/>
    <x v="5"/>
    <x v="3"/>
    <x v="0"/>
    <n v="63289"/>
    <d v="2010-10-24T00:00:00"/>
    <n v="56"/>
    <x v="1"/>
    <n v="3"/>
    <s v="No"/>
    <n v="2381.31"/>
    <x v="0"/>
    <x v="3"/>
    <n v="8"/>
    <x v="2"/>
    <x v="0"/>
    <x v="11"/>
    <n v="2020"/>
    <s v="Hybrid"/>
    <n v="118"/>
    <x v="8"/>
  </r>
  <r>
    <n v="10699"/>
    <x v="5"/>
    <x v="3"/>
    <x v="1"/>
    <n v="49739"/>
    <d v="2016-04-14T00:00:00"/>
    <n v="48"/>
    <x v="1"/>
    <n v="8"/>
    <s v="No"/>
    <n v="4235.32"/>
    <x v="1"/>
    <x v="2"/>
    <n v="27"/>
    <x v="2"/>
    <x v="4"/>
    <x v="9"/>
    <n v="2014"/>
    <s v="Hybrid"/>
    <n v="81"/>
    <x v="19"/>
  </r>
  <r>
    <n v="10700"/>
    <x v="3"/>
    <x v="1"/>
    <x v="1"/>
    <n v="91687"/>
    <d v="2017-04-07T00:00:00"/>
    <n v="26"/>
    <x v="0"/>
    <n v="5"/>
    <s v="No"/>
    <n v="5134.42"/>
    <x v="2"/>
    <x v="2"/>
    <n v="28"/>
    <x v="1"/>
    <x v="5"/>
    <x v="0"/>
    <n v="2022"/>
    <s v="On-Site"/>
    <n v="153"/>
    <x v="11"/>
  </r>
  <r>
    <n v="10701"/>
    <x v="5"/>
    <x v="5"/>
    <x v="5"/>
    <n v="66491"/>
    <d v="2007-02-20T00:00:00"/>
    <n v="28"/>
    <x v="0"/>
    <n v="6"/>
    <s v="Yes"/>
    <n v="3820.8"/>
    <x v="3"/>
    <x v="4"/>
    <n v="4"/>
    <x v="1"/>
    <x v="4"/>
    <x v="9"/>
    <n v="2019"/>
    <s v="Hybrid"/>
    <n v="161"/>
    <x v="30"/>
  </r>
  <r>
    <n v="10702"/>
    <x v="4"/>
    <x v="3"/>
    <x v="5"/>
    <n v="102115"/>
    <d v="2001-02-02T00:00:00"/>
    <n v="31"/>
    <x v="1"/>
    <n v="2"/>
    <s v="No"/>
    <n v="9401.2099999999991"/>
    <x v="3"/>
    <x v="3"/>
    <n v="38"/>
    <x v="1"/>
    <x v="3"/>
    <x v="8"/>
    <n v="2013"/>
    <s v="Hybrid"/>
    <n v="96"/>
    <x v="15"/>
  </r>
  <r>
    <n v="10703"/>
    <x v="7"/>
    <x v="5"/>
    <x v="4"/>
    <n v="113778"/>
    <d v="2007-03-15T00:00:00"/>
    <n v="31"/>
    <x v="0"/>
    <n v="4"/>
    <s v="No"/>
    <n v="5844.04"/>
    <x v="0"/>
    <x v="3"/>
    <n v="11"/>
    <x v="1"/>
    <x v="1"/>
    <x v="6"/>
    <n v="2016"/>
    <s v="Hybrid"/>
    <n v="156"/>
    <x v="7"/>
  </r>
  <r>
    <n v="10704"/>
    <x v="4"/>
    <x v="4"/>
    <x v="3"/>
    <n v="34781"/>
    <d v="2006-09-12T00:00:00"/>
    <n v="49"/>
    <x v="0"/>
    <n v="1"/>
    <s v="No"/>
    <n v="8507.48"/>
    <x v="1"/>
    <x v="4"/>
    <n v="24"/>
    <x v="1"/>
    <x v="5"/>
    <x v="6"/>
    <n v="2022"/>
    <s v="Fully Remote"/>
    <n v="124"/>
    <x v="4"/>
  </r>
  <r>
    <n v="10705"/>
    <x v="2"/>
    <x v="4"/>
    <x v="4"/>
    <n v="50448"/>
    <d v="2004-07-27T00:00:00"/>
    <n v="57"/>
    <x v="0"/>
    <n v="4"/>
    <s v="Yes"/>
    <n v="7726.92"/>
    <x v="2"/>
    <x v="1"/>
    <n v="28"/>
    <x v="0"/>
    <x v="5"/>
    <x v="5"/>
    <n v="2013"/>
    <s v="On-Site"/>
    <n v="174"/>
    <x v="9"/>
  </r>
  <r>
    <n v="10706"/>
    <x v="2"/>
    <x v="3"/>
    <x v="5"/>
    <n v="81550"/>
    <d v="2000-08-26T00:00:00"/>
    <n v="31"/>
    <x v="1"/>
    <n v="1"/>
    <s v="No"/>
    <n v="6781.08"/>
    <x v="1"/>
    <x v="2"/>
    <n v="18"/>
    <x v="0"/>
    <x v="0"/>
    <x v="8"/>
    <n v="2019"/>
    <s v="Hybrid"/>
    <n v="88"/>
    <x v="31"/>
  </r>
  <r>
    <n v="10707"/>
    <x v="1"/>
    <x v="4"/>
    <x v="5"/>
    <n v="79294"/>
    <d v="2009-09-06T00:00:00"/>
    <n v="56"/>
    <x v="1"/>
    <n v="4"/>
    <s v="No"/>
    <n v="5220.4399999999996"/>
    <x v="3"/>
    <x v="1"/>
    <n v="21"/>
    <x v="0"/>
    <x v="5"/>
    <x v="0"/>
    <n v="2021"/>
    <s v="Fully Remote"/>
    <n v="107"/>
    <x v="25"/>
  </r>
  <r>
    <n v="10708"/>
    <x v="4"/>
    <x v="2"/>
    <x v="1"/>
    <n v="51446"/>
    <d v="2015-08-09T00:00:00"/>
    <n v="56"/>
    <x v="1"/>
    <n v="2"/>
    <s v="No"/>
    <n v="520.65"/>
    <x v="0"/>
    <x v="4"/>
    <n v="26"/>
    <x v="1"/>
    <x v="3"/>
    <x v="9"/>
    <n v="2013"/>
    <s v="Hybrid"/>
    <n v="75"/>
    <x v="33"/>
  </r>
  <r>
    <n v="10709"/>
    <x v="4"/>
    <x v="5"/>
    <x v="5"/>
    <n v="106579"/>
    <d v="2010-07-28T00:00:00"/>
    <n v="58"/>
    <x v="0"/>
    <n v="6"/>
    <s v="No"/>
    <n v="6327.94"/>
    <x v="0"/>
    <x v="3"/>
    <n v="3"/>
    <x v="2"/>
    <x v="3"/>
    <x v="1"/>
    <n v="2011"/>
    <s v="Hybrid"/>
    <n v="173"/>
    <x v="19"/>
  </r>
  <r>
    <n v="10710"/>
    <x v="4"/>
    <x v="5"/>
    <x v="2"/>
    <n v="115389"/>
    <d v="2008-06-30T00:00:00"/>
    <n v="41"/>
    <x v="1"/>
    <n v="6"/>
    <s v="No"/>
    <n v="3881.6"/>
    <x v="1"/>
    <x v="1"/>
    <n v="13"/>
    <x v="2"/>
    <x v="3"/>
    <x v="0"/>
    <n v="2014"/>
    <s v="On-Site"/>
    <n v="52"/>
    <x v="21"/>
  </r>
  <r>
    <n v="10711"/>
    <x v="0"/>
    <x v="3"/>
    <x v="0"/>
    <n v="115615"/>
    <d v="2003-02-20T00:00:00"/>
    <n v="34"/>
    <x v="0"/>
    <n v="8"/>
    <s v="Yes"/>
    <n v="1618.74"/>
    <x v="0"/>
    <x v="3"/>
    <n v="38"/>
    <x v="1"/>
    <x v="1"/>
    <x v="7"/>
    <n v="2017"/>
    <s v="Fully Remote"/>
    <n v="83"/>
    <x v="2"/>
  </r>
  <r>
    <n v="10712"/>
    <x v="5"/>
    <x v="4"/>
    <x v="5"/>
    <n v="47101"/>
    <d v="2004-04-06T00:00:00"/>
    <n v="32"/>
    <x v="0"/>
    <n v="9"/>
    <s v="No"/>
    <n v="4723.95"/>
    <x v="2"/>
    <x v="4"/>
    <n v="28"/>
    <x v="0"/>
    <x v="2"/>
    <x v="0"/>
    <n v="2013"/>
    <s v="Hybrid"/>
    <n v="81"/>
    <x v="5"/>
  </r>
  <r>
    <n v="10713"/>
    <x v="7"/>
    <x v="6"/>
    <x v="4"/>
    <n v="96178"/>
    <d v="2010-03-27T00:00:00"/>
    <n v="40"/>
    <x v="0"/>
    <n v="8"/>
    <s v="No"/>
    <n v="7487.76"/>
    <x v="3"/>
    <x v="0"/>
    <n v="14"/>
    <x v="2"/>
    <x v="5"/>
    <x v="14"/>
    <n v="2020"/>
    <s v="On-Site"/>
    <n v="47"/>
    <x v="14"/>
  </r>
  <r>
    <n v="10714"/>
    <x v="1"/>
    <x v="1"/>
    <x v="3"/>
    <n v="58016"/>
    <d v="2005-11-27T00:00:00"/>
    <n v="49"/>
    <x v="0"/>
    <n v="1"/>
    <s v="No"/>
    <n v="9635.94"/>
    <x v="2"/>
    <x v="3"/>
    <n v="1"/>
    <x v="1"/>
    <x v="5"/>
    <x v="5"/>
    <n v="2022"/>
    <s v="Fully Remote"/>
    <n v="12"/>
    <x v="10"/>
  </r>
  <r>
    <n v="10715"/>
    <x v="4"/>
    <x v="1"/>
    <x v="3"/>
    <n v="48932"/>
    <d v="2014-10-04T00:00:00"/>
    <n v="59"/>
    <x v="1"/>
    <n v="3"/>
    <s v="Yes"/>
    <n v="4054"/>
    <x v="1"/>
    <x v="1"/>
    <n v="28"/>
    <x v="0"/>
    <x v="3"/>
    <x v="6"/>
    <n v="2011"/>
    <s v="Hybrid"/>
    <n v="67"/>
    <x v="34"/>
  </r>
  <r>
    <n v="10716"/>
    <x v="4"/>
    <x v="5"/>
    <x v="3"/>
    <n v="74653"/>
    <d v="2009-06-13T00:00:00"/>
    <n v="25"/>
    <x v="0"/>
    <n v="6"/>
    <s v="No"/>
    <n v="5655.87"/>
    <x v="3"/>
    <x v="1"/>
    <n v="36"/>
    <x v="0"/>
    <x v="0"/>
    <x v="19"/>
    <n v="2018"/>
    <s v="On-Site"/>
    <n v="124"/>
    <x v="16"/>
  </r>
  <r>
    <n v="10717"/>
    <x v="3"/>
    <x v="3"/>
    <x v="2"/>
    <n v="82802"/>
    <d v="2000-10-26T00:00:00"/>
    <n v="58"/>
    <x v="0"/>
    <n v="1"/>
    <s v="No"/>
    <n v="8586.82"/>
    <x v="2"/>
    <x v="4"/>
    <n v="11"/>
    <x v="0"/>
    <x v="1"/>
    <x v="7"/>
    <n v="2015"/>
    <s v="Hybrid"/>
    <n v="67"/>
    <x v="34"/>
  </r>
  <r>
    <n v="10718"/>
    <x v="1"/>
    <x v="3"/>
    <x v="4"/>
    <n v="37549"/>
    <d v="2010-02-15T00:00:00"/>
    <n v="40"/>
    <x v="1"/>
    <n v="8"/>
    <s v="Yes"/>
    <n v="3672.99"/>
    <x v="2"/>
    <x v="1"/>
    <n v="4"/>
    <x v="0"/>
    <x v="5"/>
    <x v="19"/>
    <n v="2012"/>
    <s v="Hybrid"/>
    <n v="10"/>
    <x v="22"/>
  </r>
  <r>
    <n v="10719"/>
    <x v="4"/>
    <x v="2"/>
    <x v="2"/>
    <n v="108933"/>
    <d v="2011-02-05T00:00:00"/>
    <n v="58"/>
    <x v="0"/>
    <n v="6"/>
    <s v="No"/>
    <n v="1851.44"/>
    <x v="2"/>
    <x v="2"/>
    <n v="34"/>
    <x v="0"/>
    <x v="2"/>
    <x v="13"/>
    <n v="2022"/>
    <s v="Fully Remote"/>
    <n v="78"/>
    <x v="9"/>
  </r>
  <r>
    <n v="10720"/>
    <x v="1"/>
    <x v="0"/>
    <x v="5"/>
    <n v="55362"/>
    <d v="2019-07-25T00:00:00"/>
    <n v="35"/>
    <x v="1"/>
    <n v="1"/>
    <s v="Yes"/>
    <n v="3177.88"/>
    <x v="3"/>
    <x v="3"/>
    <n v="1"/>
    <x v="0"/>
    <x v="5"/>
    <x v="1"/>
    <n v="2023"/>
    <s v="On-Site"/>
    <n v="56"/>
    <x v="5"/>
  </r>
  <r>
    <n v="10721"/>
    <x v="5"/>
    <x v="0"/>
    <x v="0"/>
    <n v="77842"/>
    <d v="2016-01-18T00:00:00"/>
    <n v="52"/>
    <x v="1"/>
    <n v="2"/>
    <s v="No"/>
    <n v="9041.67"/>
    <x v="3"/>
    <x v="2"/>
    <n v="10"/>
    <x v="0"/>
    <x v="4"/>
    <x v="1"/>
    <n v="2019"/>
    <s v="Fully Remote"/>
    <n v="25"/>
    <x v="17"/>
  </r>
  <r>
    <n v="10722"/>
    <x v="3"/>
    <x v="5"/>
    <x v="3"/>
    <n v="76539"/>
    <d v="2013-04-21T00:00:00"/>
    <n v="49"/>
    <x v="1"/>
    <n v="6"/>
    <s v="Yes"/>
    <n v="2014.23"/>
    <x v="0"/>
    <x v="4"/>
    <n v="17"/>
    <x v="0"/>
    <x v="2"/>
    <x v="18"/>
    <n v="2020"/>
    <s v="Hybrid"/>
    <n v="146"/>
    <x v="1"/>
  </r>
  <r>
    <n v="10723"/>
    <x v="1"/>
    <x v="1"/>
    <x v="4"/>
    <n v="63717"/>
    <d v="2000-09-05T00:00:00"/>
    <n v="57"/>
    <x v="0"/>
    <n v="8"/>
    <s v="Yes"/>
    <n v="3627.6"/>
    <x v="1"/>
    <x v="2"/>
    <n v="7"/>
    <x v="0"/>
    <x v="0"/>
    <x v="18"/>
    <n v="2014"/>
    <s v="On-Site"/>
    <n v="120"/>
    <x v="35"/>
  </r>
  <r>
    <n v="10724"/>
    <x v="7"/>
    <x v="2"/>
    <x v="3"/>
    <n v="84596"/>
    <d v="2007-01-12T00:00:00"/>
    <n v="59"/>
    <x v="1"/>
    <n v="5"/>
    <s v="Yes"/>
    <n v="4914.08"/>
    <x v="0"/>
    <x v="2"/>
    <n v="39"/>
    <x v="0"/>
    <x v="2"/>
    <x v="19"/>
    <n v="2015"/>
    <s v="Hybrid"/>
    <n v="62"/>
    <x v="24"/>
  </r>
  <r>
    <n v="10725"/>
    <x v="7"/>
    <x v="2"/>
    <x v="2"/>
    <n v="53016"/>
    <d v="2011-04-22T00:00:00"/>
    <n v="40"/>
    <x v="0"/>
    <n v="1"/>
    <s v="Yes"/>
    <n v="8547.58"/>
    <x v="1"/>
    <x v="3"/>
    <n v="13"/>
    <x v="1"/>
    <x v="2"/>
    <x v="14"/>
    <n v="2018"/>
    <s v="Hybrid"/>
    <n v="157"/>
    <x v="6"/>
  </r>
  <r>
    <n v="10726"/>
    <x v="2"/>
    <x v="2"/>
    <x v="1"/>
    <n v="85200"/>
    <d v="2011-11-02T00:00:00"/>
    <n v="63"/>
    <x v="1"/>
    <n v="2"/>
    <s v="No"/>
    <n v="9408.2800000000007"/>
    <x v="3"/>
    <x v="3"/>
    <n v="22"/>
    <x v="2"/>
    <x v="5"/>
    <x v="0"/>
    <n v="2014"/>
    <s v="Hybrid"/>
    <n v="60"/>
    <x v="29"/>
  </r>
  <r>
    <n v="10727"/>
    <x v="3"/>
    <x v="5"/>
    <x v="5"/>
    <n v="110268"/>
    <d v="2012-10-24T00:00:00"/>
    <n v="22"/>
    <x v="1"/>
    <n v="4"/>
    <s v="Yes"/>
    <n v="4545.2"/>
    <x v="2"/>
    <x v="0"/>
    <n v="1"/>
    <x v="1"/>
    <x v="2"/>
    <x v="3"/>
    <n v="2018"/>
    <s v="On-Site"/>
    <n v="87"/>
    <x v="11"/>
  </r>
  <r>
    <n v="10728"/>
    <x v="3"/>
    <x v="0"/>
    <x v="0"/>
    <n v="90287"/>
    <d v="2019-06-11T00:00:00"/>
    <n v="44"/>
    <x v="1"/>
    <n v="4"/>
    <s v="Yes"/>
    <n v="9353.56"/>
    <x v="0"/>
    <x v="2"/>
    <n v="28"/>
    <x v="2"/>
    <x v="3"/>
    <x v="14"/>
    <n v="2010"/>
    <s v="Hybrid"/>
    <n v="13"/>
    <x v="36"/>
  </r>
  <r>
    <n v="10729"/>
    <x v="2"/>
    <x v="1"/>
    <x v="5"/>
    <n v="113402"/>
    <d v="2007-10-31T00:00:00"/>
    <n v="49"/>
    <x v="1"/>
    <n v="7"/>
    <s v="No"/>
    <n v="2033.86"/>
    <x v="3"/>
    <x v="3"/>
    <n v="33"/>
    <x v="1"/>
    <x v="1"/>
    <x v="13"/>
    <n v="2021"/>
    <s v="On-Site"/>
    <n v="168"/>
    <x v="29"/>
  </r>
  <r>
    <n v="10730"/>
    <x v="1"/>
    <x v="2"/>
    <x v="1"/>
    <n v="72607"/>
    <d v="2001-12-24T00:00:00"/>
    <n v="25"/>
    <x v="0"/>
    <n v="2"/>
    <s v="No"/>
    <n v="1990.1"/>
    <x v="3"/>
    <x v="2"/>
    <n v="13"/>
    <x v="2"/>
    <x v="2"/>
    <x v="17"/>
    <n v="2019"/>
    <s v="Hybrid"/>
    <n v="189"/>
    <x v="18"/>
  </r>
  <r>
    <n v="10731"/>
    <x v="3"/>
    <x v="1"/>
    <x v="0"/>
    <n v="57621"/>
    <d v="2018-06-02T00:00:00"/>
    <n v="62"/>
    <x v="0"/>
    <n v="7"/>
    <s v="Yes"/>
    <n v="9517.8799999999992"/>
    <x v="3"/>
    <x v="2"/>
    <n v="1"/>
    <x v="2"/>
    <x v="5"/>
    <x v="2"/>
    <n v="2013"/>
    <s v="Fully Remote"/>
    <n v="137"/>
    <x v="8"/>
  </r>
  <r>
    <n v="10732"/>
    <x v="7"/>
    <x v="4"/>
    <x v="1"/>
    <n v="42823"/>
    <d v="2001-07-23T00:00:00"/>
    <n v="39"/>
    <x v="1"/>
    <n v="7"/>
    <s v="Yes"/>
    <n v="5341.96"/>
    <x v="0"/>
    <x v="4"/>
    <n v="38"/>
    <x v="2"/>
    <x v="3"/>
    <x v="1"/>
    <n v="2010"/>
    <s v="On-Site"/>
    <n v="85"/>
    <x v="7"/>
  </r>
  <r>
    <n v="10733"/>
    <x v="7"/>
    <x v="3"/>
    <x v="5"/>
    <n v="59986"/>
    <d v="2000-08-07T00:00:00"/>
    <n v="60"/>
    <x v="1"/>
    <n v="7"/>
    <s v="No"/>
    <n v="2266.12"/>
    <x v="3"/>
    <x v="4"/>
    <n v="25"/>
    <x v="1"/>
    <x v="0"/>
    <x v="7"/>
    <n v="2011"/>
    <s v="Hybrid"/>
    <n v="98"/>
    <x v="8"/>
  </r>
  <r>
    <n v="10734"/>
    <x v="4"/>
    <x v="3"/>
    <x v="2"/>
    <n v="94325"/>
    <d v="2003-10-26T00:00:00"/>
    <n v="46"/>
    <x v="1"/>
    <n v="3"/>
    <s v="Yes"/>
    <n v="5135.91"/>
    <x v="1"/>
    <x v="2"/>
    <n v="21"/>
    <x v="2"/>
    <x v="4"/>
    <x v="11"/>
    <n v="2011"/>
    <s v="Fully Remote"/>
    <n v="139"/>
    <x v="16"/>
  </r>
  <r>
    <n v="10735"/>
    <x v="5"/>
    <x v="1"/>
    <x v="5"/>
    <n v="87771"/>
    <d v="2007-10-05T00:00:00"/>
    <n v="39"/>
    <x v="0"/>
    <n v="6"/>
    <s v="No"/>
    <n v="7940.51"/>
    <x v="1"/>
    <x v="4"/>
    <n v="33"/>
    <x v="0"/>
    <x v="2"/>
    <x v="2"/>
    <n v="2019"/>
    <s v="On-Site"/>
    <n v="138"/>
    <x v="7"/>
  </r>
  <r>
    <n v="10736"/>
    <x v="3"/>
    <x v="6"/>
    <x v="5"/>
    <n v="84973"/>
    <d v="2018-04-07T00:00:00"/>
    <n v="27"/>
    <x v="1"/>
    <n v="6"/>
    <s v="No"/>
    <n v="8355.74"/>
    <x v="2"/>
    <x v="3"/>
    <n v="37"/>
    <x v="2"/>
    <x v="3"/>
    <x v="0"/>
    <n v="2020"/>
    <s v="Fully Remote"/>
    <n v="56"/>
    <x v="37"/>
  </r>
  <r>
    <n v="10737"/>
    <x v="1"/>
    <x v="6"/>
    <x v="5"/>
    <n v="44690"/>
    <d v="2005-10-23T00:00:00"/>
    <n v="40"/>
    <x v="1"/>
    <n v="4"/>
    <s v="Yes"/>
    <n v="8707.7099999999991"/>
    <x v="0"/>
    <x v="2"/>
    <n v="34"/>
    <x v="1"/>
    <x v="3"/>
    <x v="16"/>
    <n v="2014"/>
    <s v="Hybrid"/>
    <n v="110"/>
    <x v="1"/>
  </r>
  <r>
    <n v="10738"/>
    <x v="2"/>
    <x v="5"/>
    <x v="4"/>
    <n v="69107"/>
    <d v="2015-09-16T00:00:00"/>
    <n v="33"/>
    <x v="0"/>
    <n v="1"/>
    <s v="No"/>
    <n v="5910.92"/>
    <x v="0"/>
    <x v="4"/>
    <n v="3"/>
    <x v="1"/>
    <x v="0"/>
    <x v="1"/>
    <n v="2010"/>
    <s v="Fully Remote"/>
    <n v="59"/>
    <x v="14"/>
  </r>
  <r>
    <n v="10739"/>
    <x v="2"/>
    <x v="5"/>
    <x v="1"/>
    <n v="87888"/>
    <d v="2011-08-02T00:00:00"/>
    <n v="46"/>
    <x v="1"/>
    <n v="9"/>
    <s v="No"/>
    <n v="8735.99"/>
    <x v="0"/>
    <x v="3"/>
    <n v="30"/>
    <x v="0"/>
    <x v="0"/>
    <x v="14"/>
    <n v="2019"/>
    <s v="Hybrid"/>
    <n v="18"/>
    <x v="40"/>
  </r>
  <r>
    <n v="10740"/>
    <x v="1"/>
    <x v="3"/>
    <x v="1"/>
    <n v="40956"/>
    <d v="2010-12-14T00:00:00"/>
    <n v="56"/>
    <x v="1"/>
    <n v="2"/>
    <s v="Yes"/>
    <n v="5345.29"/>
    <x v="0"/>
    <x v="2"/>
    <n v="3"/>
    <x v="2"/>
    <x v="4"/>
    <x v="4"/>
    <n v="2023"/>
    <s v="Hybrid"/>
    <n v="133"/>
    <x v="29"/>
  </r>
  <r>
    <n v="10741"/>
    <x v="0"/>
    <x v="4"/>
    <x v="3"/>
    <n v="116839"/>
    <d v="2017-01-08T00:00:00"/>
    <n v="22"/>
    <x v="1"/>
    <n v="9"/>
    <s v="No"/>
    <n v="6267.07"/>
    <x v="0"/>
    <x v="2"/>
    <n v="18"/>
    <x v="1"/>
    <x v="4"/>
    <x v="8"/>
    <n v="2012"/>
    <s v="On-Site"/>
    <n v="169"/>
    <x v="32"/>
  </r>
  <r>
    <n v="10742"/>
    <x v="6"/>
    <x v="0"/>
    <x v="1"/>
    <n v="86227"/>
    <d v="2011-11-28T00:00:00"/>
    <n v="26"/>
    <x v="1"/>
    <n v="8"/>
    <s v="No"/>
    <n v="7707.84"/>
    <x v="3"/>
    <x v="4"/>
    <n v="23"/>
    <x v="2"/>
    <x v="5"/>
    <x v="19"/>
    <n v="2020"/>
    <s v="Hybrid"/>
    <n v="53"/>
    <x v="1"/>
  </r>
  <r>
    <n v="10743"/>
    <x v="5"/>
    <x v="0"/>
    <x v="3"/>
    <n v="66533"/>
    <d v="2008-06-16T00:00:00"/>
    <n v="22"/>
    <x v="0"/>
    <n v="1"/>
    <s v="Yes"/>
    <n v="4541.6400000000003"/>
    <x v="3"/>
    <x v="3"/>
    <n v="8"/>
    <x v="0"/>
    <x v="4"/>
    <x v="9"/>
    <n v="2015"/>
    <s v="Hybrid"/>
    <n v="144"/>
    <x v="1"/>
  </r>
  <r>
    <n v="10744"/>
    <x v="2"/>
    <x v="5"/>
    <x v="4"/>
    <n v="86234"/>
    <d v="2016-07-25T00:00:00"/>
    <n v="29"/>
    <x v="0"/>
    <n v="7"/>
    <s v="No"/>
    <n v="1199.02"/>
    <x v="1"/>
    <x v="2"/>
    <n v="9"/>
    <x v="0"/>
    <x v="4"/>
    <x v="8"/>
    <n v="2010"/>
    <s v="On-Site"/>
    <n v="137"/>
    <x v="25"/>
  </r>
  <r>
    <n v="10745"/>
    <x v="3"/>
    <x v="4"/>
    <x v="2"/>
    <n v="97594"/>
    <d v="2019-08-14T00:00:00"/>
    <n v="60"/>
    <x v="0"/>
    <n v="3"/>
    <s v="No"/>
    <n v="3826.58"/>
    <x v="0"/>
    <x v="2"/>
    <n v="2"/>
    <x v="1"/>
    <x v="3"/>
    <x v="6"/>
    <n v="2021"/>
    <s v="On-Site"/>
    <n v="74"/>
    <x v="6"/>
  </r>
  <r>
    <n v="10746"/>
    <x v="5"/>
    <x v="5"/>
    <x v="3"/>
    <n v="86901"/>
    <d v="2019-09-28T00:00:00"/>
    <n v="64"/>
    <x v="1"/>
    <n v="9"/>
    <s v="Yes"/>
    <n v="6427.47"/>
    <x v="0"/>
    <x v="0"/>
    <n v="2"/>
    <x v="2"/>
    <x v="2"/>
    <x v="4"/>
    <n v="2020"/>
    <s v="Hybrid"/>
    <n v="120"/>
    <x v="39"/>
  </r>
  <r>
    <n v="10747"/>
    <x v="3"/>
    <x v="0"/>
    <x v="5"/>
    <n v="41519"/>
    <d v="2000-02-19T00:00:00"/>
    <n v="39"/>
    <x v="1"/>
    <n v="5"/>
    <s v="No"/>
    <n v="2327.16"/>
    <x v="0"/>
    <x v="2"/>
    <n v="27"/>
    <x v="0"/>
    <x v="2"/>
    <x v="9"/>
    <n v="2010"/>
    <s v="Hybrid"/>
    <n v="123"/>
    <x v="12"/>
  </r>
  <r>
    <n v="10748"/>
    <x v="0"/>
    <x v="1"/>
    <x v="2"/>
    <n v="61115"/>
    <d v="2001-05-29T00:00:00"/>
    <n v="30"/>
    <x v="0"/>
    <n v="3"/>
    <s v="No"/>
    <n v="1909.66"/>
    <x v="1"/>
    <x v="0"/>
    <n v="39"/>
    <x v="0"/>
    <x v="1"/>
    <x v="19"/>
    <n v="2012"/>
    <s v="On-Site"/>
    <n v="143"/>
    <x v="13"/>
  </r>
  <r>
    <n v="10749"/>
    <x v="7"/>
    <x v="5"/>
    <x v="4"/>
    <n v="96266"/>
    <d v="2007-08-23T00:00:00"/>
    <n v="26"/>
    <x v="1"/>
    <n v="8"/>
    <s v="No"/>
    <n v="3284.27"/>
    <x v="0"/>
    <x v="0"/>
    <n v="36"/>
    <x v="1"/>
    <x v="4"/>
    <x v="19"/>
    <n v="2018"/>
    <s v="On-Site"/>
    <n v="185"/>
    <x v="30"/>
  </r>
  <r>
    <n v="10750"/>
    <x v="5"/>
    <x v="2"/>
    <x v="1"/>
    <n v="31832"/>
    <d v="2007-08-10T00:00:00"/>
    <n v="25"/>
    <x v="1"/>
    <n v="3"/>
    <s v="No"/>
    <n v="805.06"/>
    <x v="0"/>
    <x v="3"/>
    <n v="5"/>
    <x v="0"/>
    <x v="1"/>
    <x v="16"/>
    <n v="2011"/>
    <s v="Fully Remote"/>
    <n v="187"/>
    <x v="40"/>
  </r>
  <r>
    <n v="10751"/>
    <x v="4"/>
    <x v="1"/>
    <x v="3"/>
    <n v="71368"/>
    <d v="2007-03-03T00:00:00"/>
    <n v="50"/>
    <x v="0"/>
    <n v="7"/>
    <s v="Yes"/>
    <n v="7562.52"/>
    <x v="3"/>
    <x v="1"/>
    <n v="1"/>
    <x v="1"/>
    <x v="1"/>
    <x v="8"/>
    <n v="2021"/>
    <s v="Fully Remote"/>
    <n v="83"/>
    <x v="3"/>
  </r>
  <r>
    <n v="10752"/>
    <x v="2"/>
    <x v="5"/>
    <x v="5"/>
    <n v="118425"/>
    <d v="2005-01-11T00:00:00"/>
    <n v="22"/>
    <x v="0"/>
    <n v="7"/>
    <s v="No"/>
    <n v="2957.8"/>
    <x v="1"/>
    <x v="0"/>
    <n v="22"/>
    <x v="0"/>
    <x v="5"/>
    <x v="16"/>
    <n v="2015"/>
    <s v="Fully Remote"/>
    <n v="54"/>
    <x v="7"/>
  </r>
  <r>
    <n v="10753"/>
    <x v="5"/>
    <x v="3"/>
    <x v="0"/>
    <n v="99715"/>
    <d v="2012-10-15T00:00:00"/>
    <n v="51"/>
    <x v="1"/>
    <n v="7"/>
    <s v="Yes"/>
    <n v="1680.26"/>
    <x v="3"/>
    <x v="3"/>
    <n v="10"/>
    <x v="0"/>
    <x v="5"/>
    <x v="6"/>
    <n v="2012"/>
    <s v="On-Site"/>
    <n v="185"/>
    <x v="31"/>
  </r>
  <r>
    <n v="10754"/>
    <x v="5"/>
    <x v="5"/>
    <x v="0"/>
    <n v="101835"/>
    <d v="2003-03-11T00:00:00"/>
    <n v="22"/>
    <x v="0"/>
    <n v="1"/>
    <s v="No"/>
    <n v="7141.73"/>
    <x v="2"/>
    <x v="4"/>
    <n v="24"/>
    <x v="1"/>
    <x v="2"/>
    <x v="16"/>
    <n v="2015"/>
    <s v="On-Site"/>
    <n v="129"/>
    <x v="33"/>
  </r>
  <r>
    <n v="10755"/>
    <x v="5"/>
    <x v="3"/>
    <x v="2"/>
    <n v="103366"/>
    <d v="2013-09-07T00:00:00"/>
    <n v="24"/>
    <x v="1"/>
    <n v="5"/>
    <s v="Yes"/>
    <n v="8507.82"/>
    <x v="0"/>
    <x v="0"/>
    <n v="15"/>
    <x v="1"/>
    <x v="0"/>
    <x v="15"/>
    <n v="2020"/>
    <s v="On-Site"/>
    <n v="59"/>
    <x v="17"/>
  </r>
  <r>
    <n v="10756"/>
    <x v="6"/>
    <x v="4"/>
    <x v="1"/>
    <n v="67570"/>
    <d v="2006-02-27T00:00:00"/>
    <n v="43"/>
    <x v="0"/>
    <n v="1"/>
    <s v="No"/>
    <n v="688.82"/>
    <x v="2"/>
    <x v="1"/>
    <n v="33"/>
    <x v="2"/>
    <x v="3"/>
    <x v="6"/>
    <n v="2020"/>
    <s v="Fully Remote"/>
    <n v="96"/>
    <x v="18"/>
  </r>
  <r>
    <n v="10757"/>
    <x v="5"/>
    <x v="0"/>
    <x v="0"/>
    <n v="117977"/>
    <d v="2017-05-21T00:00:00"/>
    <n v="29"/>
    <x v="0"/>
    <n v="7"/>
    <s v="Yes"/>
    <n v="2719.2"/>
    <x v="0"/>
    <x v="4"/>
    <n v="23"/>
    <x v="0"/>
    <x v="4"/>
    <x v="8"/>
    <n v="2016"/>
    <s v="Hybrid"/>
    <n v="7"/>
    <x v="15"/>
  </r>
  <r>
    <n v="10758"/>
    <x v="3"/>
    <x v="1"/>
    <x v="2"/>
    <n v="36615"/>
    <d v="2001-02-18T00:00:00"/>
    <n v="39"/>
    <x v="1"/>
    <n v="8"/>
    <s v="Yes"/>
    <n v="9479.7099999999991"/>
    <x v="2"/>
    <x v="0"/>
    <n v="14"/>
    <x v="2"/>
    <x v="3"/>
    <x v="0"/>
    <n v="2022"/>
    <s v="Hybrid"/>
    <n v="124"/>
    <x v="37"/>
  </r>
  <r>
    <n v="10759"/>
    <x v="7"/>
    <x v="1"/>
    <x v="4"/>
    <n v="102298"/>
    <d v="2006-03-18T00:00:00"/>
    <n v="46"/>
    <x v="1"/>
    <n v="7"/>
    <s v="No"/>
    <n v="4159.91"/>
    <x v="3"/>
    <x v="0"/>
    <n v="18"/>
    <x v="2"/>
    <x v="4"/>
    <x v="19"/>
    <n v="2022"/>
    <s v="Hybrid"/>
    <n v="148"/>
    <x v="2"/>
  </r>
  <r>
    <n v="10760"/>
    <x v="0"/>
    <x v="6"/>
    <x v="2"/>
    <n v="68311"/>
    <d v="2018-11-23T00:00:00"/>
    <n v="41"/>
    <x v="0"/>
    <n v="1"/>
    <s v="No"/>
    <n v="9416.6200000000008"/>
    <x v="1"/>
    <x v="1"/>
    <n v="25"/>
    <x v="1"/>
    <x v="4"/>
    <x v="11"/>
    <n v="2016"/>
    <s v="On-Site"/>
    <n v="177"/>
    <x v="37"/>
  </r>
  <r>
    <n v="10761"/>
    <x v="1"/>
    <x v="6"/>
    <x v="2"/>
    <n v="53434"/>
    <d v="2003-01-09T00:00:00"/>
    <n v="52"/>
    <x v="1"/>
    <n v="3"/>
    <s v="Yes"/>
    <n v="3105.02"/>
    <x v="2"/>
    <x v="2"/>
    <n v="22"/>
    <x v="0"/>
    <x v="1"/>
    <x v="7"/>
    <n v="2023"/>
    <s v="Hybrid"/>
    <n v="85"/>
    <x v="35"/>
  </r>
  <r>
    <n v="10762"/>
    <x v="5"/>
    <x v="0"/>
    <x v="2"/>
    <n v="116879"/>
    <d v="2013-04-20T00:00:00"/>
    <n v="51"/>
    <x v="1"/>
    <n v="3"/>
    <s v="Yes"/>
    <n v="2571.64"/>
    <x v="3"/>
    <x v="1"/>
    <n v="37"/>
    <x v="1"/>
    <x v="2"/>
    <x v="5"/>
    <n v="2011"/>
    <s v="Hybrid"/>
    <n v="168"/>
    <x v="30"/>
  </r>
  <r>
    <n v="10763"/>
    <x v="2"/>
    <x v="6"/>
    <x v="5"/>
    <n v="45739"/>
    <d v="2012-10-02T00:00:00"/>
    <n v="37"/>
    <x v="1"/>
    <n v="7"/>
    <s v="Yes"/>
    <n v="2534.0300000000002"/>
    <x v="2"/>
    <x v="3"/>
    <n v="7"/>
    <x v="0"/>
    <x v="3"/>
    <x v="9"/>
    <n v="2012"/>
    <s v="On-Site"/>
    <n v="23"/>
    <x v="8"/>
  </r>
  <r>
    <n v="10764"/>
    <x v="5"/>
    <x v="1"/>
    <x v="2"/>
    <n v="96202"/>
    <d v="2009-03-10T00:00:00"/>
    <n v="23"/>
    <x v="0"/>
    <n v="4"/>
    <s v="Yes"/>
    <n v="1309.67"/>
    <x v="2"/>
    <x v="3"/>
    <n v="26"/>
    <x v="1"/>
    <x v="3"/>
    <x v="10"/>
    <n v="2013"/>
    <s v="On-Site"/>
    <n v="136"/>
    <x v="32"/>
  </r>
  <r>
    <n v="10765"/>
    <x v="2"/>
    <x v="5"/>
    <x v="3"/>
    <n v="109599"/>
    <d v="2006-08-13T00:00:00"/>
    <n v="38"/>
    <x v="1"/>
    <n v="3"/>
    <s v="Yes"/>
    <n v="9016.11"/>
    <x v="1"/>
    <x v="1"/>
    <n v="24"/>
    <x v="0"/>
    <x v="0"/>
    <x v="3"/>
    <n v="2017"/>
    <s v="On-Site"/>
    <n v="63"/>
    <x v="12"/>
  </r>
  <r>
    <n v="10766"/>
    <x v="3"/>
    <x v="4"/>
    <x v="2"/>
    <n v="63649"/>
    <d v="2015-05-13T00:00:00"/>
    <n v="31"/>
    <x v="1"/>
    <n v="6"/>
    <s v="Yes"/>
    <n v="9808.43"/>
    <x v="3"/>
    <x v="1"/>
    <n v="13"/>
    <x v="2"/>
    <x v="0"/>
    <x v="18"/>
    <n v="2014"/>
    <s v="On-Site"/>
    <n v="93"/>
    <x v="14"/>
  </r>
  <r>
    <n v="10767"/>
    <x v="2"/>
    <x v="4"/>
    <x v="5"/>
    <n v="77445"/>
    <d v="2005-04-18T00:00:00"/>
    <n v="28"/>
    <x v="0"/>
    <n v="6"/>
    <s v="No"/>
    <n v="9567.83"/>
    <x v="1"/>
    <x v="1"/>
    <n v="6"/>
    <x v="0"/>
    <x v="3"/>
    <x v="9"/>
    <n v="2010"/>
    <s v="On-Site"/>
    <n v="144"/>
    <x v="29"/>
  </r>
  <r>
    <n v="10768"/>
    <x v="4"/>
    <x v="0"/>
    <x v="5"/>
    <n v="69470"/>
    <d v="2019-04-10T00:00:00"/>
    <n v="63"/>
    <x v="0"/>
    <n v="5"/>
    <s v="No"/>
    <n v="8594.27"/>
    <x v="0"/>
    <x v="1"/>
    <n v="21"/>
    <x v="0"/>
    <x v="0"/>
    <x v="13"/>
    <n v="2018"/>
    <s v="Fully Remote"/>
    <n v="67"/>
    <x v="16"/>
  </r>
  <r>
    <n v="10769"/>
    <x v="1"/>
    <x v="6"/>
    <x v="4"/>
    <n v="104965"/>
    <d v="2014-12-18T00:00:00"/>
    <n v="30"/>
    <x v="0"/>
    <n v="6"/>
    <s v="Yes"/>
    <n v="8545.44"/>
    <x v="1"/>
    <x v="1"/>
    <n v="7"/>
    <x v="1"/>
    <x v="0"/>
    <x v="19"/>
    <n v="2010"/>
    <s v="On-Site"/>
    <n v="188"/>
    <x v="1"/>
  </r>
  <r>
    <n v="10770"/>
    <x v="7"/>
    <x v="5"/>
    <x v="1"/>
    <n v="78621"/>
    <d v="2000-07-22T00:00:00"/>
    <n v="38"/>
    <x v="0"/>
    <n v="3"/>
    <s v="Yes"/>
    <n v="6780.31"/>
    <x v="1"/>
    <x v="0"/>
    <n v="18"/>
    <x v="0"/>
    <x v="4"/>
    <x v="19"/>
    <n v="2011"/>
    <s v="Hybrid"/>
    <n v="31"/>
    <x v="37"/>
  </r>
  <r>
    <n v="10771"/>
    <x v="2"/>
    <x v="4"/>
    <x v="0"/>
    <n v="62926"/>
    <d v="2019-09-10T00:00:00"/>
    <n v="30"/>
    <x v="1"/>
    <n v="5"/>
    <s v="No"/>
    <n v="8349.0300000000007"/>
    <x v="2"/>
    <x v="4"/>
    <n v="15"/>
    <x v="0"/>
    <x v="2"/>
    <x v="10"/>
    <n v="2016"/>
    <s v="Hybrid"/>
    <n v="129"/>
    <x v="25"/>
  </r>
  <r>
    <n v="10772"/>
    <x v="2"/>
    <x v="4"/>
    <x v="0"/>
    <n v="67997"/>
    <d v="2019-06-10T00:00:00"/>
    <n v="30"/>
    <x v="1"/>
    <n v="9"/>
    <s v="Yes"/>
    <n v="2479.25"/>
    <x v="2"/>
    <x v="3"/>
    <n v="8"/>
    <x v="0"/>
    <x v="4"/>
    <x v="0"/>
    <n v="2020"/>
    <s v="Fully Remote"/>
    <n v="156"/>
    <x v="19"/>
  </r>
  <r>
    <n v="10773"/>
    <x v="7"/>
    <x v="2"/>
    <x v="2"/>
    <n v="89940"/>
    <d v="2015-07-13T00:00:00"/>
    <n v="58"/>
    <x v="0"/>
    <n v="4"/>
    <s v="Yes"/>
    <n v="4185.17"/>
    <x v="2"/>
    <x v="3"/>
    <n v="16"/>
    <x v="0"/>
    <x v="1"/>
    <x v="12"/>
    <n v="2012"/>
    <s v="On-Site"/>
    <n v="158"/>
    <x v="22"/>
  </r>
  <r>
    <n v="10774"/>
    <x v="1"/>
    <x v="2"/>
    <x v="4"/>
    <n v="70724"/>
    <d v="2000-03-09T00:00:00"/>
    <n v="45"/>
    <x v="0"/>
    <n v="2"/>
    <s v="No"/>
    <n v="6587.94"/>
    <x v="3"/>
    <x v="4"/>
    <n v="3"/>
    <x v="2"/>
    <x v="0"/>
    <x v="6"/>
    <n v="2015"/>
    <s v="Hybrid"/>
    <n v="26"/>
    <x v="15"/>
  </r>
  <r>
    <n v="10775"/>
    <x v="5"/>
    <x v="1"/>
    <x v="2"/>
    <n v="61704"/>
    <d v="2001-05-30T00:00:00"/>
    <n v="60"/>
    <x v="1"/>
    <n v="5"/>
    <s v="No"/>
    <n v="8810.33"/>
    <x v="1"/>
    <x v="1"/>
    <n v="9"/>
    <x v="1"/>
    <x v="4"/>
    <x v="11"/>
    <n v="2017"/>
    <s v="Hybrid"/>
    <n v="74"/>
    <x v="18"/>
  </r>
  <r>
    <n v="10776"/>
    <x v="2"/>
    <x v="4"/>
    <x v="0"/>
    <n v="58391"/>
    <d v="2009-10-03T00:00:00"/>
    <n v="32"/>
    <x v="1"/>
    <n v="3"/>
    <s v="Yes"/>
    <n v="6774.46"/>
    <x v="0"/>
    <x v="4"/>
    <n v="26"/>
    <x v="0"/>
    <x v="4"/>
    <x v="6"/>
    <n v="2014"/>
    <s v="On-Site"/>
    <n v="23"/>
    <x v="4"/>
  </r>
  <r>
    <n v="10777"/>
    <x v="7"/>
    <x v="0"/>
    <x v="5"/>
    <n v="93291"/>
    <d v="2017-06-23T00:00:00"/>
    <n v="29"/>
    <x v="0"/>
    <n v="3"/>
    <s v="No"/>
    <n v="8470.7099999999991"/>
    <x v="2"/>
    <x v="1"/>
    <n v="26"/>
    <x v="1"/>
    <x v="5"/>
    <x v="0"/>
    <n v="2010"/>
    <s v="Fully Remote"/>
    <n v="105"/>
    <x v="26"/>
  </r>
  <r>
    <n v="10778"/>
    <x v="4"/>
    <x v="3"/>
    <x v="1"/>
    <n v="119723"/>
    <d v="2012-03-14T00:00:00"/>
    <n v="46"/>
    <x v="1"/>
    <n v="4"/>
    <s v="Yes"/>
    <n v="5002.5200000000004"/>
    <x v="0"/>
    <x v="3"/>
    <n v="30"/>
    <x v="2"/>
    <x v="4"/>
    <x v="7"/>
    <n v="2019"/>
    <s v="On-Site"/>
    <n v="166"/>
    <x v="2"/>
  </r>
  <r>
    <n v="10779"/>
    <x v="4"/>
    <x v="3"/>
    <x v="4"/>
    <n v="32526"/>
    <d v="2004-01-04T00:00:00"/>
    <n v="23"/>
    <x v="1"/>
    <n v="4"/>
    <s v="No"/>
    <n v="7314.39"/>
    <x v="1"/>
    <x v="2"/>
    <n v="27"/>
    <x v="2"/>
    <x v="4"/>
    <x v="3"/>
    <n v="2023"/>
    <s v="On-Site"/>
    <n v="143"/>
    <x v="2"/>
  </r>
  <r>
    <n v="10780"/>
    <x v="3"/>
    <x v="5"/>
    <x v="5"/>
    <n v="54686"/>
    <d v="2014-02-06T00:00:00"/>
    <n v="31"/>
    <x v="0"/>
    <n v="5"/>
    <s v="Yes"/>
    <n v="9809.82"/>
    <x v="1"/>
    <x v="3"/>
    <n v="16"/>
    <x v="0"/>
    <x v="2"/>
    <x v="4"/>
    <n v="2021"/>
    <s v="On-Site"/>
    <n v="124"/>
    <x v="9"/>
  </r>
  <r>
    <n v="10781"/>
    <x v="7"/>
    <x v="4"/>
    <x v="1"/>
    <n v="103339"/>
    <d v="2016-06-23T00:00:00"/>
    <n v="45"/>
    <x v="0"/>
    <n v="7"/>
    <s v="Yes"/>
    <n v="1958.14"/>
    <x v="1"/>
    <x v="3"/>
    <n v="4"/>
    <x v="1"/>
    <x v="3"/>
    <x v="5"/>
    <n v="2012"/>
    <s v="On-Site"/>
    <n v="92"/>
    <x v="13"/>
  </r>
  <r>
    <n v="10782"/>
    <x v="3"/>
    <x v="4"/>
    <x v="4"/>
    <n v="36574"/>
    <d v="2004-07-10T00:00:00"/>
    <n v="37"/>
    <x v="0"/>
    <n v="4"/>
    <s v="Yes"/>
    <n v="9305.75"/>
    <x v="0"/>
    <x v="2"/>
    <n v="19"/>
    <x v="1"/>
    <x v="5"/>
    <x v="16"/>
    <n v="2020"/>
    <s v="On-Site"/>
    <n v="177"/>
    <x v="2"/>
  </r>
  <r>
    <n v="10783"/>
    <x v="4"/>
    <x v="1"/>
    <x v="4"/>
    <n v="38733"/>
    <d v="2001-12-07T00:00:00"/>
    <n v="40"/>
    <x v="0"/>
    <n v="7"/>
    <s v="Yes"/>
    <n v="5462.46"/>
    <x v="0"/>
    <x v="4"/>
    <n v="34"/>
    <x v="1"/>
    <x v="5"/>
    <x v="7"/>
    <n v="2011"/>
    <s v="Fully Remote"/>
    <n v="41"/>
    <x v="20"/>
  </r>
  <r>
    <n v="10784"/>
    <x v="1"/>
    <x v="4"/>
    <x v="0"/>
    <n v="80290"/>
    <d v="2004-06-13T00:00:00"/>
    <n v="52"/>
    <x v="1"/>
    <n v="9"/>
    <s v="No"/>
    <n v="6610.57"/>
    <x v="0"/>
    <x v="0"/>
    <n v="6"/>
    <x v="2"/>
    <x v="5"/>
    <x v="9"/>
    <n v="2015"/>
    <s v="Hybrid"/>
    <n v="155"/>
    <x v="40"/>
  </r>
  <r>
    <n v="10785"/>
    <x v="5"/>
    <x v="0"/>
    <x v="5"/>
    <n v="102793"/>
    <d v="2018-09-16T00:00:00"/>
    <n v="32"/>
    <x v="0"/>
    <n v="3"/>
    <s v="No"/>
    <n v="8839.76"/>
    <x v="1"/>
    <x v="1"/>
    <n v="15"/>
    <x v="2"/>
    <x v="1"/>
    <x v="8"/>
    <n v="2023"/>
    <s v="On-Site"/>
    <n v="172"/>
    <x v="37"/>
  </r>
  <r>
    <n v="10786"/>
    <x v="7"/>
    <x v="2"/>
    <x v="4"/>
    <n v="66051"/>
    <d v="2013-01-04T00:00:00"/>
    <n v="27"/>
    <x v="1"/>
    <n v="5"/>
    <s v="No"/>
    <n v="4391.71"/>
    <x v="1"/>
    <x v="1"/>
    <n v="10"/>
    <x v="0"/>
    <x v="5"/>
    <x v="8"/>
    <n v="2014"/>
    <s v="Hybrid"/>
    <n v="175"/>
    <x v="2"/>
  </r>
  <r>
    <n v="10787"/>
    <x v="0"/>
    <x v="4"/>
    <x v="3"/>
    <n v="45909"/>
    <d v="2010-05-13T00:00:00"/>
    <n v="27"/>
    <x v="1"/>
    <n v="4"/>
    <s v="Yes"/>
    <n v="4477.58"/>
    <x v="2"/>
    <x v="3"/>
    <n v="36"/>
    <x v="1"/>
    <x v="2"/>
    <x v="11"/>
    <n v="2016"/>
    <s v="Hybrid"/>
    <n v="8"/>
    <x v="33"/>
  </r>
  <r>
    <n v="10788"/>
    <x v="4"/>
    <x v="4"/>
    <x v="4"/>
    <n v="119682"/>
    <d v="2003-09-07T00:00:00"/>
    <n v="53"/>
    <x v="1"/>
    <n v="9"/>
    <s v="No"/>
    <n v="5508.23"/>
    <x v="3"/>
    <x v="2"/>
    <n v="6"/>
    <x v="1"/>
    <x v="3"/>
    <x v="0"/>
    <n v="2011"/>
    <s v="On-Site"/>
    <n v="86"/>
    <x v="38"/>
  </r>
  <r>
    <n v="10789"/>
    <x v="4"/>
    <x v="1"/>
    <x v="1"/>
    <n v="107338"/>
    <d v="2000-12-09T00:00:00"/>
    <n v="60"/>
    <x v="0"/>
    <n v="5"/>
    <s v="Yes"/>
    <n v="681.47"/>
    <x v="0"/>
    <x v="3"/>
    <n v="6"/>
    <x v="2"/>
    <x v="1"/>
    <x v="10"/>
    <n v="2023"/>
    <s v="Hybrid"/>
    <n v="19"/>
    <x v="3"/>
  </r>
  <r>
    <n v="10790"/>
    <x v="0"/>
    <x v="6"/>
    <x v="0"/>
    <n v="103432"/>
    <d v="2010-05-14T00:00:00"/>
    <n v="34"/>
    <x v="1"/>
    <n v="2"/>
    <s v="Yes"/>
    <n v="5218.33"/>
    <x v="3"/>
    <x v="3"/>
    <n v="15"/>
    <x v="0"/>
    <x v="2"/>
    <x v="16"/>
    <n v="2022"/>
    <s v="On-Site"/>
    <n v="155"/>
    <x v="12"/>
  </r>
  <r>
    <n v="10791"/>
    <x v="6"/>
    <x v="1"/>
    <x v="2"/>
    <n v="58133"/>
    <d v="2001-06-19T00:00:00"/>
    <n v="24"/>
    <x v="0"/>
    <n v="1"/>
    <s v="No"/>
    <n v="3265.33"/>
    <x v="0"/>
    <x v="4"/>
    <n v="29"/>
    <x v="0"/>
    <x v="5"/>
    <x v="7"/>
    <n v="2015"/>
    <s v="On-Site"/>
    <n v="144"/>
    <x v="22"/>
  </r>
  <r>
    <n v="10792"/>
    <x v="4"/>
    <x v="1"/>
    <x v="0"/>
    <n v="81571"/>
    <d v="2000-12-20T00:00:00"/>
    <n v="62"/>
    <x v="0"/>
    <n v="7"/>
    <s v="No"/>
    <n v="9315.56"/>
    <x v="0"/>
    <x v="1"/>
    <n v="25"/>
    <x v="0"/>
    <x v="3"/>
    <x v="15"/>
    <n v="2020"/>
    <s v="On-Site"/>
    <n v="72"/>
    <x v="6"/>
  </r>
  <r>
    <n v="10793"/>
    <x v="2"/>
    <x v="0"/>
    <x v="2"/>
    <n v="109062"/>
    <d v="2009-09-12T00:00:00"/>
    <n v="56"/>
    <x v="0"/>
    <n v="1"/>
    <s v="Yes"/>
    <n v="1333.49"/>
    <x v="3"/>
    <x v="0"/>
    <n v="19"/>
    <x v="2"/>
    <x v="2"/>
    <x v="6"/>
    <n v="2014"/>
    <s v="Fully Remote"/>
    <n v="72"/>
    <x v="16"/>
  </r>
  <r>
    <n v="10794"/>
    <x v="1"/>
    <x v="5"/>
    <x v="5"/>
    <n v="80908"/>
    <d v="2013-10-02T00:00:00"/>
    <n v="59"/>
    <x v="1"/>
    <n v="8"/>
    <s v="Yes"/>
    <n v="4863.54"/>
    <x v="3"/>
    <x v="2"/>
    <n v="14"/>
    <x v="1"/>
    <x v="3"/>
    <x v="12"/>
    <n v="2015"/>
    <s v="On-Site"/>
    <n v="184"/>
    <x v="24"/>
  </r>
  <r>
    <n v="10795"/>
    <x v="7"/>
    <x v="4"/>
    <x v="5"/>
    <n v="41278"/>
    <d v="2002-09-09T00:00:00"/>
    <n v="38"/>
    <x v="0"/>
    <n v="9"/>
    <s v="No"/>
    <n v="9500.9500000000007"/>
    <x v="0"/>
    <x v="0"/>
    <n v="3"/>
    <x v="0"/>
    <x v="1"/>
    <x v="19"/>
    <n v="2014"/>
    <s v="On-Site"/>
    <n v="173"/>
    <x v="23"/>
  </r>
  <r>
    <n v="10796"/>
    <x v="0"/>
    <x v="1"/>
    <x v="4"/>
    <n v="81458"/>
    <d v="2016-09-26T00:00:00"/>
    <n v="24"/>
    <x v="0"/>
    <n v="7"/>
    <s v="No"/>
    <n v="9059.83"/>
    <x v="1"/>
    <x v="2"/>
    <n v="14"/>
    <x v="0"/>
    <x v="2"/>
    <x v="8"/>
    <n v="2016"/>
    <s v="Hybrid"/>
    <n v="109"/>
    <x v="5"/>
  </r>
  <r>
    <n v="10797"/>
    <x v="2"/>
    <x v="1"/>
    <x v="3"/>
    <n v="94265"/>
    <d v="2017-02-08T00:00:00"/>
    <n v="55"/>
    <x v="1"/>
    <n v="9"/>
    <s v="No"/>
    <n v="7162.81"/>
    <x v="2"/>
    <x v="1"/>
    <n v="39"/>
    <x v="1"/>
    <x v="3"/>
    <x v="10"/>
    <n v="2014"/>
    <s v="Fully Remote"/>
    <n v="63"/>
    <x v="35"/>
  </r>
  <r>
    <n v="10798"/>
    <x v="0"/>
    <x v="6"/>
    <x v="5"/>
    <n v="86782"/>
    <d v="2003-09-07T00:00:00"/>
    <n v="33"/>
    <x v="0"/>
    <n v="6"/>
    <s v="No"/>
    <n v="6098.93"/>
    <x v="0"/>
    <x v="4"/>
    <n v="39"/>
    <x v="0"/>
    <x v="2"/>
    <x v="19"/>
    <n v="2023"/>
    <s v="Hybrid"/>
    <n v="62"/>
    <x v="14"/>
  </r>
  <r>
    <n v="10799"/>
    <x v="7"/>
    <x v="1"/>
    <x v="4"/>
    <n v="85415"/>
    <d v="2015-08-01T00:00:00"/>
    <n v="45"/>
    <x v="1"/>
    <n v="7"/>
    <s v="No"/>
    <n v="3166.94"/>
    <x v="2"/>
    <x v="0"/>
    <n v="21"/>
    <x v="2"/>
    <x v="5"/>
    <x v="14"/>
    <n v="2022"/>
    <s v="Hybrid"/>
    <n v="124"/>
    <x v="36"/>
  </r>
  <r>
    <n v="10800"/>
    <x v="3"/>
    <x v="3"/>
    <x v="0"/>
    <n v="84160"/>
    <d v="2016-06-07T00:00:00"/>
    <n v="27"/>
    <x v="1"/>
    <n v="3"/>
    <s v="Yes"/>
    <n v="3986.09"/>
    <x v="1"/>
    <x v="2"/>
    <n v="11"/>
    <x v="0"/>
    <x v="5"/>
    <x v="13"/>
    <n v="2016"/>
    <s v="On-Site"/>
    <n v="191"/>
    <x v="38"/>
  </r>
  <r>
    <n v="10801"/>
    <x v="7"/>
    <x v="5"/>
    <x v="5"/>
    <n v="84399"/>
    <d v="2008-03-28T00:00:00"/>
    <n v="63"/>
    <x v="0"/>
    <n v="9"/>
    <s v="Yes"/>
    <n v="1356.28"/>
    <x v="1"/>
    <x v="3"/>
    <n v="10"/>
    <x v="1"/>
    <x v="5"/>
    <x v="5"/>
    <n v="2010"/>
    <s v="Fully Remote"/>
    <n v="155"/>
    <x v="37"/>
  </r>
  <r>
    <n v="10802"/>
    <x v="6"/>
    <x v="4"/>
    <x v="0"/>
    <n v="55298"/>
    <d v="2001-06-10T00:00:00"/>
    <n v="32"/>
    <x v="0"/>
    <n v="3"/>
    <s v="Yes"/>
    <n v="7968.03"/>
    <x v="2"/>
    <x v="1"/>
    <n v="15"/>
    <x v="2"/>
    <x v="1"/>
    <x v="16"/>
    <n v="2018"/>
    <s v="Fully Remote"/>
    <n v="133"/>
    <x v="31"/>
  </r>
  <r>
    <n v="10803"/>
    <x v="7"/>
    <x v="4"/>
    <x v="0"/>
    <n v="52191"/>
    <d v="2018-03-14T00:00:00"/>
    <n v="48"/>
    <x v="0"/>
    <n v="6"/>
    <s v="No"/>
    <n v="3576.76"/>
    <x v="0"/>
    <x v="4"/>
    <n v="30"/>
    <x v="0"/>
    <x v="2"/>
    <x v="17"/>
    <n v="2015"/>
    <s v="On-Site"/>
    <n v="60"/>
    <x v="23"/>
  </r>
  <r>
    <n v="10804"/>
    <x v="7"/>
    <x v="6"/>
    <x v="3"/>
    <n v="86964"/>
    <d v="2019-11-09T00:00:00"/>
    <n v="45"/>
    <x v="0"/>
    <n v="4"/>
    <s v="Yes"/>
    <n v="6843.93"/>
    <x v="2"/>
    <x v="3"/>
    <n v="17"/>
    <x v="1"/>
    <x v="3"/>
    <x v="14"/>
    <n v="2018"/>
    <s v="Fully Remote"/>
    <n v="8"/>
    <x v="4"/>
  </r>
  <r>
    <n v="10805"/>
    <x v="6"/>
    <x v="0"/>
    <x v="5"/>
    <n v="63092"/>
    <d v="2002-07-19T00:00:00"/>
    <n v="39"/>
    <x v="1"/>
    <n v="9"/>
    <s v="No"/>
    <n v="3897.15"/>
    <x v="0"/>
    <x v="4"/>
    <n v="29"/>
    <x v="1"/>
    <x v="3"/>
    <x v="12"/>
    <n v="2010"/>
    <s v="On-Site"/>
    <n v="33"/>
    <x v="7"/>
  </r>
  <r>
    <n v="10806"/>
    <x v="1"/>
    <x v="4"/>
    <x v="0"/>
    <n v="119407"/>
    <d v="2007-07-19T00:00:00"/>
    <n v="48"/>
    <x v="0"/>
    <n v="1"/>
    <s v="No"/>
    <n v="4911.1400000000003"/>
    <x v="3"/>
    <x v="2"/>
    <n v="17"/>
    <x v="1"/>
    <x v="0"/>
    <x v="7"/>
    <n v="2011"/>
    <s v="Fully Remote"/>
    <n v="21"/>
    <x v="12"/>
  </r>
  <r>
    <n v="10807"/>
    <x v="4"/>
    <x v="3"/>
    <x v="3"/>
    <n v="105257"/>
    <d v="2006-04-01T00:00:00"/>
    <n v="62"/>
    <x v="0"/>
    <n v="9"/>
    <s v="No"/>
    <n v="5772.52"/>
    <x v="0"/>
    <x v="3"/>
    <n v="33"/>
    <x v="1"/>
    <x v="4"/>
    <x v="5"/>
    <n v="2016"/>
    <s v="Fully Remote"/>
    <n v="181"/>
    <x v="37"/>
  </r>
  <r>
    <n v="10808"/>
    <x v="7"/>
    <x v="4"/>
    <x v="3"/>
    <n v="92513"/>
    <d v="2005-04-30T00:00:00"/>
    <n v="42"/>
    <x v="1"/>
    <n v="4"/>
    <s v="Yes"/>
    <n v="8117.6"/>
    <x v="3"/>
    <x v="4"/>
    <n v="38"/>
    <x v="0"/>
    <x v="5"/>
    <x v="8"/>
    <n v="2013"/>
    <s v="On-Site"/>
    <n v="55"/>
    <x v="16"/>
  </r>
  <r>
    <n v="10809"/>
    <x v="6"/>
    <x v="3"/>
    <x v="5"/>
    <n v="81097"/>
    <d v="2010-10-02T00:00:00"/>
    <n v="55"/>
    <x v="0"/>
    <n v="5"/>
    <s v="Yes"/>
    <n v="2505.9899999999998"/>
    <x v="3"/>
    <x v="1"/>
    <n v="21"/>
    <x v="0"/>
    <x v="5"/>
    <x v="19"/>
    <n v="2023"/>
    <s v="Fully Remote"/>
    <n v="181"/>
    <x v="19"/>
  </r>
  <r>
    <n v="10810"/>
    <x v="2"/>
    <x v="5"/>
    <x v="3"/>
    <n v="60279"/>
    <d v="2014-09-26T00:00:00"/>
    <n v="54"/>
    <x v="0"/>
    <n v="1"/>
    <s v="Yes"/>
    <n v="4288.2700000000004"/>
    <x v="2"/>
    <x v="0"/>
    <n v="14"/>
    <x v="2"/>
    <x v="5"/>
    <x v="14"/>
    <n v="2022"/>
    <s v="Fully Remote"/>
    <n v="28"/>
    <x v="6"/>
  </r>
  <r>
    <n v="10811"/>
    <x v="3"/>
    <x v="5"/>
    <x v="5"/>
    <n v="44404"/>
    <d v="2019-08-22T00:00:00"/>
    <n v="39"/>
    <x v="0"/>
    <n v="1"/>
    <s v="Yes"/>
    <n v="1735.77"/>
    <x v="3"/>
    <x v="0"/>
    <n v="10"/>
    <x v="2"/>
    <x v="0"/>
    <x v="5"/>
    <n v="2019"/>
    <s v="Fully Remote"/>
    <n v="48"/>
    <x v="14"/>
  </r>
  <r>
    <n v="10812"/>
    <x v="3"/>
    <x v="2"/>
    <x v="5"/>
    <n v="100022"/>
    <d v="2006-12-16T00:00:00"/>
    <n v="24"/>
    <x v="0"/>
    <n v="6"/>
    <s v="No"/>
    <n v="1219.72"/>
    <x v="2"/>
    <x v="3"/>
    <n v="23"/>
    <x v="1"/>
    <x v="0"/>
    <x v="2"/>
    <n v="2023"/>
    <s v="Hybrid"/>
    <n v="120"/>
    <x v="17"/>
  </r>
  <r>
    <n v="10813"/>
    <x v="7"/>
    <x v="2"/>
    <x v="2"/>
    <n v="65198"/>
    <d v="2005-03-31T00:00:00"/>
    <n v="45"/>
    <x v="0"/>
    <n v="1"/>
    <s v="No"/>
    <n v="6244.41"/>
    <x v="2"/>
    <x v="1"/>
    <n v="39"/>
    <x v="1"/>
    <x v="0"/>
    <x v="15"/>
    <n v="2010"/>
    <s v="On-Site"/>
    <n v="173"/>
    <x v="5"/>
  </r>
  <r>
    <n v="10814"/>
    <x v="1"/>
    <x v="3"/>
    <x v="0"/>
    <n v="79997"/>
    <d v="2009-03-14T00:00:00"/>
    <n v="22"/>
    <x v="1"/>
    <n v="2"/>
    <s v="Yes"/>
    <n v="2296.36"/>
    <x v="1"/>
    <x v="1"/>
    <n v="39"/>
    <x v="2"/>
    <x v="5"/>
    <x v="9"/>
    <n v="2014"/>
    <s v="Hybrid"/>
    <n v="61"/>
    <x v="6"/>
  </r>
  <r>
    <n v="10815"/>
    <x v="1"/>
    <x v="0"/>
    <x v="1"/>
    <n v="108692"/>
    <d v="2004-05-12T00:00:00"/>
    <n v="27"/>
    <x v="0"/>
    <n v="3"/>
    <s v="Yes"/>
    <n v="1068.0899999999999"/>
    <x v="2"/>
    <x v="4"/>
    <n v="14"/>
    <x v="0"/>
    <x v="3"/>
    <x v="3"/>
    <n v="2013"/>
    <s v="Fully Remote"/>
    <n v="188"/>
    <x v="5"/>
  </r>
  <r>
    <n v="10816"/>
    <x v="2"/>
    <x v="4"/>
    <x v="5"/>
    <n v="30567"/>
    <d v="2008-01-04T00:00:00"/>
    <n v="40"/>
    <x v="1"/>
    <n v="7"/>
    <s v="No"/>
    <n v="9022.43"/>
    <x v="1"/>
    <x v="3"/>
    <n v="22"/>
    <x v="0"/>
    <x v="5"/>
    <x v="11"/>
    <n v="2015"/>
    <s v="Fully Remote"/>
    <n v="36"/>
    <x v="4"/>
  </r>
  <r>
    <n v="10817"/>
    <x v="7"/>
    <x v="1"/>
    <x v="0"/>
    <n v="91032"/>
    <d v="2009-12-04T00:00:00"/>
    <n v="43"/>
    <x v="1"/>
    <n v="2"/>
    <s v="Yes"/>
    <n v="5575.99"/>
    <x v="1"/>
    <x v="1"/>
    <n v="28"/>
    <x v="0"/>
    <x v="0"/>
    <x v="16"/>
    <n v="2022"/>
    <s v="Hybrid"/>
    <n v="163"/>
    <x v="4"/>
  </r>
  <r>
    <n v="10818"/>
    <x v="3"/>
    <x v="4"/>
    <x v="3"/>
    <n v="32179"/>
    <d v="2014-12-22T00:00:00"/>
    <n v="64"/>
    <x v="1"/>
    <n v="5"/>
    <s v="Yes"/>
    <n v="1778.97"/>
    <x v="2"/>
    <x v="4"/>
    <n v="9"/>
    <x v="1"/>
    <x v="0"/>
    <x v="5"/>
    <n v="2016"/>
    <s v="Fully Remote"/>
    <n v="148"/>
    <x v="6"/>
  </r>
  <r>
    <n v="10819"/>
    <x v="1"/>
    <x v="2"/>
    <x v="4"/>
    <n v="32019"/>
    <d v="2003-05-08T00:00:00"/>
    <n v="29"/>
    <x v="1"/>
    <n v="9"/>
    <s v="No"/>
    <n v="1007.55"/>
    <x v="0"/>
    <x v="1"/>
    <n v="23"/>
    <x v="2"/>
    <x v="4"/>
    <x v="13"/>
    <n v="2020"/>
    <s v="Fully Remote"/>
    <n v="164"/>
    <x v="20"/>
  </r>
  <r>
    <n v="10820"/>
    <x v="7"/>
    <x v="1"/>
    <x v="5"/>
    <n v="111455"/>
    <d v="2005-05-13T00:00:00"/>
    <n v="26"/>
    <x v="0"/>
    <n v="8"/>
    <s v="Yes"/>
    <n v="1638.67"/>
    <x v="0"/>
    <x v="3"/>
    <n v="7"/>
    <x v="2"/>
    <x v="2"/>
    <x v="0"/>
    <n v="2012"/>
    <s v="On-Site"/>
    <n v="112"/>
    <x v="19"/>
  </r>
  <r>
    <n v="10821"/>
    <x v="0"/>
    <x v="3"/>
    <x v="3"/>
    <n v="115239"/>
    <d v="2019-06-20T00:00:00"/>
    <n v="30"/>
    <x v="0"/>
    <n v="8"/>
    <s v="Yes"/>
    <n v="4977.7"/>
    <x v="2"/>
    <x v="1"/>
    <n v="24"/>
    <x v="2"/>
    <x v="4"/>
    <x v="10"/>
    <n v="2015"/>
    <s v="Fully Remote"/>
    <n v="46"/>
    <x v="3"/>
  </r>
  <r>
    <n v="10822"/>
    <x v="1"/>
    <x v="1"/>
    <x v="3"/>
    <n v="48704"/>
    <d v="2002-08-23T00:00:00"/>
    <n v="42"/>
    <x v="1"/>
    <n v="2"/>
    <s v="Yes"/>
    <n v="6850.42"/>
    <x v="3"/>
    <x v="1"/>
    <n v="37"/>
    <x v="0"/>
    <x v="4"/>
    <x v="18"/>
    <n v="2011"/>
    <s v="On-Site"/>
    <n v="126"/>
    <x v="33"/>
  </r>
  <r>
    <n v="10823"/>
    <x v="6"/>
    <x v="4"/>
    <x v="3"/>
    <n v="48030"/>
    <d v="2013-11-07T00:00:00"/>
    <n v="49"/>
    <x v="0"/>
    <n v="1"/>
    <s v="No"/>
    <n v="6592.16"/>
    <x v="2"/>
    <x v="1"/>
    <n v="9"/>
    <x v="2"/>
    <x v="5"/>
    <x v="5"/>
    <n v="2021"/>
    <s v="On-Site"/>
    <n v="38"/>
    <x v="28"/>
  </r>
  <r>
    <n v="10824"/>
    <x v="0"/>
    <x v="4"/>
    <x v="3"/>
    <n v="99445"/>
    <d v="2013-09-01T00:00:00"/>
    <n v="25"/>
    <x v="0"/>
    <n v="9"/>
    <s v="Yes"/>
    <n v="1872.02"/>
    <x v="3"/>
    <x v="0"/>
    <n v="38"/>
    <x v="2"/>
    <x v="2"/>
    <x v="10"/>
    <n v="2019"/>
    <s v="Hybrid"/>
    <n v="169"/>
    <x v="17"/>
  </r>
  <r>
    <n v="10825"/>
    <x v="4"/>
    <x v="0"/>
    <x v="3"/>
    <n v="103551"/>
    <d v="2014-12-07T00:00:00"/>
    <n v="45"/>
    <x v="1"/>
    <n v="4"/>
    <s v="Yes"/>
    <n v="6518.15"/>
    <x v="0"/>
    <x v="2"/>
    <n v="7"/>
    <x v="0"/>
    <x v="2"/>
    <x v="9"/>
    <n v="2022"/>
    <s v="Hybrid"/>
    <n v="148"/>
    <x v="26"/>
  </r>
  <r>
    <n v="10826"/>
    <x v="1"/>
    <x v="6"/>
    <x v="5"/>
    <n v="33420"/>
    <d v="2010-01-26T00:00:00"/>
    <n v="29"/>
    <x v="0"/>
    <n v="9"/>
    <s v="No"/>
    <n v="4346.22"/>
    <x v="3"/>
    <x v="3"/>
    <n v="23"/>
    <x v="1"/>
    <x v="5"/>
    <x v="0"/>
    <n v="2013"/>
    <s v="Fully Remote"/>
    <n v="89"/>
    <x v="4"/>
  </r>
  <r>
    <n v="10827"/>
    <x v="3"/>
    <x v="1"/>
    <x v="1"/>
    <n v="89875"/>
    <d v="2011-10-22T00:00:00"/>
    <n v="38"/>
    <x v="1"/>
    <n v="7"/>
    <s v="No"/>
    <n v="4915.07"/>
    <x v="2"/>
    <x v="0"/>
    <n v="25"/>
    <x v="1"/>
    <x v="3"/>
    <x v="17"/>
    <n v="2023"/>
    <s v="Hybrid"/>
    <n v="145"/>
    <x v="34"/>
  </r>
  <r>
    <n v="10828"/>
    <x v="5"/>
    <x v="2"/>
    <x v="2"/>
    <n v="77653"/>
    <d v="2001-09-14T00:00:00"/>
    <n v="55"/>
    <x v="1"/>
    <n v="6"/>
    <s v="No"/>
    <n v="8113.59"/>
    <x v="3"/>
    <x v="2"/>
    <n v="22"/>
    <x v="0"/>
    <x v="1"/>
    <x v="10"/>
    <n v="2019"/>
    <s v="On-Site"/>
    <n v="126"/>
    <x v="2"/>
  </r>
  <r>
    <n v="10829"/>
    <x v="0"/>
    <x v="2"/>
    <x v="3"/>
    <n v="46740"/>
    <d v="2012-03-06T00:00:00"/>
    <n v="41"/>
    <x v="0"/>
    <n v="9"/>
    <s v="No"/>
    <n v="3658.74"/>
    <x v="1"/>
    <x v="1"/>
    <n v="7"/>
    <x v="2"/>
    <x v="5"/>
    <x v="13"/>
    <n v="2022"/>
    <s v="Hybrid"/>
    <n v="124"/>
    <x v="18"/>
  </r>
  <r>
    <n v="10830"/>
    <x v="4"/>
    <x v="6"/>
    <x v="3"/>
    <n v="95263"/>
    <d v="2013-02-08T00:00:00"/>
    <n v="37"/>
    <x v="0"/>
    <n v="4"/>
    <s v="No"/>
    <n v="1896.49"/>
    <x v="1"/>
    <x v="1"/>
    <n v="6"/>
    <x v="1"/>
    <x v="3"/>
    <x v="16"/>
    <n v="2018"/>
    <s v="On-Site"/>
    <n v="86"/>
    <x v="15"/>
  </r>
  <r>
    <n v="10831"/>
    <x v="2"/>
    <x v="4"/>
    <x v="2"/>
    <n v="94559"/>
    <d v="2018-09-01T00:00:00"/>
    <n v="31"/>
    <x v="0"/>
    <n v="1"/>
    <s v="No"/>
    <n v="8797.7999999999993"/>
    <x v="2"/>
    <x v="0"/>
    <n v="36"/>
    <x v="1"/>
    <x v="3"/>
    <x v="3"/>
    <n v="2022"/>
    <s v="Hybrid"/>
    <n v="198"/>
    <x v="14"/>
  </r>
  <r>
    <n v="10832"/>
    <x v="2"/>
    <x v="0"/>
    <x v="5"/>
    <n v="49465"/>
    <d v="2012-12-09T00:00:00"/>
    <n v="55"/>
    <x v="1"/>
    <n v="5"/>
    <s v="No"/>
    <n v="2515.2399999999998"/>
    <x v="2"/>
    <x v="4"/>
    <n v="22"/>
    <x v="1"/>
    <x v="2"/>
    <x v="5"/>
    <n v="2016"/>
    <s v="Fully Remote"/>
    <n v="124"/>
    <x v="2"/>
  </r>
  <r>
    <n v="10833"/>
    <x v="3"/>
    <x v="0"/>
    <x v="0"/>
    <n v="81432"/>
    <d v="2006-06-30T00:00:00"/>
    <n v="64"/>
    <x v="1"/>
    <n v="6"/>
    <s v="Yes"/>
    <n v="3293.28"/>
    <x v="2"/>
    <x v="3"/>
    <n v="35"/>
    <x v="0"/>
    <x v="5"/>
    <x v="4"/>
    <n v="2011"/>
    <s v="Hybrid"/>
    <n v="165"/>
    <x v="9"/>
  </r>
  <r>
    <n v="10834"/>
    <x v="1"/>
    <x v="2"/>
    <x v="4"/>
    <n v="34131"/>
    <d v="2008-01-27T00:00:00"/>
    <n v="31"/>
    <x v="0"/>
    <n v="6"/>
    <s v="No"/>
    <n v="7212.61"/>
    <x v="0"/>
    <x v="2"/>
    <n v="33"/>
    <x v="1"/>
    <x v="5"/>
    <x v="19"/>
    <n v="2015"/>
    <s v="Fully Remote"/>
    <n v="109"/>
    <x v="13"/>
  </r>
  <r>
    <n v="10835"/>
    <x v="7"/>
    <x v="0"/>
    <x v="4"/>
    <n v="40652"/>
    <d v="2009-01-12T00:00:00"/>
    <n v="51"/>
    <x v="1"/>
    <n v="1"/>
    <s v="No"/>
    <n v="6993.73"/>
    <x v="0"/>
    <x v="1"/>
    <n v="21"/>
    <x v="2"/>
    <x v="2"/>
    <x v="6"/>
    <n v="2023"/>
    <s v="Hybrid"/>
    <n v="86"/>
    <x v="23"/>
  </r>
  <r>
    <n v="10836"/>
    <x v="1"/>
    <x v="5"/>
    <x v="0"/>
    <n v="94973"/>
    <d v="2003-03-14T00:00:00"/>
    <n v="51"/>
    <x v="0"/>
    <n v="7"/>
    <s v="No"/>
    <n v="8103.8"/>
    <x v="0"/>
    <x v="3"/>
    <n v="11"/>
    <x v="0"/>
    <x v="4"/>
    <x v="9"/>
    <n v="2013"/>
    <s v="On-Site"/>
    <n v="96"/>
    <x v="22"/>
  </r>
  <r>
    <n v="10837"/>
    <x v="3"/>
    <x v="6"/>
    <x v="5"/>
    <n v="117043"/>
    <d v="2017-08-30T00:00:00"/>
    <n v="46"/>
    <x v="0"/>
    <n v="8"/>
    <s v="Yes"/>
    <n v="2246.73"/>
    <x v="1"/>
    <x v="1"/>
    <n v="13"/>
    <x v="0"/>
    <x v="5"/>
    <x v="1"/>
    <n v="2017"/>
    <s v="Hybrid"/>
    <n v="167"/>
    <x v="40"/>
  </r>
  <r>
    <n v="10838"/>
    <x v="2"/>
    <x v="4"/>
    <x v="4"/>
    <n v="77147"/>
    <d v="2013-01-01T00:00:00"/>
    <n v="64"/>
    <x v="0"/>
    <n v="5"/>
    <s v="Yes"/>
    <n v="3846.66"/>
    <x v="3"/>
    <x v="1"/>
    <n v="3"/>
    <x v="1"/>
    <x v="1"/>
    <x v="19"/>
    <n v="2021"/>
    <s v="Hybrid"/>
    <n v="169"/>
    <x v="37"/>
  </r>
  <r>
    <n v="10839"/>
    <x v="1"/>
    <x v="5"/>
    <x v="2"/>
    <n v="77671"/>
    <d v="2017-08-07T00:00:00"/>
    <n v="62"/>
    <x v="0"/>
    <n v="2"/>
    <s v="No"/>
    <n v="1695.89"/>
    <x v="1"/>
    <x v="1"/>
    <n v="13"/>
    <x v="2"/>
    <x v="1"/>
    <x v="11"/>
    <n v="2017"/>
    <s v="On-Site"/>
    <n v="44"/>
    <x v="11"/>
  </r>
  <r>
    <n v="10840"/>
    <x v="2"/>
    <x v="6"/>
    <x v="0"/>
    <n v="119342"/>
    <d v="2001-01-26T00:00:00"/>
    <n v="28"/>
    <x v="1"/>
    <n v="2"/>
    <s v="No"/>
    <n v="5639.87"/>
    <x v="3"/>
    <x v="3"/>
    <n v="34"/>
    <x v="0"/>
    <x v="0"/>
    <x v="16"/>
    <n v="2010"/>
    <s v="On-Site"/>
    <n v="140"/>
    <x v="17"/>
  </r>
  <r>
    <n v="10841"/>
    <x v="0"/>
    <x v="3"/>
    <x v="1"/>
    <n v="49171"/>
    <d v="2010-06-06T00:00:00"/>
    <n v="41"/>
    <x v="0"/>
    <n v="5"/>
    <s v="No"/>
    <n v="3279.42"/>
    <x v="3"/>
    <x v="0"/>
    <n v="28"/>
    <x v="1"/>
    <x v="0"/>
    <x v="19"/>
    <n v="2017"/>
    <s v="Hybrid"/>
    <n v="58"/>
    <x v="10"/>
  </r>
  <r>
    <n v="10842"/>
    <x v="4"/>
    <x v="1"/>
    <x v="5"/>
    <n v="116129"/>
    <d v="2006-08-04T00:00:00"/>
    <n v="38"/>
    <x v="1"/>
    <n v="7"/>
    <s v="Yes"/>
    <n v="7044.89"/>
    <x v="2"/>
    <x v="3"/>
    <n v="34"/>
    <x v="2"/>
    <x v="5"/>
    <x v="5"/>
    <n v="2019"/>
    <s v="On-Site"/>
    <n v="93"/>
    <x v="3"/>
  </r>
  <r>
    <n v="10843"/>
    <x v="7"/>
    <x v="2"/>
    <x v="0"/>
    <n v="85692"/>
    <d v="2013-04-26T00:00:00"/>
    <n v="24"/>
    <x v="1"/>
    <n v="7"/>
    <s v="No"/>
    <n v="503.27"/>
    <x v="2"/>
    <x v="3"/>
    <n v="32"/>
    <x v="2"/>
    <x v="3"/>
    <x v="3"/>
    <n v="2016"/>
    <s v="On-Site"/>
    <n v="139"/>
    <x v="1"/>
  </r>
  <r>
    <n v="10844"/>
    <x v="0"/>
    <x v="0"/>
    <x v="4"/>
    <n v="88541"/>
    <d v="2013-05-24T00:00:00"/>
    <n v="61"/>
    <x v="1"/>
    <n v="4"/>
    <s v="Yes"/>
    <n v="1066.99"/>
    <x v="0"/>
    <x v="4"/>
    <n v="23"/>
    <x v="0"/>
    <x v="1"/>
    <x v="10"/>
    <n v="2023"/>
    <s v="Hybrid"/>
    <n v="6"/>
    <x v="27"/>
  </r>
  <r>
    <n v="10845"/>
    <x v="2"/>
    <x v="3"/>
    <x v="5"/>
    <n v="39470"/>
    <d v="2013-10-06T00:00:00"/>
    <n v="57"/>
    <x v="1"/>
    <n v="3"/>
    <s v="Yes"/>
    <n v="4609.32"/>
    <x v="2"/>
    <x v="4"/>
    <n v="24"/>
    <x v="1"/>
    <x v="1"/>
    <x v="12"/>
    <n v="2023"/>
    <s v="Fully Remote"/>
    <n v="101"/>
    <x v="31"/>
  </r>
  <r>
    <n v="10846"/>
    <x v="2"/>
    <x v="0"/>
    <x v="2"/>
    <n v="91344"/>
    <d v="2016-08-10T00:00:00"/>
    <n v="47"/>
    <x v="1"/>
    <n v="9"/>
    <s v="No"/>
    <n v="9602.75"/>
    <x v="1"/>
    <x v="0"/>
    <n v="1"/>
    <x v="2"/>
    <x v="2"/>
    <x v="6"/>
    <n v="2010"/>
    <s v="Hybrid"/>
    <n v="60"/>
    <x v="5"/>
  </r>
  <r>
    <n v="10847"/>
    <x v="5"/>
    <x v="5"/>
    <x v="5"/>
    <n v="74308"/>
    <d v="2011-08-31T00:00:00"/>
    <n v="31"/>
    <x v="1"/>
    <n v="7"/>
    <s v="Yes"/>
    <n v="8963.09"/>
    <x v="1"/>
    <x v="4"/>
    <n v="24"/>
    <x v="0"/>
    <x v="1"/>
    <x v="3"/>
    <n v="2012"/>
    <s v="Hybrid"/>
    <n v="108"/>
    <x v="20"/>
  </r>
  <r>
    <n v="10848"/>
    <x v="5"/>
    <x v="4"/>
    <x v="5"/>
    <n v="80639"/>
    <d v="2013-03-21T00:00:00"/>
    <n v="55"/>
    <x v="0"/>
    <n v="2"/>
    <s v="No"/>
    <n v="9943.09"/>
    <x v="1"/>
    <x v="0"/>
    <n v="3"/>
    <x v="0"/>
    <x v="3"/>
    <x v="13"/>
    <n v="2023"/>
    <s v="Fully Remote"/>
    <n v="128"/>
    <x v="33"/>
  </r>
  <r>
    <n v="10849"/>
    <x v="0"/>
    <x v="4"/>
    <x v="2"/>
    <n v="51326"/>
    <d v="2001-08-03T00:00:00"/>
    <n v="35"/>
    <x v="1"/>
    <n v="1"/>
    <s v="Yes"/>
    <n v="4459.8900000000003"/>
    <x v="2"/>
    <x v="1"/>
    <n v="17"/>
    <x v="0"/>
    <x v="0"/>
    <x v="14"/>
    <n v="2014"/>
    <s v="Hybrid"/>
    <n v="189"/>
    <x v="11"/>
  </r>
  <r>
    <n v="10850"/>
    <x v="6"/>
    <x v="4"/>
    <x v="3"/>
    <n v="34597"/>
    <d v="2002-03-31T00:00:00"/>
    <n v="29"/>
    <x v="0"/>
    <n v="2"/>
    <s v="Yes"/>
    <n v="942.4"/>
    <x v="2"/>
    <x v="1"/>
    <n v="7"/>
    <x v="0"/>
    <x v="0"/>
    <x v="11"/>
    <n v="2012"/>
    <s v="Hybrid"/>
    <n v="181"/>
    <x v="12"/>
  </r>
  <r>
    <n v="10851"/>
    <x v="0"/>
    <x v="0"/>
    <x v="2"/>
    <n v="60788"/>
    <d v="2003-06-01T00:00:00"/>
    <n v="48"/>
    <x v="1"/>
    <n v="3"/>
    <s v="Yes"/>
    <n v="3406.58"/>
    <x v="3"/>
    <x v="3"/>
    <n v="10"/>
    <x v="0"/>
    <x v="2"/>
    <x v="17"/>
    <n v="2012"/>
    <s v="On-Site"/>
    <n v="129"/>
    <x v="3"/>
  </r>
  <r>
    <n v="10852"/>
    <x v="5"/>
    <x v="3"/>
    <x v="5"/>
    <n v="95020"/>
    <d v="2000-05-03T00:00:00"/>
    <n v="31"/>
    <x v="0"/>
    <n v="5"/>
    <s v="No"/>
    <n v="6919.82"/>
    <x v="3"/>
    <x v="1"/>
    <n v="19"/>
    <x v="2"/>
    <x v="0"/>
    <x v="7"/>
    <n v="2010"/>
    <s v="Hybrid"/>
    <n v="82"/>
    <x v="7"/>
  </r>
  <r>
    <n v="10853"/>
    <x v="2"/>
    <x v="4"/>
    <x v="2"/>
    <n v="79477"/>
    <d v="2016-08-11T00:00:00"/>
    <n v="36"/>
    <x v="0"/>
    <n v="3"/>
    <s v="Yes"/>
    <n v="1784.06"/>
    <x v="2"/>
    <x v="4"/>
    <n v="24"/>
    <x v="0"/>
    <x v="4"/>
    <x v="0"/>
    <n v="2017"/>
    <s v="Fully Remote"/>
    <n v="12"/>
    <x v="35"/>
  </r>
  <r>
    <n v="10854"/>
    <x v="3"/>
    <x v="3"/>
    <x v="3"/>
    <n v="63071"/>
    <d v="2012-02-26T00:00:00"/>
    <n v="58"/>
    <x v="1"/>
    <n v="9"/>
    <s v="Yes"/>
    <n v="3349.74"/>
    <x v="1"/>
    <x v="2"/>
    <n v="9"/>
    <x v="1"/>
    <x v="0"/>
    <x v="10"/>
    <n v="2018"/>
    <s v="Fully Remote"/>
    <n v="88"/>
    <x v="6"/>
  </r>
  <r>
    <n v="10855"/>
    <x v="0"/>
    <x v="0"/>
    <x v="0"/>
    <n v="100603"/>
    <d v="2005-02-17T00:00:00"/>
    <n v="43"/>
    <x v="0"/>
    <n v="4"/>
    <s v="No"/>
    <n v="1033.58"/>
    <x v="2"/>
    <x v="3"/>
    <n v="15"/>
    <x v="1"/>
    <x v="1"/>
    <x v="3"/>
    <n v="2014"/>
    <s v="On-Site"/>
    <n v="195"/>
    <x v="19"/>
  </r>
  <r>
    <n v="10856"/>
    <x v="2"/>
    <x v="5"/>
    <x v="2"/>
    <n v="91923"/>
    <d v="2001-06-07T00:00:00"/>
    <n v="52"/>
    <x v="0"/>
    <n v="7"/>
    <s v="Yes"/>
    <n v="5012.1899999999996"/>
    <x v="0"/>
    <x v="0"/>
    <n v="22"/>
    <x v="2"/>
    <x v="3"/>
    <x v="14"/>
    <n v="2010"/>
    <s v="Hybrid"/>
    <n v="86"/>
    <x v="26"/>
  </r>
  <r>
    <n v="10857"/>
    <x v="3"/>
    <x v="3"/>
    <x v="2"/>
    <n v="100560"/>
    <d v="2008-07-20T00:00:00"/>
    <n v="23"/>
    <x v="1"/>
    <n v="4"/>
    <s v="Yes"/>
    <n v="2484.75"/>
    <x v="0"/>
    <x v="1"/>
    <n v="17"/>
    <x v="0"/>
    <x v="3"/>
    <x v="15"/>
    <n v="2010"/>
    <s v="Hybrid"/>
    <n v="92"/>
    <x v="12"/>
  </r>
  <r>
    <n v="10858"/>
    <x v="3"/>
    <x v="5"/>
    <x v="5"/>
    <n v="103251"/>
    <d v="2011-07-26T00:00:00"/>
    <n v="52"/>
    <x v="1"/>
    <n v="3"/>
    <s v="No"/>
    <n v="1366.86"/>
    <x v="1"/>
    <x v="3"/>
    <n v="19"/>
    <x v="0"/>
    <x v="4"/>
    <x v="1"/>
    <n v="2018"/>
    <s v="Hybrid"/>
    <n v="178"/>
    <x v="8"/>
  </r>
  <r>
    <n v="10859"/>
    <x v="5"/>
    <x v="0"/>
    <x v="0"/>
    <n v="87492"/>
    <d v="2014-05-21T00:00:00"/>
    <n v="35"/>
    <x v="1"/>
    <n v="1"/>
    <s v="No"/>
    <n v="4406.55"/>
    <x v="0"/>
    <x v="3"/>
    <n v="9"/>
    <x v="2"/>
    <x v="3"/>
    <x v="15"/>
    <n v="2023"/>
    <s v="Hybrid"/>
    <n v="71"/>
    <x v="26"/>
  </r>
  <r>
    <n v="10860"/>
    <x v="0"/>
    <x v="0"/>
    <x v="1"/>
    <n v="61770"/>
    <d v="2018-08-14T00:00:00"/>
    <n v="31"/>
    <x v="1"/>
    <n v="9"/>
    <s v="No"/>
    <n v="3836.64"/>
    <x v="2"/>
    <x v="3"/>
    <n v="38"/>
    <x v="0"/>
    <x v="3"/>
    <x v="11"/>
    <n v="2010"/>
    <s v="Fully Remote"/>
    <n v="121"/>
    <x v="4"/>
  </r>
  <r>
    <n v="10861"/>
    <x v="1"/>
    <x v="2"/>
    <x v="1"/>
    <n v="106762"/>
    <d v="2008-10-03T00:00:00"/>
    <n v="51"/>
    <x v="1"/>
    <n v="1"/>
    <s v="Yes"/>
    <n v="5606.42"/>
    <x v="2"/>
    <x v="1"/>
    <n v="19"/>
    <x v="0"/>
    <x v="3"/>
    <x v="12"/>
    <n v="2018"/>
    <s v="Fully Remote"/>
    <n v="178"/>
    <x v="4"/>
  </r>
  <r>
    <n v="10862"/>
    <x v="7"/>
    <x v="0"/>
    <x v="4"/>
    <n v="65399"/>
    <d v="2007-08-17T00:00:00"/>
    <n v="57"/>
    <x v="1"/>
    <n v="1"/>
    <s v="Yes"/>
    <n v="7615.87"/>
    <x v="3"/>
    <x v="0"/>
    <n v="8"/>
    <x v="1"/>
    <x v="5"/>
    <x v="4"/>
    <n v="2012"/>
    <s v="On-Site"/>
    <n v="82"/>
    <x v="29"/>
  </r>
  <r>
    <n v="10863"/>
    <x v="5"/>
    <x v="0"/>
    <x v="2"/>
    <n v="108948"/>
    <d v="2019-05-23T00:00:00"/>
    <n v="61"/>
    <x v="1"/>
    <n v="1"/>
    <s v="Yes"/>
    <n v="1569.4"/>
    <x v="0"/>
    <x v="3"/>
    <n v="6"/>
    <x v="0"/>
    <x v="4"/>
    <x v="19"/>
    <n v="2012"/>
    <s v="Hybrid"/>
    <n v="71"/>
    <x v="16"/>
  </r>
  <r>
    <n v="10864"/>
    <x v="5"/>
    <x v="6"/>
    <x v="2"/>
    <n v="87439"/>
    <d v="2005-10-19T00:00:00"/>
    <n v="36"/>
    <x v="1"/>
    <n v="5"/>
    <s v="Yes"/>
    <n v="8015.69"/>
    <x v="0"/>
    <x v="3"/>
    <n v="38"/>
    <x v="2"/>
    <x v="4"/>
    <x v="16"/>
    <n v="2022"/>
    <s v="Fully Remote"/>
    <n v="46"/>
    <x v="0"/>
  </r>
  <r>
    <n v="10865"/>
    <x v="1"/>
    <x v="4"/>
    <x v="0"/>
    <n v="74415"/>
    <d v="2017-07-26T00:00:00"/>
    <n v="35"/>
    <x v="0"/>
    <n v="7"/>
    <s v="Yes"/>
    <n v="749.75"/>
    <x v="0"/>
    <x v="3"/>
    <n v="21"/>
    <x v="1"/>
    <x v="0"/>
    <x v="10"/>
    <n v="2013"/>
    <s v="Hybrid"/>
    <n v="68"/>
    <x v="30"/>
  </r>
  <r>
    <n v="10866"/>
    <x v="7"/>
    <x v="2"/>
    <x v="3"/>
    <n v="42569"/>
    <d v="2003-04-25T00:00:00"/>
    <n v="52"/>
    <x v="1"/>
    <n v="7"/>
    <s v="No"/>
    <n v="4709.47"/>
    <x v="0"/>
    <x v="1"/>
    <n v="29"/>
    <x v="2"/>
    <x v="1"/>
    <x v="6"/>
    <n v="2014"/>
    <s v="Fully Remote"/>
    <n v="132"/>
    <x v="24"/>
  </r>
  <r>
    <n v="10867"/>
    <x v="2"/>
    <x v="1"/>
    <x v="1"/>
    <n v="32369"/>
    <d v="2002-10-23T00:00:00"/>
    <n v="50"/>
    <x v="0"/>
    <n v="1"/>
    <s v="Yes"/>
    <n v="6080.59"/>
    <x v="1"/>
    <x v="4"/>
    <n v="34"/>
    <x v="2"/>
    <x v="4"/>
    <x v="13"/>
    <n v="2015"/>
    <s v="Fully Remote"/>
    <n v="77"/>
    <x v="40"/>
  </r>
  <r>
    <n v="10868"/>
    <x v="6"/>
    <x v="2"/>
    <x v="4"/>
    <n v="30528"/>
    <d v="2014-10-18T00:00:00"/>
    <n v="48"/>
    <x v="1"/>
    <n v="6"/>
    <s v="No"/>
    <n v="9591.49"/>
    <x v="1"/>
    <x v="0"/>
    <n v="12"/>
    <x v="0"/>
    <x v="2"/>
    <x v="19"/>
    <n v="2023"/>
    <s v="On-Site"/>
    <n v="185"/>
    <x v="40"/>
  </r>
  <r>
    <n v="10869"/>
    <x v="0"/>
    <x v="2"/>
    <x v="0"/>
    <n v="60314"/>
    <d v="2011-04-10T00:00:00"/>
    <n v="42"/>
    <x v="1"/>
    <n v="9"/>
    <s v="Yes"/>
    <n v="5952.27"/>
    <x v="2"/>
    <x v="3"/>
    <n v="39"/>
    <x v="0"/>
    <x v="4"/>
    <x v="4"/>
    <n v="2015"/>
    <s v="Hybrid"/>
    <n v="94"/>
    <x v="22"/>
  </r>
  <r>
    <n v="10870"/>
    <x v="6"/>
    <x v="1"/>
    <x v="2"/>
    <n v="48047"/>
    <d v="2011-09-01T00:00:00"/>
    <n v="30"/>
    <x v="1"/>
    <n v="6"/>
    <s v="Yes"/>
    <n v="2008.12"/>
    <x v="0"/>
    <x v="3"/>
    <n v="32"/>
    <x v="1"/>
    <x v="2"/>
    <x v="9"/>
    <n v="2019"/>
    <s v="On-Site"/>
    <n v="11"/>
    <x v="33"/>
  </r>
  <r>
    <n v="10871"/>
    <x v="2"/>
    <x v="6"/>
    <x v="1"/>
    <n v="49748"/>
    <d v="2014-11-12T00:00:00"/>
    <n v="41"/>
    <x v="1"/>
    <n v="4"/>
    <s v="No"/>
    <n v="5416.65"/>
    <x v="3"/>
    <x v="3"/>
    <n v="6"/>
    <x v="2"/>
    <x v="3"/>
    <x v="18"/>
    <n v="2022"/>
    <s v="On-Site"/>
    <n v="11"/>
    <x v="20"/>
  </r>
  <r>
    <n v="10872"/>
    <x v="4"/>
    <x v="5"/>
    <x v="4"/>
    <n v="65109"/>
    <d v="2019-03-20T00:00:00"/>
    <n v="56"/>
    <x v="0"/>
    <n v="9"/>
    <s v="Yes"/>
    <n v="4259.95"/>
    <x v="2"/>
    <x v="1"/>
    <n v="17"/>
    <x v="2"/>
    <x v="1"/>
    <x v="4"/>
    <n v="2022"/>
    <s v="On-Site"/>
    <n v="126"/>
    <x v="7"/>
  </r>
  <r>
    <n v="10873"/>
    <x v="5"/>
    <x v="0"/>
    <x v="5"/>
    <n v="43919"/>
    <d v="2015-04-28T00:00:00"/>
    <n v="36"/>
    <x v="0"/>
    <n v="3"/>
    <s v="Yes"/>
    <n v="5053.88"/>
    <x v="2"/>
    <x v="4"/>
    <n v="32"/>
    <x v="0"/>
    <x v="2"/>
    <x v="15"/>
    <n v="2018"/>
    <s v="On-Site"/>
    <n v="168"/>
    <x v="18"/>
  </r>
  <r>
    <n v="10874"/>
    <x v="7"/>
    <x v="4"/>
    <x v="1"/>
    <n v="77498"/>
    <d v="2001-05-12T00:00:00"/>
    <n v="45"/>
    <x v="1"/>
    <n v="4"/>
    <s v="No"/>
    <n v="2372.42"/>
    <x v="1"/>
    <x v="3"/>
    <n v="8"/>
    <x v="2"/>
    <x v="1"/>
    <x v="4"/>
    <n v="2010"/>
    <s v="On-Site"/>
    <n v="120"/>
    <x v="15"/>
  </r>
  <r>
    <n v="10875"/>
    <x v="5"/>
    <x v="3"/>
    <x v="4"/>
    <n v="85808"/>
    <d v="2012-05-26T00:00:00"/>
    <n v="37"/>
    <x v="0"/>
    <n v="4"/>
    <s v="No"/>
    <n v="5257.86"/>
    <x v="2"/>
    <x v="3"/>
    <n v="38"/>
    <x v="2"/>
    <x v="1"/>
    <x v="8"/>
    <n v="2018"/>
    <s v="On-Site"/>
    <n v="17"/>
    <x v="15"/>
  </r>
  <r>
    <n v="10876"/>
    <x v="3"/>
    <x v="1"/>
    <x v="0"/>
    <n v="110792"/>
    <d v="2007-09-06T00:00:00"/>
    <n v="57"/>
    <x v="1"/>
    <n v="4"/>
    <s v="Yes"/>
    <n v="1925.38"/>
    <x v="3"/>
    <x v="1"/>
    <n v="29"/>
    <x v="2"/>
    <x v="5"/>
    <x v="2"/>
    <n v="2013"/>
    <s v="On-Site"/>
    <n v="199"/>
    <x v="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0BFB55-6E12-4B2D-831A-20E74AC7F32C}"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1" firstHeaderRow="1" firstDataRow="2" firstDataCol="1"/>
  <pivotFields count="21">
    <pivotField showAll="0"/>
    <pivotField showAll="0"/>
    <pivotField showAll="0"/>
    <pivotField axis="axisRow" showAll="0">
      <items count="7">
        <item x="5"/>
        <item x="0"/>
        <item x="2"/>
        <item x="1"/>
        <item x="4"/>
        <item x="3"/>
        <item t="default"/>
      </items>
    </pivotField>
    <pivotField dataField="1" showAll="0"/>
    <pivotField numFmtId="164" showAll="0"/>
    <pivotField showAll="0"/>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7">
    <i>
      <x/>
    </i>
    <i>
      <x v="1"/>
    </i>
    <i>
      <x v="2"/>
    </i>
    <i>
      <x v="3"/>
    </i>
    <i>
      <x v="4"/>
    </i>
    <i>
      <x v="5"/>
    </i>
    <i t="grand">
      <x/>
    </i>
  </rowItems>
  <colFields count="1">
    <field x="7"/>
  </colFields>
  <colItems count="3">
    <i>
      <x/>
    </i>
    <i>
      <x v="1"/>
    </i>
    <i t="grand">
      <x/>
    </i>
  </colItems>
  <dataFields count="1">
    <dataField name="Sum of Salary" fld="4" baseField="0" baseItem="0"/>
  </dataFields>
  <formats count="5">
    <format dxfId="10">
      <pivotArea dataOnly="0" outline="0" fieldPosition="0">
        <references count="1">
          <reference field="7" count="1">
            <x v="1"/>
          </reference>
        </references>
      </pivotArea>
    </format>
    <format dxfId="9">
      <pivotArea grandCol="1" outline="0" collapsedLevelsAreSubtotals="1" fieldPosition="0"/>
    </format>
    <format dxfId="8">
      <pivotArea outline="0" collapsedLevelsAreSubtotals="1" fieldPosition="0">
        <references count="1">
          <reference field="7" count="1" selected="0">
            <x v="0"/>
          </reference>
        </references>
      </pivotArea>
    </format>
    <format dxfId="7">
      <pivotArea field="7" type="button" dataOnly="0" labelOnly="1" outline="0" axis="axisCol" fieldPosition="0"/>
    </format>
    <format dxfId="6">
      <pivotArea dataOnly="0" labelOnly="1" fieldPosition="0">
        <references count="1">
          <reference field="7"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F9BE38-EB97-463B-A732-AB696651DFFF}"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1" firstHeaderRow="1" firstDataRow="2" firstDataCol="1" rowPageCount="1" colPageCount="1"/>
  <pivotFields count="21">
    <pivotField showAll="0"/>
    <pivotField showAll="0"/>
    <pivotField showAll="0"/>
    <pivotField axis="axisRow" showAll="0">
      <items count="7">
        <item x="5"/>
        <item x="0"/>
        <item x="2"/>
        <item x="1"/>
        <item x="4"/>
        <item x="3"/>
        <item t="default"/>
      </items>
    </pivotField>
    <pivotField dataField="1" showAll="0"/>
    <pivotField numFmtId="164" showAll="0"/>
    <pivotField showAll="0"/>
    <pivotField axis="axisCol" showAll="0">
      <items count="3">
        <item x="0"/>
        <item x="1"/>
        <item t="default"/>
      </items>
    </pivotField>
    <pivotField showAll="0"/>
    <pivotField showAll="0"/>
    <pivotField showAll="0"/>
    <pivotField axis="axisPage" showAll="0">
      <items count="5">
        <item x="3"/>
        <item x="1"/>
        <item x="2"/>
        <item x="0"/>
        <item t="default"/>
      </items>
    </pivotField>
    <pivotField showAll="0">
      <items count="6">
        <item x="3"/>
        <item x="4"/>
        <item x="2"/>
        <item x="1"/>
        <item x="0"/>
        <item t="default"/>
      </items>
    </pivotField>
    <pivotField showAll="0"/>
    <pivotField showAll="0"/>
    <pivotField showAll="0"/>
    <pivotField showAll="0"/>
    <pivotField showAll="0"/>
    <pivotField showAll="0"/>
    <pivotField showAll="0"/>
    <pivotField showAll="0"/>
  </pivotFields>
  <rowFields count="1">
    <field x="3"/>
  </rowFields>
  <rowItems count="7">
    <i>
      <x/>
    </i>
    <i>
      <x v="1"/>
    </i>
    <i>
      <x v="2"/>
    </i>
    <i>
      <x v="3"/>
    </i>
    <i>
      <x v="4"/>
    </i>
    <i>
      <x v="5"/>
    </i>
    <i t="grand">
      <x/>
    </i>
  </rowItems>
  <colFields count="1">
    <field x="7"/>
  </colFields>
  <colItems count="3">
    <i>
      <x/>
    </i>
    <i>
      <x v="1"/>
    </i>
    <i t="grand">
      <x/>
    </i>
  </colItems>
  <pageFields count="1">
    <pageField fld="11" hier="-1"/>
  </pageFields>
  <dataFields count="1">
    <dataField name="Sum of Salar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A654F4-3E1D-4CCA-B498-E44EC1E6F70D}"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1">
    <pivotField showAll="0"/>
    <pivotField showAll="0">
      <items count="9">
        <item x="3"/>
        <item x="2"/>
        <item x="1"/>
        <item x="5"/>
        <item x="7"/>
        <item x="6"/>
        <item x="0"/>
        <item x="4"/>
        <item t="default"/>
      </items>
    </pivotField>
    <pivotField showAll="0">
      <items count="8">
        <item x="2"/>
        <item x="3"/>
        <item x="6"/>
        <item x="5"/>
        <item x="4"/>
        <item x="0"/>
        <item x="1"/>
        <item t="default"/>
      </items>
    </pivotField>
    <pivotField showAll="0">
      <items count="7">
        <item x="5"/>
        <item x="0"/>
        <item x="2"/>
        <item x="1"/>
        <item x="4"/>
        <item x="3"/>
        <item t="default"/>
      </items>
    </pivotField>
    <pivotField showAll="0"/>
    <pivotField numFmtId="164" showAll="0"/>
    <pivotField showAll="0"/>
    <pivotField showAll="0"/>
    <pivotField showAll="0"/>
    <pivotField showAll="0"/>
    <pivotField showAll="0"/>
    <pivotField showAll="0"/>
    <pivotField showAll="0"/>
    <pivotField dataField="1" showAll="0"/>
    <pivotField axis="axisRow" showAll="0">
      <items count="4">
        <item x="2"/>
        <item x="0"/>
        <item x="1"/>
        <item t="default"/>
      </items>
    </pivotField>
    <pivotField showAll="0"/>
    <pivotField showAll="0">
      <items count="21">
        <item x="19"/>
        <item x="6"/>
        <item x="17"/>
        <item x="13"/>
        <item x="0"/>
        <item x="18"/>
        <item x="14"/>
        <item x="16"/>
        <item x="11"/>
        <item x="5"/>
        <item x="9"/>
        <item x="2"/>
        <item x="8"/>
        <item x="15"/>
        <item x="1"/>
        <item x="12"/>
        <item x="3"/>
        <item x="10"/>
        <item x="4"/>
        <item x="7"/>
        <item t="default"/>
      </items>
    </pivotField>
    <pivotField showAll="0"/>
    <pivotField showAll="0"/>
    <pivotField showAll="0"/>
    <pivotField showAll="0">
      <items count="42">
        <item x="36"/>
        <item x="37"/>
        <item x="1"/>
        <item x="21"/>
        <item x="38"/>
        <item x="16"/>
        <item x="25"/>
        <item x="10"/>
        <item x="18"/>
        <item x="3"/>
        <item x="17"/>
        <item x="34"/>
        <item x="0"/>
        <item x="23"/>
        <item x="28"/>
        <item x="4"/>
        <item x="39"/>
        <item x="24"/>
        <item x="7"/>
        <item x="32"/>
        <item x="22"/>
        <item x="5"/>
        <item x="33"/>
        <item x="8"/>
        <item x="30"/>
        <item x="35"/>
        <item x="14"/>
        <item x="19"/>
        <item x="13"/>
        <item x="20"/>
        <item x="15"/>
        <item x="29"/>
        <item x="11"/>
        <item x="9"/>
        <item x="12"/>
        <item x="31"/>
        <item x="26"/>
        <item x="2"/>
        <item x="40"/>
        <item x="6"/>
        <item x="27"/>
        <item t="default"/>
      </items>
    </pivotField>
  </pivotFields>
  <rowFields count="1">
    <field x="14"/>
  </rowFields>
  <rowItems count="4">
    <i>
      <x/>
    </i>
    <i>
      <x v="1"/>
    </i>
    <i>
      <x v="2"/>
    </i>
    <i t="grand">
      <x/>
    </i>
  </rowItems>
  <colItems count="1">
    <i/>
  </colItems>
  <dataFields count="1">
    <dataField name="Sum of Work Experience (Year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02027A-2C1D-4B7B-81D2-53D3AD95DEF0}"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21">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axis="axisRow" showAll="0">
      <items count="7">
        <item x="2"/>
        <item x="4"/>
        <item x="1"/>
        <item x="5"/>
        <item x="0"/>
        <item x="3"/>
        <item t="default"/>
      </items>
    </pivotField>
    <pivotField dataField="1" showAll="0"/>
    <pivotField showAll="0"/>
    <pivotField showAll="0"/>
    <pivotField showAll="0"/>
    <pivotField showAll="0"/>
  </pivotFields>
  <rowFields count="1">
    <field x="15"/>
  </rowFields>
  <rowItems count="7">
    <i>
      <x/>
    </i>
    <i>
      <x v="1"/>
    </i>
    <i>
      <x v="2"/>
    </i>
    <i>
      <x v="3"/>
    </i>
    <i>
      <x v="4"/>
    </i>
    <i>
      <x v="5"/>
    </i>
    <i t="grand">
      <x/>
    </i>
  </rowItems>
  <colItems count="1">
    <i/>
  </colItems>
  <dataFields count="1">
    <dataField name="Sum of Project Count" fld="16" baseField="1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73D50F-19ED-48E6-BA57-D203AC127234}"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1">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 showAll="0"/>
    <pivotField showAll="0"/>
    <pivotField dataField="1" showAll="0"/>
  </pivotFields>
  <rowFields count="1">
    <field x="14"/>
  </rowFields>
  <rowItems count="4">
    <i>
      <x/>
    </i>
    <i>
      <x v="1"/>
    </i>
    <i>
      <x v="2"/>
    </i>
    <i t="grand">
      <x/>
    </i>
  </rowItems>
  <colItems count="1">
    <i/>
  </colItems>
  <dataFields count="1">
    <dataField name="Average of Manager Feedback Score" fld="20" subtotal="average" baseField="1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B66A01-C824-4A6E-A170-90D1573289CB}"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0" firstHeaderRow="0" firstDataRow="1" firstDataCol="1"/>
  <pivotFields count="21">
    <pivotField dataField="1" showAll="0"/>
    <pivotField showAll="0"/>
    <pivotField showAll="0"/>
    <pivotField axis="axisRow" showAll="0">
      <items count="7">
        <item x="5"/>
        <item x="0"/>
        <item x="2"/>
        <item x="1"/>
        <item x="4"/>
        <item x="3"/>
        <item t="default"/>
      </items>
    </pivotField>
    <pivotField dataField="1" showAll="0"/>
    <pivotField numFmtId="164"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7">
    <i>
      <x/>
    </i>
    <i>
      <x v="1"/>
    </i>
    <i>
      <x v="2"/>
    </i>
    <i>
      <x v="3"/>
    </i>
    <i>
      <x v="4"/>
    </i>
    <i>
      <x v="5"/>
    </i>
    <i t="grand">
      <x/>
    </i>
  </rowItems>
  <colFields count="1">
    <field x="-2"/>
  </colFields>
  <colItems count="3">
    <i>
      <x/>
    </i>
    <i i="1">
      <x v="1"/>
    </i>
    <i i="2">
      <x v="2"/>
    </i>
  </colItems>
  <dataFields count="3">
    <dataField name="Sum of Employee ID" fld="0" baseField="3" baseItem="0"/>
    <dataField name="Average of Salary" fld="4" subtotal="average" baseField="3" baseItem="0"/>
    <dataField name="Average of Performance Score" fld="8" subtotal="average"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A9ED522-D354-40B5-921B-A96239BD489B}" sourceName="Department">
  <pivotTables>
    <pivotTable tabId="3" name="PivotTable1"/>
  </pivotTables>
  <data>
    <tabular pivotCacheId="2030503946">
      <items count="6">
        <i x="5" s="1"/>
        <i x="0" s="1"/>
        <i x="2" s="1"/>
        <i x="1"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1C0C05E-AC43-4341-AC58-750D2BEBB539}" sourceName="Gender">
  <pivotTables>
    <pivotTable tabId="3" name="PivotTable1"/>
  </pivotTables>
  <data>
    <tabular pivotCacheId="2030503946">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E9657D9-2816-4D77-83C7-E63A6B63AB05}" sourceName="Marital Status">
  <pivotTables>
    <pivotTable tabId="3" name="PivotTable1"/>
  </pivotTables>
  <data>
    <tabular pivotCacheId="2030503946">
      <items count="4">
        <i x="3" s="1"/>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Level" xr10:uid="{404147B9-FD46-4899-BBF5-AC6213854CAA}" sourceName="Education Level">
  <pivotTables>
    <pivotTable tabId="3" name="PivotTable1"/>
  </pivotTables>
  <data>
    <tabular pivotCacheId="2030503946">
      <items count="5">
        <i x="3" s="1"/>
        <i x="4"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68263C7-6435-47FF-B84E-0944F75EEAB4}" cache="Slicer_Department" caption="Department" rowHeight="241300"/>
  <slicer name="Gender" xr10:uid="{84E0C9F9-6F89-4DC1-8A2B-63C598F89DB2}" cache="Slicer_Gender" caption="Gender" rowHeight="241300"/>
  <slicer name="Marital Status" xr10:uid="{E77C7009-82AD-45E4-877A-4F2881388D08}" cache="Slicer_Marital_Status" caption="Marital Status" rowHeight="241300"/>
  <slicer name="Education Level" xr10:uid="{F4281CF4-E957-4E5F-8C33-196C0876E63B}" cache="Slicer_Education_Level" caption="Education Level"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F129AB-A086-4098-AF0E-26EB3E384BCC}" name="Table1" displayName="Table1" ref="A1:W877" totalsRowShown="0" headerRowDxfId="5" headerRowBorderDxfId="4" tableBorderDxfId="3">
  <tableColumns count="23">
    <tableColumn id="1" xr3:uid="{FB9DE3FF-00F9-4D37-AD1E-C8B1EDF5B657}" name="Employee ID"/>
    <tableColumn id="2" xr3:uid="{25CCB906-3809-4E72-9256-143FBDE868F5}" name="First Name"/>
    <tableColumn id="3" xr3:uid="{E3EBEF57-A539-46C8-8859-F936E9C0DB33}" name="Last Name"/>
    <tableColumn id="4" xr3:uid="{97B3AF68-9189-4D01-8D3B-79745BAE04BD}" name="Department"/>
    <tableColumn id="5" xr3:uid="{E66D0843-CFA3-4F74-9FB4-A09930865098}" name="Salary"/>
    <tableColumn id="22" xr3:uid="{0DD5314C-6D3A-4A62-843C-69A5D4D24C62}" name="DATEIF" dataDxfId="1">
      <calculatedColumnFormula>DATEDIF(Table1[[#This Row],[Hire Date]], TODAY(), "Y")</calculatedColumnFormula>
    </tableColumn>
    <tableColumn id="23" xr3:uid="{78BB1506-9226-49EE-AEC7-DFBD36AF6C94}" name="Fractional years of services" dataDxfId="0">
      <calculatedColumnFormula>YEARFRAC(Table1[[#This Row],[Hire Date]], TODAY())</calculatedColumnFormula>
    </tableColumn>
    <tableColumn id="6" xr3:uid="{34C87A63-AFD6-46C9-9747-420B893E51BD}" name="Hire Date" dataDxfId="2"/>
    <tableColumn id="7" xr3:uid="{F5EC5AF9-034D-48CF-922E-A9A66A8092B2}" name="Age"/>
    <tableColumn id="8" xr3:uid="{6515A1B8-C6F2-4CEA-994A-51B8643D7333}" name="Gender"/>
    <tableColumn id="9" xr3:uid="{CA0D8CCC-6C31-40BD-BE7D-26BA4AFE31DB}" name="Performance Score"/>
    <tableColumn id="10" xr3:uid="{FCFAD659-98F2-4B2F-A3CF-0F46411B40B0}" name="Full-Time"/>
    <tableColumn id="11" xr3:uid="{90B929E2-EE2D-4910-ADAE-4E2FCBEA4F44}" name="Bonus"/>
    <tableColumn id="12" xr3:uid="{49090B21-E2FE-44EF-BB61-D8F59A852DF6}" name="Marital Status"/>
    <tableColumn id="13" xr3:uid="{09FDDEA2-9C3B-45BA-87C0-BAD91F8E856F}" name="Education Level"/>
    <tableColumn id="14" xr3:uid="{8A8EBFED-C447-40DA-AC9D-8C26D7AEE813}" name="Work Experience (Years)"/>
    <tableColumn id="15" xr3:uid="{350E1FDD-E8BC-452D-B24E-7FD7FAE7117D}" name="Employee Type"/>
    <tableColumn id="16" xr3:uid="{7DD1F550-F3CD-4FE3-8574-A7360638D50B}" name="Office Location"/>
    <tableColumn id="17" xr3:uid="{FC71615E-1182-48C0-AC18-9DB4833D6B44}" name="Project Count"/>
    <tableColumn id="18" xr3:uid="{77746D35-401D-45D5-B8CE-52075702DB66}" name="Last Promotion Year"/>
    <tableColumn id="19" xr3:uid="{6994CDC1-03E1-4916-8E57-42E64D1B26FE}" name="Remote Work Status"/>
    <tableColumn id="20" xr3:uid="{8004FE8F-E9DE-4728-859E-01D4184E1A5D}" name="Annual Training Hours"/>
    <tableColumn id="21" xr3:uid="{4E853E4A-B9F4-43A5-B311-DA6E10B7DC6B}" name="Manager Feedback Score"/>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4B3B-BEE6-4BBD-B5CE-7A71A7881EBD}">
  <sheetPr>
    <tabColor rgb="FF00B050"/>
  </sheetPr>
  <dimension ref="A3:D11"/>
  <sheetViews>
    <sheetView workbookViewId="0">
      <selection activeCell="F4" sqref="F4"/>
    </sheetView>
  </sheetViews>
  <sheetFormatPr defaultRowHeight="14.5" x14ac:dyDescent="0.35"/>
  <cols>
    <col min="1" max="1" width="12.36328125" bestFit="1" customWidth="1"/>
    <col min="2" max="2" width="16" style="4" bestFit="1" customWidth="1"/>
    <col min="3" max="3" width="16" bestFit="1" customWidth="1"/>
    <col min="4" max="4" width="16" style="4" bestFit="1" customWidth="1"/>
  </cols>
  <sheetData>
    <row r="3" spans="1:4" x14ac:dyDescent="0.35">
      <c r="A3" s="2" t="s">
        <v>69</v>
      </c>
      <c r="B3" s="5" t="s">
        <v>70</v>
      </c>
      <c r="D3"/>
    </row>
    <row r="4" spans="1:4" x14ac:dyDescent="0.35">
      <c r="A4" s="2" t="s">
        <v>67</v>
      </c>
      <c r="B4" s="4" t="s">
        <v>42</v>
      </c>
      <c r="C4" s="4" t="s">
        <v>43</v>
      </c>
      <c r="D4" t="s">
        <v>68</v>
      </c>
    </row>
    <row r="5" spans="1:4" x14ac:dyDescent="0.35">
      <c r="A5" s="3" t="s">
        <v>41</v>
      </c>
      <c r="B5" s="4">
        <v>6148234</v>
      </c>
      <c r="C5" s="4">
        <v>6644509</v>
      </c>
      <c r="D5" s="4">
        <v>12792743</v>
      </c>
    </row>
    <row r="6" spans="1:4" x14ac:dyDescent="0.35">
      <c r="A6" s="3" t="s">
        <v>36</v>
      </c>
      <c r="B6" s="4">
        <v>5482117</v>
      </c>
      <c r="C6" s="4">
        <v>4899096</v>
      </c>
      <c r="D6" s="4">
        <v>10381213</v>
      </c>
    </row>
    <row r="7" spans="1:4" x14ac:dyDescent="0.35">
      <c r="A7" s="3" t="s">
        <v>38</v>
      </c>
      <c r="B7" s="4">
        <v>5057077</v>
      </c>
      <c r="C7" s="4">
        <v>6023859</v>
      </c>
      <c r="D7" s="4">
        <v>11080936</v>
      </c>
    </row>
    <row r="8" spans="1:4" x14ac:dyDescent="0.35">
      <c r="A8" s="3" t="s">
        <v>37</v>
      </c>
      <c r="B8" s="4">
        <v>4418633</v>
      </c>
      <c r="C8" s="4">
        <v>5309673</v>
      </c>
      <c r="D8" s="4">
        <v>9728306</v>
      </c>
    </row>
    <row r="9" spans="1:4" x14ac:dyDescent="0.35">
      <c r="A9" s="3" t="s">
        <v>40</v>
      </c>
      <c r="B9" s="4">
        <v>5621659</v>
      </c>
      <c r="C9" s="4">
        <v>4805999</v>
      </c>
      <c r="D9" s="4">
        <v>10427658</v>
      </c>
    </row>
    <row r="10" spans="1:4" x14ac:dyDescent="0.35">
      <c r="A10" s="3" t="s">
        <v>39</v>
      </c>
      <c r="B10" s="4">
        <v>6279240</v>
      </c>
      <c r="C10" s="4">
        <v>4192187</v>
      </c>
      <c r="D10" s="4">
        <v>10471427</v>
      </c>
    </row>
    <row r="11" spans="1:4" x14ac:dyDescent="0.35">
      <c r="A11" s="3" t="s">
        <v>68</v>
      </c>
      <c r="B11" s="4">
        <v>33006960</v>
      </c>
      <c r="C11" s="4">
        <v>31875323</v>
      </c>
      <c r="D11" s="4">
        <v>64882283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AB033-D628-449D-AD7F-B71736938258}">
  <sheetPr>
    <tabColor theme="9" tint="-0.249977111117893"/>
  </sheetPr>
  <dimension ref="A1:D11"/>
  <sheetViews>
    <sheetView zoomScale="56" workbookViewId="0">
      <selection activeCell="B7" sqref="B7"/>
    </sheetView>
  </sheetViews>
  <sheetFormatPr defaultRowHeight="14.5" x14ac:dyDescent="0.35"/>
  <cols>
    <col min="1" max="1" width="12.36328125" bestFit="1" customWidth="1"/>
    <col min="2" max="2" width="15.26953125" bestFit="1" customWidth="1"/>
    <col min="3" max="3" width="8.81640625" bestFit="1" customWidth="1"/>
    <col min="4" max="4" width="10.7265625" bestFit="1" customWidth="1"/>
  </cols>
  <sheetData>
    <row r="1" spans="1:4" x14ac:dyDescent="0.35">
      <c r="A1" s="2" t="s">
        <v>11</v>
      </c>
      <c r="B1" t="s">
        <v>73</v>
      </c>
    </row>
    <row r="3" spans="1:4" x14ac:dyDescent="0.35">
      <c r="A3" s="2" t="s">
        <v>69</v>
      </c>
      <c r="B3" s="2" t="s">
        <v>70</v>
      </c>
    </row>
    <row r="4" spans="1:4" x14ac:dyDescent="0.35">
      <c r="A4" s="2" t="s">
        <v>67</v>
      </c>
      <c r="B4" t="s">
        <v>42</v>
      </c>
      <c r="C4" t="s">
        <v>43</v>
      </c>
      <c r="D4" t="s">
        <v>68</v>
      </c>
    </row>
    <row r="5" spans="1:4" x14ac:dyDescent="0.35">
      <c r="A5" s="3" t="s">
        <v>41</v>
      </c>
      <c r="B5" s="8">
        <v>6148234</v>
      </c>
      <c r="C5" s="8">
        <v>6644509</v>
      </c>
      <c r="D5" s="8">
        <v>12792743</v>
      </c>
    </row>
    <row r="6" spans="1:4" x14ac:dyDescent="0.35">
      <c r="A6" s="3" t="s">
        <v>36</v>
      </c>
      <c r="B6" s="8">
        <v>5482117</v>
      </c>
      <c r="C6" s="8">
        <v>4899096</v>
      </c>
      <c r="D6" s="8">
        <v>10381213</v>
      </c>
    </row>
    <row r="7" spans="1:4" x14ac:dyDescent="0.35">
      <c r="A7" s="3" t="s">
        <v>38</v>
      </c>
      <c r="B7" s="8">
        <v>5057077</v>
      </c>
      <c r="C7" s="8">
        <v>6023859</v>
      </c>
      <c r="D7" s="8">
        <v>11080936</v>
      </c>
    </row>
    <row r="8" spans="1:4" x14ac:dyDescent="0.35">
      <c r="A8" s="3" t="s">
        <v>37</v>
      </c>
      <c r="B8" s="8">
        <v>4418633</v>
      </c>
      <c r="C8" s="8">
        <v>5309673</v>
      </c>
      <c r="D8" s="8">
        <v>9728306</v>
      </c>
    </row>
    <row r="9" spans="1:4" x14ac:dyDescent="0.35">
      <c r="A9" s="3" t="s">
        <v>40</v>
      </c>
      <c r="B9" s="8">
        <v>5621659</v>
      </c>
      <c r="C9" s="8">
        <v>4805999</v>
      </c>
      <c r="D9" s="8">
        <v>10427658</v>
      </c>
    </row>
    <row r="10" spans="1:4" x14ac:dyDescent="0.35">
      <c r="A10" s="3" t="s">
        <v>39</v>
      </c>
      <c r="B10" s="8">
        <v>6279240</v>
      </c>
      <c r="C10" s="8">
        <v>4192187</v>
      </c>
      <c r="D10" s="8">
        <v>10471427</v>
      </c>
    </row>
    <row r="11" spans="1:4" x14ac:dyDescent="0.35">
      <c r="A11" s="3" t="s">
        <v>68</v>
      </c>
      <c r="B11" s="8">
        <v>33006960</v>
      </c>
      <c r="C11" s="8">
        <v>31875323</v>
      </c>
      <c r="D11" s="8">
        <v>64882283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54506-0FD5-4039-8FBA-4856A5BAE5A9}">
  <sheetPr>
    <tabColor theme="4"/>
  </sheetPr>
  <dimension ref="A3:B7"/>
  <sheetViews>
    <sheetView workbookViewId="0">
      <selection activeCell="L19" sqref="L19"/>
    </sheetView>
  </sheetViews>
  <sheetFormatPr defaultRowHeight="14.5" x14ac:dyDescent="0.35"/>
  <cols>
    <col min="1" max="1" width="12.36328125" bestFit="1" customWidth="1"/>
    <col min="2" max="2" width="27.90625" bestFit="1" customWidth="1"/>
    <col min="3" max="11" width="1.81640625" bestFit="1" customWidth="1"/>
    <col min="12" max="21" width="2.81640625" bestFit="1" customWidth="1"/>
    <col min="22" max="22" width="10.7265625" bestFit="1" customWidth="1"/>
    <col min="23" max="28" width="5.81640625" bestFit="1" customWidth="1"/>
    <col min="29" max="29" width="6.81640625" bestFit="1" customWidth="1"/>
    <col min="30" max="59" width="5.81640625" bestFit="1" customWidth="1"/>
    <col min="60" max="60" width="6.81640625" bestFit="1" customWidth="1"/>
    <col min="61" max="81" width="5.81640625" bestFit="1" customWidth="1"/>
    <col min="82" max="82" width="6.81640625" bestFit="1" customWidth="1"/>
    <col min="83" max="113" width="5.81640625" bestFit="1" customWidth="1"/>
    <col min="114" max="114" width="6.81640625" bestFit="1" customWidth="1"/>
    <col min="115" max="143" width="5.81640625" bestFit="1" customWidth="1"/>
    <col min="144" max="144" width="6.81640625" bestFit="1" customWidth="1"/>
    <col min="145" max="166" width="5.81640625" bestFit="1" customWidth="1"/>
    <col min="167" max="167" width="6.81640625" bestFit="1" customWidth="1"/>
    <col min="168" max="196" width="5.81640625" bestFit="1" customWidth="1"/>
    <col min="197" max="197" width="6.81640625" bestFit="1" customWidth="1"/>
    <col min="198" max="226" width="5.81640625" bestFit="1" customWidth="1"/>
    <col min="227" max="227" width="6.81640625" bestFit="1" customWidth="1"/>
    <col min="228" max="252" width="5.81640625" bestFit="1" customWidth="1"/>
    <col min="253" max="253" width="6.81640625" bestFit="1" customWidth="1"/>
    <col min="254" max="275" width="5.81640625" bestFit="1" customWidth="1"/>
    <col min="276" max="276" width="6.81640625" bestFit="1" customWidth="1"/>
    <col min="277" max="302" width="5.81640625" bestFit="1" customWidth="1"/>
    <col min="303" max="303" width="7.54296875" bestFit="1" customWidth="1"/>
    <col min="304" max="330" width="5.81640625" bestFit="1" customWidth="1"/>
    <col min="331" max="331" width="7.54296875" bestFit="1" customWidth="1"/>
    <col min="332" max="353" width="5.81640625" bestFit="1" customWidth="1"/>
    <col min="354" max="354" width="7.54296875" bestFit="1" customWidth="1"/>
    <col min="355" max="379" width="5.81640625" bestFit="1" customWidth="1"/>
    <col min="380" max="380" width="7.54296875" bestFit="1" customWidth="1"/>
    <col min="381" max="408" width="5.81640625" bestFit="1" customWidth="1"/>
    <col min="409" max="409" width="7.54296875" bestFit="1" customWidth="1"/>
    <col min="410" max="433" width="5.81640625" bestFit="1" customWidth="1"/>
    <col min="434" max="434" width="7.54296875" bestFit="1" customWidth="1"/>
    <col min="435" max="461" width="5.81640625" bestFit="1" customWidth="1"/>
    <col min="462" max="462" width="7.54296875" bestFit="1" customWidth="1"/>
    <col min="463" max="491" width="5.81640625" bestFit="1" customWidth="1"/>
    <col min="492" max="492" width="7.54296875" bestFit="1" customWidth="1"/>
    <col min="493" max="519" width="5.81640625" bestFit="1" customWidth="1"/>
    <col min="520" max="520" width="7.54296875" bestFit="1" customWidth="1"/>
    <col min="521" max="551" width="5.81640625" bestFit="1" customWidth="1"/>
    <col min="552" max="552" width="7.54296875" bestFit="1" customWidth="1"/>
    <col min="553" max="553" width="10.7265625" bestFit="1" customWidth="1"/>
  </cols>
  <sheetData>
    <row r="3" spans="1:2" x14ac:dyDescent="0.35">
      <c r="A3" s="2" t="s">
        <v>67</v>
      </c>
      <c r="B3" t="s">
        <v>75</v>
      </c>
    </row>
    <row r="4" spans="1:2" x14ac:dyDescent="0.35">
      <c r="A4" s="3" t="s">
        <v>57</v>
      </c>
      <c r="B4" s="8">
        <v>6017</v>
      </c>
    </row>
    <row r="5" spans="1:2" x14ac:dyDescent="0.35">
      <c r="A5" s="3" t="s">
        <v>55</v>
      </c>
      <c r="B5" s="8">
        <v>6095</v>
      </c>
    </row>
    <row r="6" spans="1:2" x14ac:dyDescent="0.35">
      <c r="A6" s="3" t="s">
        <v>56</v>
      </c>
      <c r="B6" s="8">
        <v>5668</v>
      </c>
    </row>
    <row r="7" spans="1:2" x14ac:dyDescent="0.35">
      <c r="A7" s="3" t="s">
        <v>68</v>
      </c>
      <c r="B7" s="8">
        <v>17780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9A03A-F49C-4483-A4DE-5E027FD324D9}">
  <sheetPr>
    <tabColor rgb="FF002060"/>
  </sheetPr>
  <dimension ref="A3:B10"/>
  <sheetViews>
    <sheetView workbookViewId="0">
      <selection activeCell="E14" sqref="E14"/>
    </sheetView>
  </sheetViews>
  <sheetFormatPr defaultRowHeight="14.5" x14ac:dyDescent="0.35"/>
  <cols>
    <col min="1" max="1" width="12.36328125" bestFit="1" customWidth="1"/>
    <col min="2" max="2" width="18.81640625" bestFit="1" customWidth="1"/>
  </cols>
  <sheetData>
    <row r="3" spans="1:2" x14ac:dyDescent="0.35">
      <c r="A3" s="2" t="s">
        <v>67</v>
      </c>
      <c r="B3" t="s">
        <v>76</v>
      </c>
    </row>
    <row r="4" spans="1:2" x14ac:dyDescent="0.35">
      <c r="A4" s="3" t="s">
        <v>60</v>
      </c>
      <c r="B4" s="8">
        <v>1268</v>
      </c>
    </row>
    <row r="5" spans="1:2" x14ac:dyDescent="0.35">
      <c r="A5" s="3" t="s">
        <v>62</v>
      </c>
      <c r="B5" s="8">
        <v>1295</v>
      </c>
    </row>
    <row r="6" spans="1:2" x14ac:dyDescent="0.35">
      <c r="A6" s="3" t="s">
        <v>59</v>
      </c>
      <c r="B6" s="8">
        <v>1348</v>
      </c>
    </row>
    <row r="7" spans="1:2" x14ac:dyDescent="0.35">
      <c r="A7" s="3" t="s">
        <v>63</v>
      </c>
      <c r="B7" s="8">
        <v>1399</v>
      </c>
    </row>
    <row r="8" spans="1:2" x14ac:dyDescent="0.35">
      <c r="A8" s="3" t="s">
        <v>58</v>
      </c>
      <c r="B8" s="8">
        <v>1469</v>
      </c>
    </row>
    <row r="9" spans="1:2" x14ac:dyDescent="0.35">
      <c r="A9" s="3" t="s">
        <v>61</v>
      </c>
      <c r="B9" s="8">
        <v>1531</v>
      </c>
    </row>
    <row r="10" spans="1:2" x14ac:dyDescent="0.35">
      <c r="A10" s="3" t="s">
        <v>68</v>
      </c>
      <c r="B10" s="8">
        <v>8310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2DAB7-B309-4729-A7F3-54C64DF1F55C}">
  <sheetPr>
    <tabColor theme="5" tint="-0.499984740745262"/>
  </sheetPr>
  <dimension ref="A3:B7"/>
  <sheetViews>
    <sheetView workbookViewId="0">
      <selection activeCell="A3" sqref="A3"/>
    </sheetView>
  </sheetViews>
  <sheetFormatPr defaultRowHeight="14.5" x14ac:dyDescent="0.35"/>
  <cols>
    <col min="1" max="1" width="12.36328125" bestFit="1" customWidth="1"/>
    <col min="2" max="2" width="31.453125" bestFit="1" customWidth="1"/>
  </cols>
  <sheetData>
    <row r="3" spans="1:2" x14ac:dyDescent="0.35">
      <c r="A3" s="2" t="s">
        <v>67</v>
      </c>
      <c r="B3" t="s">
        <v>77</v>
      </c>
    </row>
    <row r="4" spans="1:2" x14ac:dyDescent="0.35">
      <c r="A4" s="3" t="s">
        <v>57</v>
      </c>
      <c r="B4" s="8">
        <v>3.020748299319727</v>
      </c>
    </row>
    <row r="5" spans="1:2" x14ac:dyDescent="0.35">
      <c r="A5" s="3" t="s">
        <v>55</v>
      </c>
      <c r="B5" s="8">
        <v>2.9228956228956213</v>
      </c>
    </row>
    <row r="6" spans="1:2" x14ac:dyDescent="0.35">
      <c r="A6" s="3" t="s">
        <v>56</v>
      </c>
      <c r="B6" s="8">
        <v>3.1007017543859661</v>
      </c>
    </row>
    <row r="7" spans="1:2" x14ac:dyDescent="0.35">
      <c r="A7" s="3" t="s">
        <v>68</v>
      </c>
      <c r="B7" s="8">
        <v>3.0135844748858425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796B4-F5E7-467A-8B2E-53FC018B55E2}">
  <sheetPr>
    <tabColor rgb="FF7030A0"/>
  </sheetPr>
  <dimension ref="A3:D10"/>
  <sheetViews>
    <sheetView tabSelected="1" workbookViewId="0">
      <selection activeCell="D4" sqref="D4"/>
    </sheetView>
  </sheetViews>
  <sheetFormatPr defaultRowHeight="14.5" x14ac:dyDescent="0.35"/>
  <cols>
    <col min="1" max="1" width="12.36328125" bestFit="1" customWidth="1"/>
    <col min="2" max="2" width="17.7265625" bestFit="1" customWidth="1"/>
    <col min="3" max="3" width="15.26953125" bestFit="1" customWidth="1"/>
    <col min="4" max="4" width="26.36328125" bestFit="1" customWidth="1"/>
  </cols>
  <sheetData>
    <row r="3" spans="1:4" x14ac:dyDescent="0.35">
      <c r="A3" s="2" t="s">
        <v>67</v>
      </c>
      <c r="B3" t="s">
        <v>74</v>
      </c>
      <c r="C3" t="s">
        <v>78</v>
      </c>
      <c r="D3" t="s">
        <v>79</v>
      </c>
    </row>
    <row r="4" spans="1:4" x14ac:dyDescent="0.35">
      <c r="A4" s="3" t="s">
        <v>41</v>
      </c>
      <c r="B4" s="8">
        <v>1820643</v>
      </c>
      <c r="C4" s="8">
        <v>73521.511494252874</v>
      </c>
      <c r="D4" s="8">
        <v>5.1896551724137927</v>
      </c>
    </row>
    <row r="5" spans="1:4" x14ac:dyDescent="0.35">
      <c r="A5" s="3" t="s">
        <v>36</v>
      </c>
      <c r="B5" s="8">
        <v>1442722</v>
      </c>
      <c r="C5" s="8">
        <v>75226.181159420288</v>
      </c>
      <c r="D5" s="8">
        <v>4.7608695652173916</v>
      </c>
    </row>
    <row r="6" spans="1:4" x14ac:dyDescent="0.35">
      <c r="A6" s="3" t="s">
        <v>38</v>
      </c>
      <c r="B6" s="8">
        <v>1501187</v>
      </c>
      <c r="C6" s="8">
        <v>76950.944444444438</v>
      </c>
      <c r="D6" s="8">
        <v>4.958333333333333</v>
      </c>
    </row>
    <row r="7" spans="1:4" x14ac:dyDescent="0.35">
      <c r="A7" s="3" t="s">
        <v>37</v>
      </c>
      <c r="B7" s="8">
        <v>1426101</v>
      </c>
      <c r="C7" s="8">
        <v>71009.53284671533</v>
      </c>
      <c r="D7" s="8">
        <v>4.6423357664233578</v>
      </c>
    </row>
    <row r="8" spans="1:4" x14ac:dyDescent="0.35">
      <c r="A8" s="3" t="s">
        <v>40</v>
      </c>
      <c r="B8" s="8">
        <v>1514693</v>
      </c>
      <c r="C8" s="8">
        <v>71914.88275862069</v>
      </c>
      <c r="D8" s="8">
        <v>5.1793103448275861</v>
      </c>
    </row>
    <row r="9" spans="1:4" x14ac:dyDescent="0.35">
      <c r="A9" s="3" t="s">
        <v>39</v>
      </c>
      <c r="B9" s="8">
        <v>1438780</v>
      </c>
      <c r="C9" s="8">
        <v>75879.905797101455</v>
      </c>
      <c r="D9" s="8">
        <v>4.9855072463768115</v>
      </c>
    </row>
    <row r="10" spans="1:4" x14ac:dyDescent="0.35">
      <c r="A10" s="3" t="s">
        <v>68</v>
      </c>
      <c r="B10" s="8">
        <v>9144126</v>
      </c>
      <c r="C10" s="8">
        <v>74066.533105022827</v>
      </c>
      <c r="D10" s="8">
        <v>4.9646118721461185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W877"/>
  <sheetViews>
    <sheetView workbookViewId="0">
      <pane ySplit="1" topLeftCell="A2" activePane="bottomLeft" state="frozen"/>
      <selection pane="bottomLeft" activeCell="P786" sqref="P786"/>
    </sheetView>
  </sheetViews>
  <sheetFormatPr defaultRowHeight="14.5" x14ac:dyDescent="0.35"/>
  <cols>
    <col min="1" max="1" width="13.26953125" customWidth="1"/>
    <col min="2" max="2" width="11.81640625" customWidth="1"/>
    <col min="3" max="3" width="11.54296875" customWidth="1"/>
    <col min="4" max="4" width="13.08984375" customWidth="1"/>
    <col min="6" max="6" width="19.7265625" customWidth="1"/>
    <col min="7" max="7" width="26" style="7" customWidth="1"/>
    <col min="8" max="8" width="19.26953125" style="7" customWidth="1"/>
    <col min="10" max="10" width="9" customWidth="1"/>
    <col min="11" max="11" width="18.6328125" customWidth="1"/>
    <col min="12" max="12" width="10.453125" customWidth="1"/>
    <col min="14" max="14" width="14.6328125" customWidth="1"/>
    <col min="15" max="15" width="15.81640625" customWidth="1"/>
    <col min="16" max="16" width="23.26953125" customWidth="1"/>
    <col min="17" max="17" width="15.453125" customWidth="1"/>
    <col min="18" max="18" width="15.26953125" customWidth="1"/>
    <col min="19" max="19" width="14.36328125" customWidth="1"/>
    <col min="20" max="20" width="19.81640625" customWidth="1"/>
    <col min="21" max="21" width="20.1796875" customWidth="1"/>
    <col min="22" max="22" width="21.36328125" customWidth="1"/>
    <col min="23" max="23" width="23.6328125" customWidth="1"/>
  </cols>
  <sheetData>
    <row r="1" spans="1:23" x14ac:dyDescent="0.35">
      <c r="A1" s="1" t="s">
        <v>0</v>
      </c>
      <c r="B1" s="1" t="s">
        <v>1</v>
      </c>
      <c r="C1" s="1" t="s">
        <v>2</v>
      </c>
      <c r="D1" s="1" t="s">
        <v>3</v>
      </c>
      <c r="E1" s="1" t="s">
        <v>4</v>
      </c>
      <c r="F1" s="1" t="s">
        <v>72</v>
      </c>
      <c r="G1" s="6" t="s">
        <v>71</v>
      </c>
      <c r="H1" s="6"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row>
    <row r="2" spans="1:23" x14ac:dyDescent="0.35">
      <c r="A2">
        <v>10001</v>
      </c>
      <c r="B2" t="s">
        <v>21</v>
      </c>
      <c r="C2" t="s">
        <v>29</v>
      </c>
      <c r="D2" t="s">
        <v>36</v>
      </c>
      <c r="E2">
        <v>74291</v>
      </c>
      <c r="F2">
        <f ca="1">DATEDIF(Table1[[#This Row],[Hire Date]], TODAY(), "Y")</f>
        <v>23</v>
      </c>
      <c r="G2" s="7">
        <f ca="1">YEARFRAC(Table1[[#This Row],[Hire Date]], TODAY())</f>
        <v>23.355555555555554</v>
      </c>
      <c r="H2" s="7">
        <v>37513</v>
      </c>
      <c r="I2">
        <v>48</v>
      </c>
      <c r="J2" t="s">
        <v>42</v>
      </c>
      <c r="K2">
        <v>9</v>
      </c>
      <c r="L2" t="s">
        <v>44</v>
      </c>
      <c r="M2">
        <v>5324.53</v>
      </c>
      <c r="N2" t="s">
        <v>46</v>
      </c>
      <c r="O2" t="s">
        <v>50</v>
      </c>
      <c r="P2">
        <v>13</v>
      </c>
      <c r="Q2" t="s">
        <v>55</v>
      </c>
      <c r="R2" t="s">
        <v>58</v>
      </c>
      <c r="S2">
        <v>4</v>
      </c>
      <c r="T2">
        <v>2022</v>
      </c>
      <c r="U2" t="s">
        <v>64</v>
      </c>
      <c r="V2">
        <v>150</v>
      </c>
      <c r="W2">
        <v>2.2000000000000002</v>
      </c>
    </row>
    <row r="3" spans="1:23" x14ac:dyDescent="0.35">
      <c r="A3">
        <v>10002</v>
      </c>
      <c r="B3" t="s">
        <v>22</v>
      </c>
      <c r="C3" t="s">
        <v>30</v>
      </c>
      <c r="D3" t="s">
        <v>37</v>
      </c>
      <c r="E3">
        <v>93350</v>
      </c>
      <c r="F3">
        <f ca="1">DATEDIF(Table1[[#This Row],[Hire Date]], TODAY(), "Y")</f>
        <v>17</v>
      </c>
      <c r="G3" s="7">
        <f ca="1">YEARFRAC(Table1[[#This Row],[Hire Date]], TODAY())</f>
        <v>17.194444444444443</v>
      </c>
      <c r="H3" s="7">
        <v>39764</v>
      </c>
      <c r="I3">
        <v>53</v>
      </c>
      <c r="J3" t="s">
        <v>43</v>
      </c>
      <c r="K3">
        <v>7</v>
      </c>
      <c r="L3" t="s">
        <v>44</v>
      </c>
      <c r="M3">
        <v>5037.68</v>
      </c>
      <c r="N3" t="s">
        <v>47</v>
      </c>
      <c r="O3" t="s">
        <v>51</v>
      </c>
      <c r="P3">
        <v>39</v>
      </c>
      <c r="Q3" t="s">
        <v>55</v>
      </c>
      <c r="R3" t="s">
        <v>59</v>
      </c>
      <c r="S3">
        <v>14</v>
      </c>
      <c r="T3">
        <v>2019</v>
      </c>
      <c r="U3" t="s">
        <v>64</v>
      </c>
      <c r="V3">
        <v>140</v>
      </c>
      <c r="W3">
        <v>1.2</v>
      </c>
    </row>
    <row r="4" spans="1:23" x14ac:dyDescent="0.35">
      <c r="A4">
        <v>10003</v>
      </c>
      <c r="B4" t="s">
        <v>23</v>
      </c>
      <c r="C4" t="s">
        <v>30</v>
      </c>
      <c r="D4" t="s">
        <v>38</v>
      </c>
      <c r="E4">
        <v>112020</v>
      </c>
      <c r="F4">
        <f ca="1">DATEDIF(Table1[[#This Row],[Hire Date]], TODAY(), "Y")</f>
        <v>8</v>
      </c>
      <c r="G4" s="7">
        <f ca="1">YEARFRAC(Table1[[#This Row],[Hire Date]], TODAY())</f>
        <v>8.5250000000000004</v>
      </c>
      <c r="H4" s="7">
        <v>42929</v>
      </c>
      <c r="I4">
        <v>33</v>
      </c>
      <c r="J4" t="s">
        <v>43</v>
      </c>
      <c r="K4">
        <v>7</v>
      </c>
      <c r="L4" t="s">
        <v>44</v>
      </c>
      <c r="M4">
        <v>1087.8599999999999</v>
      </c>
      <c r="N4" t="s">
        <v>46</v>
      </c>
      <c r="O4" t="s">
        <v>52</v>
      </c>
      <c r="P4">
        <v>20</v>
      </c>
      <c r="Q4" t="s">
        <v>56</v>
      </c>
      <c r="R4" t="s">
        <v>60</v>
      </c>
      <c r="S4">
        <v>11</v>
      </c>
      <c r="T4">
        <v>2012</v>
      </c>
      <c r="U4" t="s">
        <v>65</v>
      </c>
      <c r="V4">
        <v>159</v>
      </c>
      <c r="W4">
        <v>4.7</v>
      </c>
    </row>
    <row r="5" spans="1:23" x14ac:dyDescent="0.35">
      <c r="A5">
        <v>10004</v>
      </c>
      <c r="B5" t="s">
        <v>21</v>
      </c>
      <c r="C5" t="s">
        <v>30</v>
      </c>
      <c r="D5" t="s">
        <v>39</v>
      </c>
      <c r="E5">
        <v>34646</v>
      </c>
      <c r="F5">
        <f ca="1">DATEDIF(Table1[[#This Row],[Hire Date]], TODAY(), "Y")</f>
        <v>11</v>
      </c>
      <c r="G5" s="7">
        <f ca="1">YEARFRAC(Table1[[#This Row],[Hire Date]], TODAY())</f>
        <v>11.486111111111111</v>
      </c>
      <c r="H5" s="7">
        <v>41847</v>
      </c>
      <c r="I5">
        <v>26</v>
      </c>
      <c r="J5" t="s">
        <v>42</v>
      </c>
      <c r="K5">
        <v>8</v>
      </c>
      <c r="L5" t="s">
        <v>45</v>
      </c>
      <c r="M5">
        <v>4817.13</v>
      </c>
      <c r="N5" t="s">
        <v>48</v>
      </c>
      <c r="O5" t="s">
        <v>53</v>
      </c>
      <c r="P5">
        <v>32</v>
      </c>
      <c r="Q5" t="s">
        <v>55</v>
      </c>
      <c r="R5" t="s">
        <v>61</v>
      </c>
      <c r="S5">
        <v>16</v>
      </c>
      <c r="T5">
        <v>2020</v>
      </c>
      <c r="U5" t="s">
        <v>66</v>
      </c>
      <c r="V5">
        <v>18</v>
      </c>
      <c r="W5">
        <v>1.9</v>
      </c>
    </row>
    <row r="6" spans="1:23" x14ac:dyDescent="0.35">
      <c r="A6">
        <v>10005</v>
      </c>
      <c r="B6" t="s">
        <v>24</v>
      </c>
      <c r="C6" t="s">
        <v>31</v>
      </c>
      <c r="D6" t="s">
        <v>40</v>
      </c>
      <c r="E6">
        <v>69713</v>
      </c>
      <c r="F6">
        <f ca="1">DATEDIF(Table1[[#This Row],[Hire Date]], TODAY(), "Y")</f>
        <v>15</v>
      </c>
      <c r="G6" s="7">
        <f ca="1">YEARFRAC(Table1[[#This Row],[Hire Date]], TODAY())</f>
        <v>15.527777777777779</v>
      </c>
      <c r="H6" s="7">
        <v>40371</v>
      </c>
      <c r="I6">
        <v>28</v>
      </c>
      <c r="J6" t="s">
        <v>43</v>
      </c>
      <c r="K6">
        <v>4</v>
      </c>
      <c r="L6" t="s">
        <v>45</v>
      </c>
      <c r="M6">
        <v>3231.82</v>
      </c>
      <c r="N6" t="s">
        <v>48</v>
      </c>
      <c r="O6" t="s">
        <v>53</v>
      </c>
      <c r="P6">
        <v>10</v>
      </c>
      <c r="Q6" t="s">
        <v>56</v>
      </c>
      <c r="R6" t="s">
        <v>58</v>
      </c>
      <c r="S6">
        <v>4</v>
      </c>
      <c r="T6">
        <v>2017</v>
      </c>
      <c r="U6" t="s">
        <v>65</v>
      </c>
      <c r="V6">
        <v>150</v>
      </c>
      <c r="W6">
        <v>2.5</v>
      </c>
    </row>
    <row r="7" spans="1:23" x14ac:dyDescent="0.35">
      <c r="A7">
        <v>10006</v>
      </c>
      <c r="B7" t="s">
        <v>25</v>
      </c>
      <c r="C7" t="s">
        <v>30</v>
      </c>
      <c r="D7" t="s">
        <v>41</v>
      </c>
      <c r="E7">
        <v>97936</v>
      </c>
      <c r="F7">
        <f ca="1">DATEDIF(Table1[[#This Row],[Hire Date]], TODAY(), "Y")</f>
        <v>11</v>
      </c>
      <c r="G7" s="7">
        <f ca="1">YEARFRAC(Table1[[#This Row],[Hire Date]], TODAY())</f>
        <v>11.533333333333333</v>
      </c>
      <c r="H7" s="7">
        <v>41830</v>
      </c>
      <c r="I7">
        <v>43</v>
      </c>
      <c r="J7" t="s">
        <v>43</v>
      </c>
      <c r="K7">
        <v>6</v>
      </c>
      <c r="L7" t="s">
        <v>44</v>
      </c>
      <c r="M7">
        <v>3108.36</v>
      </c>
      <c r="N7" t="s">
        <v>46</v>
      </c>
      <c r="O7" t="s">
        <v>54</v>
      </c>
      <c r="P7">
        <v>26</v>
      </c>
      <c r="Q7" t="s">
        <v>57</v>
      </c>
      <c r="R7" t="s">
        <v>58</v>
      </c>
      <c r="S7">
        <v>18</v>
      </c>
      <c r="T7">
        <v>2017</v>
      </c>
      <c r="U7" t="s">
        <v>64</v>
      </c>
      <c r="V7">
        <v>69</v>
      </c>
      <c r="W7">
        <v>3.1</v>
      </c>
    </row>
    <row r="8" spans="1:23" x14ac:dyDescent="0.35">
      <c r="A8">
        <v>10007</v>
      </c>
      <c r="B8" t="s">
        <v>23</v>
      </c>
      <c r="C8" t="s">
        <v>32</v>
      </c>
      <c r="D8" t="s">
        <v>41</v>
      </c>
      <c r="E8">
        <v>74331</v>
      </c>
      <c r="F8">
        <f ca="1">DATEDIF(Table1[[#This Row],[Hire Date]], TODAY(), "Y")</f>
        <v>8</v>
      </c>
      <c r="G8" s="7">
        <f ca="1">YEARFRAC(Table1[[#This Row],[Hire Date]], TODAY())</f>
        <v>8.8055555555555554</v>
      </c>
      <c r="H8" s="7">
        <v>42827</v>
      </c>
      <c r="I8">
        <v>48</v>
      </c>
      <c r="J8" t="s">
        <v>42</v>
      </c>
      <c r="K8">
        <v>5</v>
      </c>
      <c r="L8" t="s">
        <v>45</v>
      </c>
      <c r="M8">
        <v>2612.63</v>
      </c>
      <c r="N8" t="s">
        <v>46</v>
      </c>
      <c r="O8" t="s">
        <v>54</v>
      </c>
      <c r="P8">
        <v>19</v>
      </c>
      <c r="Q8" t="s">
        <v>57</v>
      </c>
      <c r="R8" t="s">
        <v>61</v>
      </c>
      <c r="S8">
        <v>9</v>
      </c>
      <c r="T8">
        <v>2021</v>
      </c>
      <c r="U8" t="s">
        <v>64</v>
      </c>
      <c r="V8">
        <v>163</v>
      </c>
      <c r="W8">
        <v>4.9000000000000004</v>
      </c>
    </row>
    <row r="9" spans="1:23" x14ac:dyDescent="0.35">
      <c r="A9">
        <v>10008</v>
      </c>
      <c r="B9" t="s">
        <v>23</v>
      </c>
      <c r="C9" t="s">
        <v>29</v>
      </c>
      <c r="D9" t="s">
        <v>36</v>
      </c>
      <c r="E9">
        <v>52185</v>
      </c>
      <c r="F9">
        <f ca="1">DATEDIF(Table1[[#This Row],[Hire Date]], TODAY(), "Y")</f>
        <v>15</v>
      </c>
      <c r="G9" s="7">
        <f ca="1">YEARFRAC(Table1[[#This Row],[Hire Date]], TODAY())</f>
        <v>15.95</v>
      </c>
      <c r="H9" s="7">
        <v>40219</v>
      </c>
      <c r="I9">
        <v>36</v>
      </c>
      <c r="J9" t="s">
        <v>42</v>
      </c>
      <c r="K9">
        <v>1</v>
      </c>
      <c r="L9" t="s">
        <v>45</v>
      </c>
      <c r="M9">
        <v>3659.02</v>
      </c>
      <c r="N9" t="s">
        <v>48</v>
      </c>
      <c r="O9" t="s">
        <v>54</v>
      </c>
      <c r="P9">
        <v>29</v>
      </c>
      <c r="Q9" t="s">
        <v>55</v>
      </c>
      <c r="R9" t="s">
        <v>60</v>
      </c>
      <c r="S9">
        <v>11</v>
      </c>
      <c r="T9">
        <v>2016</v>
      </c>
      <c r="U9" t="s">
        <v>65</v>
      </c>
      <c r="V9">
        <v>24</v>
      </c>
      <c r="W9">
        <v>3.1</v>
      </c>
    </row>
    <row r="10" spans="1:23" x14ac:dyDescent="0.35">
      <c r="A10">
        <v>10009</v>
      </c>
      <c r="B10" t="s">
        <v>21</v>
      </c>
      <c r="C10" t="s">
        <v>30</v>
      </c>
      <c r="D10" t="s">
        <v>38</v>
      </c>
      <c r="E10">
        <v>114263</v>
      </c>
      <c r="F10">
        <f ca="1">DATEDIF(Table1[[#This Row],[Hire Date]], TODAY(), "Y")</f>
        <v>25</v>
      </c>
      <c r="G10" s="7">
        <f ca="1">YEARFRAC(Table1[[#This Row],[Hire Date]], TODAY())</f>
        <v>25.788888888888888</v>
      </c>
      <c r="H10" s="7">
        <v>36624</v>
      </c>
      <c r="I10">
        <v>60</v>
      </c>
      <c r="J10" t="s">
        <v>43</v>
      </c>
      <c r="K10">
        <v>9</v>
      </c>
      <c r="L10" t="s">
        <v>45</v>
      </c>
      <c r="M10">
        <v>3854.76</v>
      </c>
      <c r="N10" t="s">
        <v>49</v>
      </c>
      <c r="O10" t="s">
        <v>53</v>
      </c>
      <c r="P10">
        <v>13</v>
      </c>
      <c r="Q10" t="s">
        <v>55</v>
      </c>
      <c r="R10" t="s">
        <v>62</v>
      </c>
      <c r="S10">
        <v>1</v>
      </c>
      <c r="T10">
        <v>2017</v>
      </c>
      <c r="U10" t="s">
        <v>64</v>
      </c>
      <c r="V10">
        <v>74</v>
      </c>
      <c r="W10">
        <v>2.8</v>
      </c>
    </row>
    <row r="11" spans="1:23" x14ac:dyDescent="0.35">
      <c r="A11">
        <v>10010</v>
      </c>
      <c r="B11" t="s">
        <v>26</v>
      </c>
      <c r="C11" t="s">
        <v>33</v>
      </c>
      <c r="D11" t="s">
        <v>37</v>
      </c>
      <c r="E11">
        <v>82107</v>
      </c>
      <c r="F11">
        <f ca="1">DATEDIF(Table1[[#This Row],[Hire Date]], TODAY(), "Y")</f>
        <v>19</v>
      </c>
      <c r="G11" s="7">
        <f ca="1">YEARFRAC(Table1[[#This Row],[Hire Date]], TODAY())</f>
        <v>19.791666666666668</v>
      </c>
      <c r="H11" s="7">
        <v>38814</v>
      </c>
      <c r="I11">
        <v>56</v>
      </c>
      <c r="J11" t="s">
        <v>42</v>
      </c>
      <c r="K11">
        <v>2</v>
      </c>
      <c r="L11" t="s">
        <v>45</v>
      </c>
      <c r="M11">
        <v>3433.37</v>
      </c>
      <c r="N11" t="s">
        <v>49</v>
      </c>
      <c r="O11" t="s">
        <v>51</v>
      </c>
      <c r="P11">
        <v>34</v>
      </c>
      <c r="Q11" t="s">
        <v>56</v>
      </c>
      <c r="R11" t="s">
        <v>63</v>
      </c>
      <c r="S11">
        <v>16</v>
      </c>
      <c r="T11">
        <v>2010</v>
      </c>
      <c r="U11" t="s">
        <v>64</v>
      </c>
      <c r="V11">
        <v>49</v>
      </c>
      <c r="W11">
        <v>3.3</v>
      </c>
    </row>
    <row r="12" spans="1:23" x14ac:dyDescent="0.35">
      <c r="A12">
        <v>10011</v>
      </c>
      <c r="B12" t="s">
        <v>24</v>
      </c>
      <c r="C12" t="s">
        <v>31</v>
      </c>
      <c r="D12" t="s">
        <v>41</v>
      </c>
      <c r="E12">
        <v>96554</v>
      </c>
      <c r="F12">
        <f ca="1">DATEDIF(Table1[[#This Row],[Hire Date]], TODAY(), "Y")</f>
        <v>21</v>
      </c>
      <c r="G12" s="7">
        <f ca="1">YEARFRAC(Table1[[#This Row],[Hire Date]], TODAY())</f>
        <v>21.913888888888888</v>
      </c>
      <c r="H12" s="7">
        <v>38040</v>
      </c>
      <c r="I12">
        <v>47</v>
      </c>
      <c r="J12" t="s">
        <v>43</v>
      </c>
      <c r="K12">
        <v>6</v>
      </c>
      <c r="L12" t="s">
        <v>44</v>
      </c>
      <c r="M12">
        <v>9798.15</v>
      </c>
      <c r="N12" t="s">
        <v>49</v>
      </c>
      <c r="O12" t="s">
        <v>52</v>
      </c>
      <c r="P12">
        <v>20</v>
      </c>
      <c r="Q12" t="s">
        <v>55</v>
      </c>
      <c r="R12" t="s">
        <v>60</v>
      </c>
      <c r="S12">
        <v>4</v>
      </c>
      <c r="T12">
        <v>2012</v>
      </c>
      <c r="U12" t="s">
        <v>66</v>
      </c>
      <c r="V12">
        <v>5</v>
      </c>
      <c r="W12">
        <v>4.9000000000000004</v>
      </c>
    </row>
    <row r="13" spans="1:23" x14ac:dyDescent="0.35">
      <c r="A13">
        <v>10012</v>
      </c>
      <c r="B13" t="s">
        <v>21</v>
      </c>
      <c r="C13" t="s">
        <v>32</v>
      </c>
      <c r="D13" t="s">
        <v>36</v>
      </c>
      <c r="E13">
        <v>47563</v>
      </c>
      <c r="F13">
        <f ca="1">DATEDIF(Table1[[#This Row],[Hire Date]], TODAY(), "Y")</f>
        <v>14</v>
      </c>
      <c r="G13" s="7">
        <f ca="1">YEARFRAC(Table1[[#This Row],[Hire Date]], TODAY())</f>
        <v>14.291666666666666</v>
      </c>
      <c r="H13" s="7">
        <v>40823</v>
      </c>
      <c r="I13">
        <v>44</v>
      </c>
      <c r="J13" t="s">
        <v>43</v>
      </c>
      <c r="K13">
        <v>8</v>
      </c>
      <c r="L13" t="s">
        <v>44</v>
      </c>
      <c r="M13">
        <v>9360.9500000000007</v>
      </c>
      <c r="N13" t="s">
        <v>46</v>
      </c>
      <c r="O13" t="s">
        <v>54</v>
      </c>
      <c r="P13">
        <v>18</v>
      </c>
      <c r="Q13" t="s">
        <v>55</v>
      </c>
      <c r="R13" t="s">
        <v>61</v>
      </c>
      <c r="S13">
        <v>14</v>
      </c>
      <c r="T13">
        <v>2015</v>
      </c>
      <c r="U13" t="s">
        <v>66</v>
      </c>
      <c r="V13">
        <v>151</v>
      </c>
      <c r="W13">
        <v>4.3</v>
      </c>
    </row>
    <row r="14" spans="1:23" x14ac:dyDescent="0.35">
      <c r="A14">
        <v>10013</v>
      </c>
      <c r="B14" t="s">
        <v>24</v>
      </c>
      <c r="C14" t="s">
        <v>33</v>
      </c>
      <c r="D14" t="s">
        <v>39</v>
      </c>
      <c r="E14">
        <v>100729</v>
      </c>
      <c r="F14">
        <f ca="1">DATEDIF(Table1[[#This Row],[Hire Date]], TODAY(), "Y")</f>
        <v>24</v>
      </c>
      <c r="G14" s="7">
        <f ca="1">YEARFRAC(Table1[[#This Row],[Hire Date]], TODAY())</f>
        <v>24.324999999999999</v>
      </c>
      <c r="H14" s="7">
        <v>37159</v>
      </c>
      <c r="I14">
        <v>34</v>
      </c>
      <c r="J14" t="s">
        <v>43</v>
      </c>
      <c r="K14">
        <v>3</v>
      </c>
      <c r="L14" t="s">
        <v>45</v>
      </c>
      <c r="M14">
        <v>5957.85</v>
      </c>
      <c r="N14" t="s">
        <v>46</v>
      </c>
      <c r="O14" t="s">
        <v>53</v>
      </c>
      <c r="P14">
        <v>34</v>
      </c>
      <c r="Q14" t="s">
        <v>55</v>
      </c>
      <c r="R14" t="s">
        <v>59</v>
      </c>
      <c r="S14">
        <v>19</v>
      </c>
      <c r="T14">
        <v>2021</v>
      </c>
      <c r="U14" t="s">
        <v>64</v>
      </c>
      <c r="V14">
        <v>43</v>
      </c>
      <c r="W14">
        <v>1.7</v>
      </c>
    </row>
    <row r="15" spans="1:23" x14ac:dyDescent="0.35">
      <c r="A15">
        <v>10014</v>
      </c>
      <c r="B15" t="s">
        <v>24</v>
      </c>
      <c r="C15" t="s">
        <v>33</v>
      </c>
      <c r="D15" t="s">
        <v>38</v>
      </c>
      <c r="E15">
        <v>45701</v>
      </c>
      <c r="F15">
        <f ca="1">DATEDIF(Table1[[#This Row],[Hire Date]], TODAY(), "Y")</f>
        <v>6</v>
      </c>
      <c r="G15" s="7">
        <f ca="1">YEARFRAC(Table1[[#This Row],[Hire Date]], TODAY())</f>
        <v>6.1722222222222225</v>
      </c>
      <c r="H15" s="7">
        <v>43789</v>
      </c>
      <c r="I15">
        <v>47</v>
      </c>
      <c r="J15" t="s">
        <v>43</v>
      </c>
      <c r="K15">
        <v>5</v>
      </c>
      <c r="L15" t="s">
        <v>44</v>
      </c>
      <c r="M15">
        <v>9820.02</v>
      </c>
      <c r="N15" t="s">
        <v>48</v>
      </c>
      <c r="O15" t="s">
        <v>51</v>
      </c>
      <c r="P15">
        <v>8</v>
      </c>
      <c r="Q15" t="s">
        <v>56</v>
      </c>
      <c r="R15" t="s">
        <v>59</v>
      </c>
      <c r="S15">
        <v>12</v>
      </c>
      <c r="T15">
        <v>2016</v>
      </c>
      <c r="U15" t="s">
        <v>64</v>
      </c>
      <c r="V15">
        <v>123</v>
      </c>
      <c r="W15">
        <v>4.2</v>
      </c>
    </row>
    <row r="16" spans="1:23" x14ac:dyDescent="0.35">
      <c r="A16">
        <v>10015</v>
      </c>
      <c r="B16" t="s">
        <v>25</v>
      </c>
      <c r="C16" t="s">
        <v>33</v>
      </c>
      <c r="D16" t="s">
        <v>38</v>
      </c>
      <c r="E16">
        <v>99072</v>
      </c>
      <c r="F16">
        <f ca="1">DATEDIF(Table1[[#This Row],[Hire Date]], TODAY(), "Y")</f>
        <v>12</v>
      </c>
      <c r="G16" s="7">
        <f ca="1">YEARFRAC(Table1[[#This Row],[Hire Date]], TODAY())</f>
        <v>12.802777777777777</v>
      </c>
      <c r="H16" s="7">
        <v>41367</v>
      </c>
      <c r="I16">
        <v>24</v>
      </c>
      <c r="J16" t="s">
        <v>42</v>
      </c>
      <c r="K16">
        <v>7</v>
      </c>
      <c r="L16" t="s">
        <v>44</v>
      </c>
      <c r="M16">
        <v>9916.3799999999992</v>
      </c>
      <c r="N16" t="s">
        <v>47</v>
      </c>
      <c r="O16" t="s">
        <v>54</v>
      </c>
      <c r="P16">
        <v>16</v>
      </c>
      <c r="Q16" t="s">
        <v>57</v>
      </c>
      <c r="R16" t="s">
        <v>61</v>
      </c>
      <c r="S16">
        <v>19</v>
      </c>
      <c r="T16">
        <v>2016</v>
      </c>
      <c r="U16" t="s">
        <v>65</v>
      </c>
      <c r="V16">
        <v>159</v>
      </c>
      <c r="W16">
        <v>4.4000000000000004</v>
      </c>
    </row>
    <row r="17" spans="1:23" x14ac:dyDescent="0.35">
      <c r="A17">
        <v>10016</v>
      </c>
      <c r="B17" t="s">
        <v>23</v>
      </c>
      <c r="C17" t="s">
        <v>33</v>
      </c>
      <c r="D17" t="s">
        <v>36</v>
      </c>
      <c r="E17">
        <v>78217</v>
      </c>
      <c r="F17">
        <f ca="1">DATEDIF(Table1[[#This Row],[Hire Date]], TODAY(), "Y")</f>
        <v>13</v>
      </c>
      <c r="G17" s="7">
        <f ca="1">YEARFRAC(Table1[[#This Row],[Hire Date]], TODAY())</f>
        <v>13.502777777777778</v>
      </c>
      <c r="H17" s="7">
        <v>41111</v>
      </c>
      <c r="I17">
        <v>50</v>
      </c>
      <c r="J17" t="s">
        <v>42</v>
      </c>
      <c r="K17">
        <v>4</v>
      </c>
      <c r="L17" t="s">
        <v>44</v>
      </c>
      <c r="M17">
        <v>3881.43</v>
      </c>
      <c r="N17" t="s">
        <v>49</v>
      </c>
      <c r="O17" t="s">
        <v>54</v>
      </c>
      <c r="P17">
        <v>23</v>
      </c>
      <c r="Q17" t="s">
        <v>56</v>
      </c>
      <c r="R17" t="s">
        <v>59</v>
      </c>
      <c r="S17">
        <v>10</v>
      </c>
      <c r="T17">
        <v>2020</v>
      </c>
      <c r="U17" t="s">
        <v>65</v>
      </c>
      <c r="V17">
        <v>60</v>
      </c>
      <c r="W17">
        <v>3.8</v>
      </c>
    </row>
    <row r="18" spans="1:23" x14ac:dyDescent="0.35">
      <c r="A18">
        <v>10017</v>
      </c>
      <c r="B18" t="s">
        <v>22</v>
      </c>
      <c r="C18" t="s">
        <v>29</v>
      </c>
      <c r="D18" t="s">
        <v>36</v>
      </c>
      <c r="E18">
        <v>74610</v>
      </c>
      <c r="F18">
        <f ca="1">DATEDIF(Table1[[#This Row],[Hire Date]], TODAY(), "Y")</f>
        <v>24</v>
      </c>
      <c r="G18" s="7">
        <f ca="1">YEARFRAC(Table1[[#This Row],[Hire Date]], TODAY())</f>
        <v>24.475000000000001</v>
      </c>
      <c r="H18" s="7">
        <v>37104</v>
      </c>
      <c r="I18">
        <v>23</v>
      </c>
      <c r="J18" t="s">
        <v>43</v>
      </c>
      <c r="K18">
        <v>5</v>
      </c>
      <c r="L18" t="s">
        <v>44</v>
      </c>
      <c r="M18">
        <v>4729.28</v>
      </c>
      <c r="N18" t="s">
        <v>49</v>
      </c>
      <c r="O18" t="s">
        <v>52</v>
      </c>
      <c r="P18">
        <v>32</v>
      </c>
      <c r="Q18" t="s">
        <v>56</v>
      </c>
      <c r="R18" t="s">
        <v>61</v>
      </c>
      <c r="S18">
        <v>17</v>
      </c>
      <c r="T18">
        <v>2015</v>
      </c>
      <c r="U18" t="s">
        <v>64</v>
      </c>
      <c r="V18">
        <v>148</v>
      </c>
      <c r="W18">
        <v>3.6</v>
      </c>
    </row>
    <row r="19" spans="1:23" x14ac:dyDescent="0.35">
      <c r="A19">
        <v>10018</v>
      </c>
      <c r="B19" t="s">
        <v>25</v>
      </c>
      <c r="C19" t="s">
        <v>30</v>
      </c>
      <c r="D19" t="s">
        <v>37</v>
      </c>
      <c r="E19">
        <v>114422</v>
      </c>
      <c r="F19">
        <f ca="1">DATEDIF(Table1[[#This Row],[Hire Date]], TODAY(), "Y")</f>
        <v>15</v>
      </c>
      <c r="G19" s="7">
        <f ca="1">YEARFRAC(Table1[[#This Row],[Hire Date]], TODAY())</f>
        <v>15.219444444444445</v>
      </c>
      <c r="H19" s="7">
        <v>40485</v>
      </c>
      <c r="I19">
        <v>49</v>
      </c>
      <c r="J19" t="s">
        <v>42</v>
      </c>
      <c r="K19">
        <v>1</v>
      </c>
      <c r="L19" t="s">
        <v>45</v>
      </c>
      <c r="M19">
        <v>9611.09</v>
      </c>
      <c r="N19" t="s">
        <v>49</v>
      </c>
      <c r="O19" t="s">
        <v>52</v>
      </c>
      <c r="P19">
        <v>13</v>
      </c>
      <c r="Q19" t="s">
        <v>55</v>
      </c>
      <c r="R19" t="s">
        <v>58</v>
      </c>
      <c r="S19">
        <v>8</v>
      </c>
      <c r="T19">
        <v>2022</v>
      </c>
      <c r="U19" t="s">
        <v>66</v>
      </c>
      <c r="V19">
        <v>11</v>
      </c>
      <c r="W19">
        <v>2.8</v>
      </c>
    </row>
    <row r="20" spans="1:23" x14ac:dyDescent="0.35">
      <c r="A20">
        <v>10019</v>
      </c>
      <c r="B20" t="s">
        <v>25</v>
      </c>
      <c r="C20" t="s">
        <v>34</v>
      </c>
      <c r="D20" t="s">
        <v>36</v>
      </c>
      <c r="E20">
        <v>80131</v>
      </c>
      <c r="F20">
        <f ca="1">DATEDIF(Table1[[#This Row],[Hire Date]], TODAY(), "Y")</f>
        <v>7</v>
      </c>
      <c r="G20" s="7">
        <f ca="1">YEARFRAC(Table1[[#This Row],[Hire Date]], TODAY())</f>
        <v>7.7944444444444443</v>
      </c>
      <c r="H20" s="7">
        <v>43196</v>
      </c>
      <c r="I20">
        <v>44</v>
      </c>
      <c r="J20" t="s">
        <v>43</v>
      </c>
      <c r="K20">
        <v>4</v>
      </c>
      <c r="L20" t="s">
        <v>45</v>
      </c>
      <c r="M20">
        <v>6281.95</v>
      </c>
      <c r="N20" t="s">
        <v>48</v>
      </c>
      <c r="O20" t="s">
        <v>50</v>
      </c>
      <c r="P20">
        <v>26</v>
      </c>
      <c r="Q20" t="s">
        <v>57</v>
      </c>
      <c r="R20" t="s">
        <v>62</v>
      </c>
      <c r="S20">
        <v>15</v>
      </c>
      <c r="T20">
        <v>2021</v>
      </c>
      <c r="U20" t="s">
        <v>66</v>
      </c>
      <c r="V20">
        <v>24</v>
      </c>
      <c r="W20">
        <v>3.6</v>
      </c>
    </row>
    <row r="21" spans="1:23" x14ac:dyDescent="0.35">
      <c r="A21">
        <v>10020</v>
      </c>
      <c r="B21" t="s">
        <v>24</v>
      </c>
      <c r="C21" t="s">
        <v>29</v>
      </c>
      <c r="D21" t="s">
        <v>37</v>
      </c>
      <c r="E21">
        <v>59410</v>
      </c>
      <c r="F21">
        <f ca="1">DATEDIF(Table1[[#This Row],[Hire Date]], TODAY(), "Y")</f>
        <v>25</v>
      </c>
      <c r="G21" s="7">
        <f ca="1">YEARFRAC(Table1[[#This Row],[Hire Date]], TODAY())</f>
        <v>25.31388888888889</v>
      </c>
      <c r="H21" s="7">
        <v>36798</v>
      </c>
      <c r="I21">
        <v>57</v>
      </c>
      <c r="J21" t="s">
        <v>43</v>
      </c>
      <c r="K21">
        <v>7</v>
      </c>
      <c r="L21" t="s">
        <v>45</v>
      </c>
      <c r="M21">
        <v>2522.83</v>
      </c>
      <c r="N21" t="s">
        <v>47</v>
      </c>
      <c r="O21" t="s">
        <v>54</v>
      </c>
      <c r="P21">
        <v>38</v>
      </c>
      <c r="Q21" t="s">
        <v>56</v>
      </c>
      <c r="R21" t="s">
        <v>58</v>
      </c>
      <c r="S21">
        <v>14</v>
      </c>
      <c r="T21">
        <v>2021</v>
      </c>
      <c r="U21" t="s">
        <v>65</v>
      </c>
      <c r="V21">
        <v>163</v>
      </c>
      <c r="W21">
        <v>4</v>
      </c>
    </row>
    <row r="22" spans="1:23" x14ac:dyDescent="0.35">
      <c r="A22">
        <v>10021</v>
      </c>
      <c r="B22" t="s">
        <v>27</v>
      </c>
      <c r="C22" t="s">
        <v>29</v>
      </c>
      <c r="D22" t="s">
        <v>37</v>
      </c>
      <c r="E22">
        <v>88715</v>
      </c>
      <c r="F22">
        <f ca="1">DATEDIF(Table1[[#This Row],[Hire Date]], TODAY(), "Y")</f>
        <v>11</v>
      </c>
      <c r="G22" s="7">
        <f ca="1">YEARFRAC(Table1[[#This Row],[Hire Date]], TODAY())</f>
        <v>11.441666666666666</v>
      </c>
      <c r="H22" s="7">
        <v>41864</v>
      </c>
      <c r="I22">
        <v>27</v>
      </c>
      <c r="J22" t="s">
        <v>42</v>
      </c>
      <c r="K22">
        <v>7</v>
      </c>
      <c r="L22" t="s">
        <v>44</v>
      </c>
      <c r="M22">
        <v>7049.12</v>
      </c>
      <c r="N22" t="s">
        <v>47</v>
      </c>
      <c r="O22" t="s">
        <v>50</v>
      </c>
      <c r="P22">
        <v>1</v>
      </c>
      <c r="Q22" t="s">
        <v>55</v>
      </c>
      <c r="R22" t="s">
        <v>58</v>
      </c>
      <c r="S22">
        <v>3</v>
      </c>
      <c r="T22">
        <v>2021</v>
      </c>
      <c r="U22" t="s">
        <v>66</v>
      </c>
      <c r="V22">
        <v>88</v>
      </c>
      <c r="W22">
        <v>1.5</v>
      </c>
    </row>
    <row r="23" spans="1:23" x14ac:dyDescent="0.35">
      <c r="A23">
        <v>10022</v>
      </c>
      <c r="B23" t="s">
        <v>23</v>
      </c>
      <c r="C23" t="s">
        <v>32</v>
      </c>
      <c r="D23" t="s">
        <v>40</v>
      </c>
      <c r="E23">
        <v>68665</v>
      </c>
      <c r="F23">
        <f ca="1">DATEDIF(Table1[[#This Row],[Hire Date]], TODAY(), "Y")</f>
        <v>12</v>
      </c>
      <c r="G23" s="7">
        <f ca="1">YEARFRAC(Table1[[#This Row],[Hire Date]], TODAY())</f>
        <v>12.691666666666666</v>
      </c>
      <c r="H23" s="7">
        <v>41407</v>
      </c>
      <c r="I23">
        <v>32</v>
      </c>
      <c r="J23" t="s">
        <v>42</v>
      </c>
      <c r="K23">
        <v>4</v>
      </c>
      <c r="L23" t="s">
        <v>45</v>
      </c>
      <c r="M23">
        <v>2454.59</v>
      </c>
      <c r="N23" t="s">
        <v>47</v>
      </c>
      <c r="O23" t="s">
        <v>53</v>
      </c>
      <c r="P23">
        <v>2</v>
      </c>
      <c r="Q23" t="s">
        <v>56</v>
      </c>
      <c r="R23" t="s">
        <v>58</v>
      </c>
      <c r="S23">
        <v>11</v>
      </c>
      <c r="T23">
        <v>2020</v>
      </c>
      <c r="U23" t="s">
        <v>66</v>
      </c>
      <c r="V23">
        <v>83</v>
      </c>
      <c r="W23">
        <v>2</v>
      </c>
    </row>
    <row r="24" spans="1:23" x14ac:dyDescent="0.35">
      <c r="A24">
        <v>10023</v>
      </c>
      <c r="B24" t="s">
        <v>26</v>
      </c>
      <c r="C24" t="s">
        <v>32</v>
      </c>
      <c r="D24" t="s">
        <v>38</v>
      </c>
      <c r="E24">
        <v>45957</v>
      </c>
      <c r="F24">
        <f ca="1">DATEDIF(Table1[[#This Row],[Hire Date]], TODAY(), "Y")</f>
        <v>15</v>
      </c>
      <c r="G24" s="7">
        <f ca="1">YEARFRAC(Table1[[#This Row],[Hire Date]], TODAY())</f>
        <v>15.230555555555556</v>
      </c>
      <c r="H24" s="7">
        <v>40480</v>
      </c>
      <c r="I24">
        <v>59</v>
      </c>
      <c r="J24" t="s">
        <v>43</v>
      </c>
      <c r="K24">
        <v>6</v>
      </c>
      <c r="L24" t="s">
        <v>45</v>
      </c>
      <c r="M24">
        <v>3723.9</v>
      </c>
      <c r="N24" t="s">
        <v>49</v>
      </c>
      <c r="O24" t="s">
        <v>52</v>
      </c>
      <c r="P24">
        <v>39</v>
      </c>
      <c r="Q24" t="s">
        <v>55</v>
      </c>
      <c r="R24" t="s">
        <v>61</v>
      </c>
      <c r="S24">
        <v>12</v>
      </c>
      <c r="T24">
        <v>2013</v>
      </c>
      <c r="U24" t="s">
        <v>65</v>
      </c>
      <c r="V24">
        <v>157</v>
      </c>
      <c r="W24">
        <v>1.8</v>
      </c>
    </row>
    <row r="25" spans="1:23" x14ac:dyDescent="0.35">
      <c r="A25">
        <v>10024</v>
      </c>
      <c r="B25" t="s">
        <v>25</v>
      </c>
      <c r="C25" t="s">
        <v>30</v>
      </c>
      <c r="D25" t="s">
        <v>39</v>
      </c>
      <c r="E25">
        <v>78127</v>
      </c>
      <c r="F25">
        <f ca="1">DATEDIF(Table1[[#This Row],[Hire Date]], TODAY(), "Y")</f>
        <v>15</v>
      </c>
      <c r="G25" s="7">
        <f ca="1">YEARFRAC(Table1[[#This Row],[Hire Date]], TODAY())</f>
        <v>15.305555555555555</v>
      </c>
      <c r="H25" s="7">
        <v>40453</v>
      </c>
      <c r="I25">
        <v>55</v>
      </c>
      <c r="J25" t="s">
        <v>42</v>
      </c>
      <c r="K25">
        <v>5</v>
      </c>
      <c r="L25" t="s">
        <v>45</v>
      </c>
      <c r="M25">
        <v>2661.82</v>
      </c>
      <c r="N25" t="s">
        <v>46</v>
      </c>
      <c r="O25" t="s">
        <v>51</v>
      </c>
      <c r="P25">
        <v>13</v>
      </c>
      <c r="Q25" t="s">
        <v>57</v>
      </c>
      <c r="R25" t="s">
        <v>60</v>
      </c>
      <c r="S25">
        <v>8</v>
      </c>
      <c r="T25">
        <v>2014</v>
      </c>
      <c r="U25" t="s">
        <v>65</v>
      </c>
      <c r="V25">
        <v>114</v>
      </c>
      <c r="W25">
        <v>4.4000000000000004</v>
      </c>
    </row>
    <row r="26" spans="1:23" x14ac:dyDescent="0.35">
      <c r="A26">
        <v>10025</v>
      </c>
      <c r="B26" t="s">
        <v>22</v>
      </c>
      <c r="C26" t="s">
        <v>34</v>
      </c>
      <c r="D26" t="s">
        <v>38</v>
      </c>
      <c r="E26">
        <v>93589</v>
      </c>
      <c r="F26">
        <f ca="1">DATEDIF(Table1[[#This Row],[Hire Date]], TODAY(), "Y")</f>
        <v>24</v>
      </c>
      <c r="G26" s="7">
        <f ca="1">YEARFRAC(Table1[[#This Row],[Hire Date]], TODAY())</f>
        <v>24.816666666666666</v>
      </c>
      <c r="H26" s="7">
        <v>36978</v>
      </c>
      <c r="I26">
        <v>38</v>
      </c>
      <c r="J26" t="s">
        <v>43</v>
      </c>
      <c r="K26">
        <v>1</v>
      </c>
      <c r="L26" t="s">
        <v>45</v>
      </c>
      <c r="M26">
        <v>2827.31</v>
      </c>
      <c r="N26" t="s">
        <v>49</v>
      </c>
      <c r="O26" t="s">
        <v>54</v>
      </c>
      <c r="P26">
        <v>27</v>
      </c>
      <c r="Q26" t="s">
        <v>57</v>
      </c>
      <c r="R26" t="s">
        <v>63</v>
      </c>
      <c r="S26">
        <v>14</v>
      </c>
      <c r="T26">
        <v>2018</v>
      </c>
      <c r="U26" t="s">
        <v>66</v>
      </c>
      <c r="V26">
        <v>5</v>
      </c>
      <c r="W26">
        <v>3.7</v>
      </c>
    </row>
    <row r="27" spans="1:23" x14ac:dyDescent="0.35">
      <c r="A27">
        <v>10026</v>
      </c>
      <c r="B27" t="s">
        <v>27</v>
      </c>
      <c r="C27" t="s">
        <v>32</v>
      </c>
      <c r="D27" t="s">
        <v>38</v>
      </c>
      <c r="E27">
        <v>76008</v>
      </c>
      <c r="F27">
        <f ca="1">DATEDIF(Table1[[#This Row],[Hire Date]], TODAY(), "Y")</f>
        <v>22</v>
      </c>
      <c r="G27" s="7">
        <f ca="1">YEARFRAC(Table1[[#This Row],[Hire Date]], TODAY())</f>
        <v>22.836111111111112</v>
      </c>
      <c r="H27" s="7">
        <v>37701</v>
      </c>
      <c r="I27">
        <v>24</v>
      </c>
      <c r="J27" t="s">
        <v>42</v>
      </c>
      <c r="K27">
        <v>8</v>
      </c>
      <c r="L27" t="s">
        <v>44</v>
      </c>
      <c r="M27">
        <v>544.23</v>
      </c>
      <c r="N27" t="s">
        <v>47</v>
      </c>
      <c r="O27" t="s">
        <v>54</v>
      </c>
      <c r="P27">
        <v>4</v>
      </c>
      <c r="Q27" t="s">
        <v>55</v>
      </c>
      <c r="R27" t="s">
        <v>63</v>
      </c>
      <c r="S27">
        <v>17</v>
      </c>
      <c r="T27">
        <v>2010</v>
      </c>
      <c r="U27" t="s">
        <v>65</v>
      </c>
      <c r="V27">
        <v>149</v>
      </c>
      <c r="W27">
        <v>2.8</v>
      </c>
    </row>
    <row r="28" spans="1:23" x14ac:dyDescent="0.35">
      <c r="A28">
        <v>10027</v>
      </c>
      <c r="B28" t="s">
        <v>27</v>
      </c>
      <c r="C28" t="s">
        <v>30</v>
      </c>
      <c r="D28" t="s">
        <v>40</v>
      </c>
      <c r="E28">
        <v>91920</v>
      </c>
      <c r="F28">
        <f ca="1">DATEDIF(Table1[[#This Row],[Hire Date]], TODAY(), "Y")</f>
        <v>8</v>
      </c>
      <c r="G28" s="7">
        <f ca="1">YEARFRAC(Table1[[#This Row],[Hire Date]], TODAY())</f>
        <v>8.2888888888888896</v>
      </c>
      <c r="H28" s="7">
        <v>43016</v>
      </c>
      <c r="I28">
        <v>55</v>
      </c>
      <c r="J28" t="s">
        <v>42</v>
      </c>
      <c r="K28">
        <v>7</v>
      </c>
      <c r="L28" t="s">
        <v>45</v>
      </c>
      <c r="M28">
        <v>8866.73</v>
      </c>
      <c r="N28" t="s">
        <v>48</v>
      </c>
      <c r="O28" t="s">
        <v>50</v>
      </c>
      <c r="P28">
        <v>20</v>
      </c>
      <c r="Q28" t="s">
        <v>56</v>
      </c>
      <c r="R28" t="s">
        <v>62</v>
      </c>
      <c r="S28">
        <v>19</v>
      </c>
      <c r="T28">
        <v>2011</v>
      </c>
      <c r="U28" t="s">
        <v>64</v>
      </c>
      <c r="V28">
        <v>84</v>
      </c>
      <c r="W28">
        <v>4.3</v>
      </c>
    </row>
    <row r="29" spans="1:23" x14ac:dyDescent="0.35">
      <c r="A29">
        <v>10028</v>
      </c>
      <c r="B29" t="s">
        <v>26</v>
      </c>
      <c r="C29" t="s">
        <v>30</v>
      </c>
      <c r="D29" t="s">
        <v>37</v>
      </c>
      <c r="E29">
        <v>62875</v>
      </c>
      <c r="F29">
        <f ca="1">DATEDIF(Table1[[#This Row],[Hire Date]], TODAY(), "Y")</f>
        <v>12</v>
      </c>
      <c r="G29" s="7">
        <f ca="1">YEARFRAC(Table1[[#This Row],[Hire Date]], TODAY())</f>
        <v>12.611111111111111</v>
      </c>
      <c r="H29" s="7">
        <v>41437</v>
      </c>
      <c r="I29">
        <v>43</v>
      </c>
      <c r="J29" t="s">
        <v>43</v>
      </c>
      <c r="K29">
        <v>5</v>
      </c>
      <c r="L29" t="s">
        <v>44</v>
      </c>
      <c r="M29">
        <v>3311.91</v>
      </c>
      <c r="N29" t="s">
        <v>47</v>
      </c>
      <c r="O29" t="s">
        <v>52</v>
      </c>
      <c r="P29">
        <v>3</v>
      </c>
      <c r="Q29" t="s">
        <v>56</v>
      </c>
      <c r="R29" t="s">
        <v>62</v>
      </c>
      <c r="S29">
        <v>6</v>
      </c>
      <c r="T29">
        <v>2014</v>
      </c>
      <c r="U29" t="s">
        <v>65</v>
      </c>
      <c r="V29">
        <v>31</v>
      </c>
      <c r="W29">
        <v>3.9</v>
      </c>
    </row>
    <row r="30" spans="1:23" x14ac:dyDescent="0.35">
      <c r="A30">
        <v>10029</v>
      </c>
      <c r="B30" t="s">
        <v>25</v>
      </c>
      <c r="C30" t="s">
        <v>35</v>
      </c>
      <c r="D30" t="s">
        <v>37</v>
      </c>
      <c r="E30">
        <v>31626</v>
      </c>
      <c r="F30">
        <f ca="1">DATEDIF(Table1[[#This Row],[Hire Date]], TODAY(), "Y")</f>
        <v>24</v>
      </c>
      <c r="G30" s="7">
        <f ca="1">YEARFRAC(Table1[[#This Row],[Hire Date]], TODAY())</f>
        <v>24.930555555555557</v>
      </c>
      <c r="H30" s="7">
        <v>36939</v>
      </c>
      <c r="I30">
        <v>50</v>
      </c>
      <c r="J30" t="s">
        <v>42</v>
      </c>
      <c r="K30">
        <v>7</v>
      </c>
      <c r="L30" t="s">
        <v>44</v>
      </c>
      <c r="M30">
        <v>1320.56</v>
      </c>
      <c r="N30" t="s">
        <v>49</v>
      </c>
      <c r="O30" t="s">
        <v>50</v>
      </c>
      <c r="P30">
        <v>23</v>
      </c>
      <c r="Q30" t="s">
        <v>57</v>
      </c>
      <c r="R30" t="s">
        <v>61</v>
      </c>
      <c r="S30">
        <v>11</v>
      </c>
      <c r="T30">
        <v>2014</v>
      </c>
      <c r="U30" t="s">
        <v>64</v>
      </c>
      <c r="V30">
        <v>123</v>
      </c>
      <c r="W30">
        <v>4.7</v>
      </c>
    </row>
    <row r="31" spans="1:23" x14ac:dyDescent="0.35">
      <c r="A31">
        <v>10030</v>
      </c>
      <c r="B31" t="s">
        <v>22</v>
      </c>
      <c r="C31" t="s">
        <v>34</v>
      </c>
      <c r="D31" t="s">
        <v>36</v>
      </c>
      <c r="E31">
        <v>93822</v>
      </c>
      <c r="F31">
        <f ca="1">DATEDIF(Table1[[#This Row],[Hire Date]], TODAY(), "Y")</f>
        <v>21</v>
      </c>
      <c r="G31" s="7">
        <f ca="1">YEARFRAC(Table1[[#This Row],[Hire Date]], TODAY())</f>
        <v>21.81111111111111</v>
      </c>
      <c r="H31" s="7">
        <v>38076</v>
      </c>
      <c r="I31">
        <v>50</v>
      </c>
      <c r="J31" t="s">
        <v>42</v>
      </c>
      <c r="K31">
        <v>3</v>
      </c>
      <c r="L31" t="s">
        <v>45</v>
      </c>
      <c r="M31">
        <v>1326.38</v>
      </c>
      <c r="N31" t="s">
        <v>46</v>
      </c>
      <c r="O31" t="s">
        <v>54</v>
      </c>
      <c r="P31">
        <v>2</v>
      </c>
      <c r="Q31" t="s">
        <v>56</v>
      </c>
      <c r="R31" t="s">
        <v>63</v>
      </c>
      <c r="S31">
        <v>9</v>
      </c>
      <c r="T31">
        <v>2021</v>
      </c>
      <c r="U31" t="s">
        <v>64</v>
      </c>
      <c r="V31">
        <v>127</v>
      </c>
      <c r="W31">
        <v>1.3</v>
      </c>
    </row>
    <row r="32" spans="1:23" x14ac:dyDescent="0.35">
      <c r="A32">
        <v>10031</v>
      </c>
      <c r="B32" t="s">
        <v>23</v>
      </c>
      <c r="C32" t="s">
        <v>32</v>
      </c>
      <c r="D32" t="s">
        <v>40</v>
      </c>
      <c r="E32">
        <v>101765</v>
      </c>
      <c r="F32">
        <f ca="1">DATEDIF(Table1[[#This Row],[Hire Date]], TODAY(), "Y")</f>
        <v>13</v>
      </c>
      <c r="G32" s="7">
        <f ca="1">YEARFRAC(Table1[[#This Row],[Hire Date]], TODAY())</f>
        <v>13.66388888888889</v>
      </c>
      <c r="H32" s="7">
        <v>41052</v>
      </c>
      <c r="I32">
        <v>26</v>
      </c>
      <c r="J32" t="s">
        <v>43</v>
      </c>
      <c r="K32">
        <v>8</v>
      </c>
      <c r="L32" t="s">
        <v>44</v>
      </c>
      <c r="M32">
        <v>5782.17</v>
      </c>
      <c r="N32" t="s">
        <v>47</v>
      </c>
      <c r="O32" t="s">
        <v>52</v>
      </c>
      <c r="P32">
        <v>16</v>
      </c>
      <c r="Q32" t="s">
        <v>55</v>
      </c>
      <c r="R32" t="s">
        <v>60</v>
      </c>
      <c r="S32">
        <v>6</v>
      </c>
      <c r="T32">
        <v>2016</v>
      </c>
      <c r="U32" t="s">
        <v>64</v>
      </c>
      <c r="V32">
        <v>28</v>
      </c>
      <c r="W32">
        <v>3</v>
      </c>
    </row>
    <row r="33" spans="1:23" x14ac:dyDescent="0.35">
      <c r="A33">
        <v>10032</v>
      </c>
      <c r="B33" t="s">
        <v>28</v>
      </c>
      <c r="C33" t="s">
        <v>34</v>
      </c>
      <c r="D33" t="s">
        <v>36</v>
      </c>
      <c r="E33">
        <v>102413</v>
      </c>
      <c r="F33">
        <f ca="1">DATEDIF(Table1[[#This Row],[Hire Date]], TODAY(), "Y")</f>
        <v>8</v>
      </c>
      <c r="G33" s="7">
        <f ca="1">YEARFRAC(Table1[[#This Row],[Hire Date]], TODAY())</f>
        <v>8.2027777777777775</v>
      </c>
      <c r="H33" s="7">
        <v>43048</v>
      </c>
      <c r="I33">
        <v>31</v>
      </c>
      <c r="J33" t="s">
        <v>43</v>
      </c>
      <c r="K33">
        <v>5</v>
      </c>
      <c r="L33" t="s">
        <v>44</v>
      </c>
      <c r="M33">
        <v>9932.75</v>
      </c>
      <c r="N33" t="s">
        <v>46</v>
      </c>
      <c r="O33" t="s">
        <v>54</v>
      </c>
      <c r="P33">
        <v>10</v>
      </c>
      <c r="Q33" t="s">
        <v>55</v>
      </c>
      <c r="R33" t="s">
        <v>61</v>
      </c>
      <c r="S33">
        <v>13</v>
      </c>
      <c r="T33">
        <v>2017</v>
      </c>
      <c r="U33" t="s">
        <v>65</v>
      </c>
      <c r="V33">
        <v>194</v>
      </c>
      <c r="W33">
        <v>3.8</v>
      </c>
    </row>
    <row r="34" spans="1:23" x14ac:dyDescent="0.35">
      <c r="A34">
        <v>10033</v>
      </c>
      <c r="B34" t="s">
        <v>22</v>
      </c>
      <c r="C34" t="s">
        <v>29</v>
      </c>
      <c r="D34" t="s">
        <v>40</v>
      </c>
      <c r="E34">
        <v>63642</v>
      </c>
      <c r="F34">
        <f ca="1">DATEDIF(Table1[[#This Row],[Hire Date]], TODAY(), "Y")</f>
        <v>6</v>
      </c>
      <c r="G34" s="7">
        <f ca="1">YEARFRAC(Table1[[#This Row],[Hire Date]], TODAY())</f>
        <v>6.5027777777777782</v>
      </c>
      <c r="H34" s="7">
        <v>43667</v>
      </c>
      <c r="I34">
        <v>31</v>
      </c>
      <c r="J34" t="s">
        <v>43</v>
      </c>
      <c r="K34">
        <v>2</v>
      </c>
      <c r="L34" t="s">
        <v>45</v>
      </c>
      <c r="M34">
        <v>1877.71</v>
      </c>
      <c r="N34" t="s">
        <v>47</v>
      </c>
      <c r="O34" t="s">
        <v>52</v>
      </c>
      <c r="P34">
        <v>28</v>
      </c>
      <c r="Q34" t="s">
        <v>55</v>
      </c>
      <c r="R34" t="s">
        <v>62</v>
      </c>
      <c r="S34">
        <v>14</v>
      </c>
      <c r="T34">
        <v>2019</v>
      </c>
      <c r="U34" t="s">
        <v>65</v>
      </c>
      <c r="V34">
        <v>56</v>
      </c>
      <c r="W34">
        <v>1.8</v>
      </c>
    </row>
    <row r="35" spans="1:23" x14ac:dyDescent="0.35">
      <c r="A35">
        <v>10034</v>
      </c>
      <c r="B35" t="s">
        <v>26</v>
      </c>
      <c r="C35" t="s">
        <v>29</v>
      </c>
      <c r="D35" t="s">
        <v>36</v>
      </c>
      <c r="E35">
        <v>68311</v>
      </c>
      <c r="F35">
        <f ca="1">DATEDIF(Table1[[#This Row],[Hire Date]], TODAY(), "Y")</f>
        <v>12</v>
      </c>
      <c r="G35" s="7">
        <f ca="1">YEARFRAC(Table1[[#This Row],[Hire Date]], TODAY())</f>
        <v>12.394444444444444</v>
      </c>
      <c r="H35" s="7">
        <v>41516</v>
      </c>
      <c r="I35">
        <v>30</v>
      </c>
      <c r="J35" t="s">
        <v>43</v>
      </c>
      <c r="K35">
        <v>2</v>
      </c>
      <c r="L35" t="s">
        <v>45</v>
      </c>
      <c r="M35">
        <v>1446.41</v>
      </c>
      <c r="N35" t="s">
        <v>46</v>
      </c>
      <c r="O35" t="s">
        <v>54</v>
      </c>
      <c r="P35">
        <v>18</v>
      </c>
      <c r="Q35" t="s">
        <v>57</v>
      </c>
      <c r="R35" t="s">
        <v>61</v>
      </c>
      <c r="S35">
        <v>3</v>
      </c>
      <c r="T35">
        <v>2015</v>
      </c>
      <c r="U35" t="s">
        <v>65</v>
      </c>
      <c r="V35">
        <v>55</v>
      </c>
      <c r="W35">
        <v>2.2999999999999998</v>
      </c>
    </row>
    <row r="36" spans="1:23" x14ac:dyDescent="0.35">
      <c r="A36">
        <v>10035</v>
      </c>
      <c r="B36" t="s">
        <v>27</v>
      </c>
      <c r="C36" t="s">
        <v>34</v>
      </c>
      <c r="D36" t="s">
        <v>41</v>
      </c>
      <c r="E36">
        <v>62356</v>
      </c>
      <c r="F36">
        <f ca="1">DATEDIF(Table1[[#This Row],[Hire Date]], TODAY(), "Y")</f>
        <v>8</v>
      </c>
      <c r="G36" s="7">
        <f ca="1">YEARFRAC(Table1[[#This Row],[Hire Date]], TODAY())</f>
        <v>8.0666666666666664</v>
      </c>
      <c r="H36" s="7">
        <v>43097</v>
      </c>
      <c r="I36">
        <v>42</v>
      </c>
      <c r="J36" t="s">
        <v>43</v>
      </c>
      <c r="K36">
        <v>4</v>
      </c>
      <c r="L36" t="s">
        <v>45</v>
      </c>
      <c r="M36">
        <v>4663.8900000000003</v>
      </c>
      <c r="N36" t="s">
        <v>46</v>
      </c>
      <c r="O36" t="s">
        <v>51</v>
      </c>
      <c r="P36">
        <v>2</v>
      </c>
      <c r="Q36" t="s">
        <v>57</v>
      </c>
      <c r="R36" t="s">
        <v>62</v>
      </c>
      <c r="S36">
        <v>7</v>
      </c>
      <c r="T36">
        <v>2015</v>
      </c>
      <c r="U36" t="s">
        <v>64</v>
      </c>
      <c r="V36">
        <v>198</v>
      </c>
      <c r="W36">
        <v>2.7</v>
      </c>
    </row>
    <row r="37" spans="1:23" x14ac:dyDescent="0.35">
      <c r="A37">
        <v>10036</v>
      </c>
      <c r="B37" t="s">
        <v>23</v>
      </c>
      <c r="C37" t="s">
        <v>35</v>
      </c>
      <c r="D37" t="s">
        <v>38</v>
      </c>
      <c r="E37">
        <v>33809</v>
      </c>
      <c r="F37">
        <f ca="1">DATEDIF(Table1[[#This Row],[Hire Date]], TODAY(), "Y")</f>
        <v>20</v>
      </c>
      <c r="G37" s="7">
        <f ca="1">YEARFRAC(Table1[[#This Row],[Hire Date]], TODAY())</f>
        <v>20.727777777777778</v>
      </c>
      <c r="H37" s="7">
        <v>38472</v>
      </c>
      <c r="I37">
        <v>34</v>
      </c>
      <c r="J37" t="s">
        <v>43</v>
      </c>
      <c r="K37">
        <v>7</v>
      </c>
      <c r="L37" t="s">
        <v>45</v>
      </c>
      <c r="M37">
        <v>5851.65</v>
      </c>
      <c r="N37" t="s">
        <v>47</v>
      </c>
      <c r="O37" t="s">
        <v>50</v>
      </c>
      <c r="P37">
        <v>14</v>
      </c>
      <c r="Q37" t="s">
        <v>57</v>
      </c>
      <c r="R37" t="s">
        <v>63</v>
      </c>
      <c r="S37">
        <v>18</v>
      </c>
      <c r="T37">
        <v>2014</v>
      </c>
      <c r="U37" t="s">
        <v>65</v>
      </c>
      <c r="V37">
        <v>61</v>
      </c>
      <c r="W37">
        <v>4.2</v>
      </c>
    </row>
    <row r="38" spans="1:23" x14ac:dyDescent="0.35">
      <c r="A38">
        <v>10037</v>
      </c>
      <c r="B38" t="s">
        <v>22</v>
      </c>
      <c r="C38" t="s">
        <v>35</v>
      </c>
      <c r="D38" t="s">
        <v>38</v>
      </c>
      <c r="E38">
        <v>73371</v>
      </c>
      <c r="F38">
        <f ca="1">DATEDIF(Table1[[#This Row],[Hire Date]], TODAY(), "Y")</f>
        <v>11</v>
      </c>
      <c r="G38" s="7">
        <f ca="1">YEARFRAC(Table1[[#This Row],[Hire Date]], TODAY())</f>
        <v>11.811111111111112</v>
      </c>
      <c r="H38" s="7">
        <v>41729</v>
      </c>
      <c r="I38">
        <v>31</v>
      </c>
      <c r="J38" t="s">
        <v>42</v>
      </c>
      <c r="K38">
        <v>4</v>
      </c>
      <c r="L38" t="s">
        <v>45</v>
      </c>
      <c r="M38">
        <v>3296.61</v>
      </c>
      <c r="N38" t="s">
        <v>48</v>
      </c>
      <c r="O38" t="s">
        <v>52</v>
      </c>
      <c r="P38">
        <v>20</v>
      </c>
      <c r="Q38" t="s">
        <v>55</v>
      </c>
      <c r="R38" t="s">
        <v>61</v>
      </c>
      <c r="S38">
        <v>18</v>
      </c>
      <c r="T38">
        <v>2014</v>
      </c>
      <c r="U38" t="s">
        <v>66</v>
      </c>
      <c r="V38">
        <v>59</v>
      </c>
      <c r="W38">
        <v>3</v>
      </c>
    </row>
    <row r="39" spans="1:23" x14ac:dyDescent="0.35">
      <c r="A39">
        <v>10038</v>
      </c>
      <c r="B39" t="s">
        <v>28</v>
      </c>
      <c r="C39" t="s">
        <v>34</v>
      </c>
      <c r="D39" t="s">
        <v>39</v>
      </c>
      <c r="E39">
        <v>64875</v>
      </c>
      <c r="F39">
        <f ca="1">DATEDIF(Table1[[#This Row],[Hire Date]], TODAY(), "Y")</f>
        <v>25</v>
      </c>
      <c r="G39" s="7">
        <f ca="1">YEARFRAC(Table1[[#This Row],[Hire Date]], TODAY())</f>
        <v>25.533333333333335</v>
      </c>
      <c r="H39" s="7">
        <v>36717</v>
      </c>
      <c r="I39">
        <v>59</v>
      </c>
      <c r="J39" t="s">
        <v>43</v>
      </c>
      <c r="K39">
        <v>9</v>
      </c>
      <c r="L39" t="s">
        <v>44</v>
      </c>
      <c r="M39">
        <v>3373.96</v>
      </c>
      <c r="N39" t="s">
        <v>49</v>
      </c>
      <c r="O39" t="s">
        <v>50</v>
      </c>
      <c r="P39">
        <v>23</v>
      </c>
      <c r="Q39" t="s">
        <v>57</v>
      </c>
      <c r="R39" t="s">
        <v>58</v>
      </c>
      <c r="S39">
        <v>4</v>
      </c>
      <c r="T39">
        <v>2022</v>
      </c>
      <c r="U39" t="s">
        <v>66</v>
      </c>
      <c r="V39">
        <v>57</v>
      </c>
      <c r="W39">
        <v>3</v>
      </c>
    </row>
    <row r="40" spans="1:23" x14ac:dyDescent="0.35">
      <c r="A40">
        <v>10039</v>
      </c>
      <c r="B40" t="s">
        <v>28</v>
      </c>
      <c r="C40" t="s">
        <v>32</v>
      </c>
      <c r="D40" t="s">
        <v>37</v>
      </c>
      <c r="E40">
        <v>39465</v>
      </c>
      <c r="F40">
        <f ca="1">DATEDIF(Table1[[#This Row],[Hire Date]], TODAY(), "Y")</f>
        <v>25</v>
      </c>
      <c r="G40" s="7">
        <f ca="1">YEARFRAC(Table1[[#This Row],[Hire Date]], TODAY())</f>
        <v>25.95</v>
      </c>
      <c r="H40" s="7">
        <v>36566</v>
      </c>
      <c r="I40">
        <v>32</v>
      </c>
      <c r="J40" t="s">
        <v>43</v>
      </c>
      <c r="K40">
        <v>2</v>
      </c>
      <c r="L40" t="s">
        <v>45</v>
      </c>
      <c r="M40">
        <v>4532.53</v>
      </c>
      <c r="N40" t="s">
        <v>49</v>
      </c>
      <c r="O40" t="s">
        <v>52</v>
      </c>
      <c r="P40">
        <v>7</v>
      </c>
      <c r="Q40" t="s">
        <v>55</v>
      </c>
      <c r="R40" t="s">
        <v>59</v>
      </c>
      <c r="S40">
        <v>2</v>
      </c>
      <c r="T40">
        <v>2020</v>
      </c>
      <c r="U40" t="s">
        <v>65</v>
      </c>
      <c r="V40">
        <v>93</v>
      </c>
      <c r="W40">
        <v>2.7</v>
      </c>
    </row>
    <row r="41" spans="1:23" x14ac:dyDescent="0.35">
      <c r="A41">
        <v>10040</v>
      </c>
      <c r="B41" t="s">
        <v>24</v>
      </c>
      <c r="C41" t="s">
        <v>31</v>
      </c>
      <c r="D41" t="s">
        <v>39</v>
      </c>
      <c r="E41">
        <v>96095</v>
      </c>
      <c r="F41">
        <f ca="1">DATEDIF(Table1[[#This Row],[Hire Date]], TODAY(), "Y")</f>
        <v>9</v>
      </c>
      <c r="G41" s="7">
        <f ca="1">YEARFRAC(Table1[[#This Row],[Hire Date]], TODAY())</f>
        <v>9.6750000000000007</v>
      </c>
      <c r="H41" s="7">
        <v>42509</v>
      </c>
      <c r="I41">
        <v>25</v>
      </c>
      <c r="J41" t="s">
        <v>43</v>
      </c>
      <c r="K41">
        <v>6</v>
      </c>
      <c r="L41" t="s">
        <v>44</v>
      </c>
      <c r="M41">
        <v>3484.38</v>
      </c>
      <c r="N41" t="s">
        <v>47</v>
      </c>
      <c r="O41" t="s">
        <v>52</v>
      </c>
      <c r="P41">
        <v>14</v>
      </c>
      <c r="Q41" t="s">
        <v>56</v>
      </c>
      <c r="R41" t="s">
        <v>62</v>
      </c>
      <c r="S41">
        <v>9</v>
      </c>
      <c r="T41">
        <v>2017</v>
      </c>
      <c r="U41" t="s">
        <v>64</v>
      </c>
      <c r="V41">
        <v>23</v>
      </c>
      <c r="W41">
        <v>1.9</v>
      </c>
    </row>
    <row r="42" spans="1:23" x14ac:dyDescent="0.35">
      <c r="A42">
        <v>10041</v>
      </c>
      <c r="B42" t="s">
        <v>24</v>
      </c>
      <c r="C42" t="s">
        <v>35</v>
      </c>
      <c r="D42" t="s">
        <v>41</v>
      </c>
      <c r="E42">
        <v>103844</v>
      </c>
      <c r="F42">
        <f ca="1">DATEDIF(Table1[[#This Row],[Hire Date]], TODAY(), "Y")</f>
        <v>20</v>
      </c>
      <c r="G42" s="7">
        <f ca="1">YEARFRAC(Table1[[#This Row],[Hire Date]], TODAY())</f>
        <v>20.972222222222221</v>
      </c>
      <c r="H42" s="7">
        <v>38385</v>
      </c>
      <c r="I42">
        <v>52</v>
      </c>
      <c r="J42" t="s">
        <v>42</v>
      </c>
      <c r="K42">
        <v>4</v>
      </c>
      <c r="L42" t="s">
        <v>44</v>
      </c>
      <c r="M42">
        <v>9195.65</v>
      </c>
      <c r="N42" t="s">
        <v>46</v>
      </c>
      <c r="O42" t="s">
        <v>52</v>
      </c>
      <c r="P42">
        <v>37</v>
      </c>
      <c r="Q42" t="s">
        <v>57</v>
      </c>
      <c r="R42" t="s">
        <v>58</v>
      </c>
      <c r="S42">
        <v>14</v>
      </c>
      <c r="T42">
        <v>2014</v>
      </c>
      <c r="U42" t="s">
        <v>65</v>
      </c>
      <c r="V42">
        <v>113</v>
      </c>
      <c r="W42">
        <v>4.7</v>
      </c>
    </row>
    <row r="43" spans="1:23" x14ac:dyDescent="0.35">
      <c r="A43">
        <v>10042</v>
      </c>
      <c r="B43" t="s">
        <v>21</v>
      </c>
      <c r="C43" t="s">
        <v>33</v>
      </c>
      <c r="D43" t="s">
        <v>39</v>
      </c>
      <c r="E43">
        <v>95250</v>
      </c>
      <c r="F43">
        <f ca="1">DATEDIF(Table1[[#This Row],[Hire Date]], TODAY(), "Y")</f>
        <v>9</v>
      </c>
      <c r="G43" s="7">
        <f ca="1">YEARFRAC(Table1[[#This Row],[Hire Date]], TODAY())</f>
        <v>9.9277777777777771</v>
      </c>
      <c r="H43" s="7">
        <v>42418</v>
      </c>
      <c r="I43">
        <v>55</v>
      </c>
      <c r="J43" t="s">
        <v>43</v>
      </c>
      <c r="K43">
        <v>6</v>
      </c>
      <c r="L43" t="s">
        <v>45</v>
      </c>
      <c r="M43">
        <v>898.57</v>
      </c>
      <c r="N43" t="s">
        <v>49</v>
      </c>
      <c r="O43" t="s">
        <v>54</v>
      </c>
      <c r="P43">
        <v>8</v>
      </c>
      <c r="Q43" t="s">
        <v>56</v>
      </c>
      <c r="R43" t="s">
        <v>62</v>
      </c>
      <c r="S43">
        <v>1</v>
      </c>
      <c r="T43">
        <v>2015</v>
      </c>
      <c r="U43" t="s">
        <v>66</v>
      </c>
      <c r="V43">
        <v>145</v>
      </c>
      <c r="W43">
        <v>2.2999999999999998</v>
      </c>
    </row>
    <row r="44" spans="1:23" x14ac:dyDescent="0.35">
      <c r="A44">
        <v>10043</v>
      </c>
      <c r="B44" t="s">
        <v>26</v>
      </c>
      <c r="C44" t="s">
        <v>29</v>
      </c>
      <c r="D44" t="s">
        <v>38</v>
      </c>
      <c r="E44">
        <v>116889</v>
      </c>
      <c r="F44">
        <f ca="1">DATEDIF(Table1[[#This Row],[Hire Date]], TODAY(), "Y")</f>
        <v>22</v>
      </c>
      <c r="G44" s="7">
        <f ca="1">YEARFRAC(Table1[[#This Row],[Hire Date]], TODAY())</f>
        <v>22.408333333333335</v>
      </c>
      <c r="H44" s="7">
        <v>37858</v>
      </c>
      <c r="I44">
        <v>63</v>
      </c>
      <c r="J44" t="s">
        <v>43</v>
      </c>
      <c r="K44">
        <v>9</v>
      </c>
      <c r="L44" t="s">
        <v>44</v>
      </c>
      <c r="M44">
        <v>2728.42</v>
      </c>
      <c r="N44" t="s">
        <v>46</v>
      </c>
      <c r="O44" t="s">
        <v>53</v>
      </c>
      <c r="P44">
        <v>5</v>
      </c>
      <c r="Q44" t="s">
        <v>56</v>
      </c>
      <c r="R44" t="s">
        <v>58</v>
      </c>
      <c r="S44">
        <v>9</v>
      </c>
      <c r="T44">
        <v>2012</v>
      </c>
      <c r="U44" t="s">
        <v>64</v>
      </c>
      <c r="V44">
        <v>33</v>
      </c>
      <c r="W44">
        <v>3.3</v>
      </c>
    </row>
    <row r="45" spans="1:23" x14ac:dyDescent="0.35">
      <c r="A45">
        <v>10044</v>
      </c>
      <c r="B45" t="s">
        <v>25</v>
      </c>
      <c r="C45" t="s">
        <v>34</v>
      </c>
      <c r="D45" t="s">
        <v>37</v>
      </c>
      <c r="E45">
        <v>45250</v>
      </c>
      <c r="F45">
        <f ca="1">DATEDIF(Table1[[#This Row],[Hire Date]], TODAY(), "Y")</f>
        <v>16</v>
      </c>
      <c r="G45" s="7">
        <f ca="1">YEARFRAC(Table1[[#This Row],[Hire Date]], TODAY())</f>
        <v>16.613888888888887</v>
      </c>
      <c r="H45" s="7">
        <v>39975</v>
      </c>
      <c r="I45">
        <v>56</v>
      </c>
      <c r="J45" t="s">
        <v>42</v>
      </c>
      <c r="K45">
        <v>9</v>
      </c>
      <c r="L45" t="s">
        <v>44</v>
      </c>
      <c r="M45">
        <v>8181.25</v>
      </c>
      <c r="N45" t="s">
        <v>48</v>
      </c>
      <c r="O45" t="s">
        <v>54</v>
      </c>
      <c r="P45">
        <v>23</v>
      </c>
      <c r="Q45" t="s">
        <v>57</v>
      </c>
      <c r="R45" t="s">
        <v>63</v>
      </c>
      <c r="S45">
        <v>15</v>
      </c>
      <c r="T45">
        <v>2023</v>
      </c>
      <c r="U45" t="s">
        <v>65</v>
      </c>
      <c r="V45">
        <v>138</v>
      </c>
      <c r="W45">
        <v>1.6</v>
      </c>
    </row>
    <row r="46" spans="1:23" x14ac:dyDescent="0.35">
      <c r="A46">
        <v>10045</v>
      </c>
      <c r="B46" t="s">
        <v>22</v>
      </c>
      <c r="C46" t="s">
        <v>33</v>
      </c>
      <c r="D46" t="s">
        <v>41</v>
      </c>
      <c r="E46">
        <v>76023</v>
      </c>
      <c r="F46">
        <f ca="1">DATEDIF(Table1[[#This Row],[Hire Date]], TODAY(), "Y")</f>
        <v>25</v>
      </c>
      <c r="G46" s="7">
        <f ca="1">YEARFRAC(Table1[[#This Row],[Hire Date]], TODAY())</f>
        <v>25.68611111111111</v>
      </c>
      <c r="H46" s="7">
        <v>36661</v>
      </c>
      <c r="I46">
        <v>60</v>
      </c>
      <c r="J46" t="s">
        <v>42</v>
      </c>
      <c r="K46">
        <v>9</v>
      </c>
      <c r="L46" t="s">
        <v>45</v>
      </c>
      <c r="M46">
        <v>8422.6</v>
      </c>
      <c r="N46" t="s">
        <v>47</v>
      </c>
      <c r="O46" t="s">
        <v>53</v>
      </c>
      <c r="P46">
        <v>10</v>
      </c>
      <c r="Q46" t="s">
        <v>57</v>
      </c>
      <c r="R46" t="s">
        <v>63</v>
      </c>
      <c r="S46">
        <v>2</v>
      </c>
      <c r="T46">
        <v>2014</v>
      </c>
      <c r="U46" t="s">
        <v>65</v>
      </c>
      <c r="V46">
        <v>124</v>
      </c>
      <c r="W46">
        <v>2.7</v>
      </c>
    </row>
    <row r="47" spans="1:23" x14ac:dyDescent="0.35">
      <c r="A47">
        <v>10046</v>
      </c>
      <c r="B47" t="s">
        <v>22</v>
      </c>
      <c r="C47" t="s">
        <v>34</v>
      </c>
      <c r="D47" t="s">
        <v>38</v>
      </c>
      <c r="E47">
        <v>76624</v>
      </c>
      <c r="F47">
        <f ca="1">DATEDIF(Table1[[#This Row],[Hire Date]], TODAY(), "Y")</f>
        <v>9</v>
      </c>
      <c r="G47" s="7">
        <f ca="1">YEARFRAC(Table1[[#This Row],[Hire Date]], TODAY())</f>
        <v>9.8777777777777782</v>
      </c>
      <c r="H47" s="7">
        <v>42435</v>
      </c>
      <c r="I47">
        <v>60</v>
      </c>
      <c r="J47" t="s">
        <v>43</v>
      </c>
      <c r="K47">
        <v>9</v>
      </c>
      <c r="L47" t="s">
        <v>45</v>
      </c>
      <c r="M47">
        <v>1559.77</v>
      </c>
      <c r="N47" t="s">
        <v>48</v>
      </c>
      <c r="O47" t="s">
        <v>54</v>
      </c>
      <c r="P47">
        <v>27</v>
      </c>
      <c r="Q47" t="s">
        <v>56</v>
      </c>
      <c r="R47" t="s">
        <v>60</v>
      </c>
      <c r="S47">
        <v>6</v>
      </c>
      <c r="T47">
        <v>2023</v>
      </c>
      <c r="U47" t="s">
        <v>64</v>
      </c>
      <c r="V47">
        <v>133</v>
      </c>
      <c r="W47">
        <v>4.5999999999999996</v>
      </c>
    </row>
    <row r="48" spans="1:23" x14ac:dyDescent="0.35">
      <c r="A48">
        <v>10047</v>
      </c>
      <c r="B48" t="s">
        <v>25</v>
      </c>
      <c r="C48" t="s">
        <v>30</v>
      </c>
      <c r="D48" t="s">
        <v>36</v>
      </c>
      <c r="E48">
        <v>46427</v>
      </c>
      <c r="F48">
        <f ca="1">DATEDIF(Table1[[#This Row],[Hire Date]], TODAY(), "Y")</f>
        <v>14</v>
      </c>
      <c r="G48" s="7">
        <f ca="1">YEARFRAC(Table1[[#This Row],[Hire Date]], TODAY())</f>
        <v>14.552777777777777</v>
      </c>
      <c r="H48" s="7">
        <v>40727</v>
      </c>
      <c r="I48">
        <v>54</v>
      </c>
      <c r="J48" t="s">
        <v>42</v>
      </c>
      <c r="K48">
        <v>3</v>
      </c>
      <c r="L48" t="s">
        <v>44</v>
      </c>
      <c r="M48">
        <v>9750.75</v>
      </c>
      <c r="N48" t="s">
        <v>46</v>
      </c>
      <c r="O48" t="s">
        <v>53</v>
      </c>
      <c r="P48">
        <v>35</v>
      </c>
      <c r="Q48" t="s">
        <v>56</v>
      </c>
      <c r="R48" t="s">
        <v>60</v>
      </c>
      <c r="S48">
        <v>18</v>
      </c>
      <c r="T48">
        <v>2018</v>
      </c>
      <c r="U48" t="s">
        <v>64</v>
      </c>
      <c r="V48">
        <v>156</v>
      </c>
      <c r="W48">
        <v>5</v>
      </c>
    </row>
    <row r="49" spans="1:23" x14ac:dyDescent="0.35">
      <c r="A49">
        <v>10048</v>
      </c>
      <c r="B49" t="s">
        <v>21</v>
      </c>
      <c r="C49" t="s">
        <v>29</v>
      </c>
      <c r="D49" t="s">
        <v>40</v>
      </c>
      <c r="E49">
        <v>63276</v>
      </c>
      <c r="F49">
        <f ca="1">DATEDIF(Table1[[#This Row],[Hire Date]], TODAY(), "Y")</f>
        <v>13</v>
      </c>
      <c r="G49" s="7">
        <f ca="1">YEARFRAC(Table1[[#This Row],[Hire Date]], TODAY())</f>
        <v>13.425000000000001</v>
      </c>
      <c r="H49" s="7">
        <v>41140</v>
      </c>
      <c r="I49">
        <v>29</v>
      </c>
      <c r="J49" t="s">
        <v>42</v>
      </c>
      <c r="K49">
        <v>9</v>
      </c>
      <c r="L49" t="s">
        <v>44</v>
      </c>
      <c r="M49">
        <v>7086.87</v>
      </c>
      <c r="N49" t="s">
        <v>46</v>
      </c>
      <c r="O49" t="s">
        <v>52</v>
      </c>
      <c r="P49">
        <v>1</v>
      </c>
      <c r="Q49" t="s">
        <v>56</v>
      </c>
      <c r="R49" t="s">
        <v>60</v>
      </c>
      <c r="S49">
        <v>14</v>
      </c>
      <c r="T49">
        <v>2012</v>
      </c>
      <c r="U49" t="s">
        <v>66</v>
      </c>
      <c r="V49">
        <v>78</v>
      </c>
      <c r="W49">
        <v>2.4</v>
      </c>
    </row>
    <row r="50" spans="1:23" x14ac:dyDescent="0.35">
      <c r="A50">
        <v>10049</v>
      </c>
      <c r="B50" t="s">
        <v>27</v>
      </c>
      <c r="C50" t="s">
        <v>29</v>
      </c>
      <c r="D50" t="s">
        <v>41</v>
      </c>
      <c r="E50">
        <v>101643</v>
      </c>
      <c r="F50">
        <f ca="1">DATEDIF(Table1[[#This Row],[Hire Date]], TODAY(), "Y")</f>
        <v>20</v>
      </c>
      <c r="G50" s="7">
        <f ca="1">YEARFRAC(Table1[[#This Row],[Hire Date]], TODAY())</f>
        <v>20.741666666666667</v>
      </c>
      <c r="H50" s="7">
        <v>38467</v>
      </c>
      <c r="I50">
        <v>53</v>
      </c>
      <c r="J50" t="s">
        <v>43</v>
      </c>
      <c r="K50">
        <v>3</v>
      </c>
      <c r="L50" t="s">
        <v>44</v>
      </c>
      <c r="M50">
        <v>3089.63</v>
      </c>
      <c r="N50" t="s">
        <v>47</v>
      </c>
      <c r="O50" t="s">
        <v>52</v>
      </c>
      <c r="P50">
        <v>7</v>
      </c>
      <c r="Q50" t="s">
        <v>55</v>
      </c>
      <c r="R50" t="s">
        <v>61</v>
      </c>
      <c r="S50">
        <v>11</v>
      </c>
      <c r="T50">
        <v>2017</v>
      </c>
      <c r="U50" t="s">
        <v>65</v>
      </c>
      <c r="V50">
        <v>103</v>
      </c>
      <c r="W50">
        <v>1.6</v>
      </c>
    </row>
    <row r="51" spans="1:23" x14ac:dyDescent="0.35">
      <c r="A51">
        <v>10050</v>
      </c>
      <c r="B51" t="s">
        <v>27</v>
      </c>
      <c r="C51" t="s">
        <v>35</v>
      </c>
      <c r="D51" t="s">
        <v>37</v>
      </c>
      <c r="E51">
        <v>109012</v>
      </c>
      <c r="F51">
        <f ca="1">DATEDIF(Table1[[#This Row],[Hire Date]], TODAY(), "Y")</f>
        <v>7</v>
      </c>
      <c r="G51" s="7">
        <f ca="1">YEARFRAC(Table1[[#This Row],[Hire Date]], TODAY())</f>
        <v>7.0111111111111111</v>
      </c>
      <c r="H51" s="7">
        <v>43483</v>
      </c>
      <c r="I51">
        <v>54</v>
      </c>
      <c r="J51" t="s">
        <v>43</v>
      </c>
      <c r="K51">
        <v>3</v>
      </c>
      <c r="L51" t="s">
        <v>44</v>
      </c>
      <c r="M51">
        <v>4832.3599999999997</v>
      </c>
      <c r="N51" t="s">
        <v>46</v>
      </c>
      <c r="O51" t="s">
        <v>53</v>
      </c>
      <c r="P51">
        <v>8</v>
      </c>
      <c r="Q51" t="s">
        <v>56</v>
      </c>
      <c r="R51" t="s">
        <v>62</v>
      </c>
      <c r="S51">
        <v>1</v>
      </c>
      <c r="T51">
        <v>2020</v>
      </c>
      <c r="U51" t="s">
        <v>66</v>
      </c>
      <c r="V51">
        <v>10</v>
      </c>
      <c r="W51">
        <v>2.2999999999999998</v>
      </c>
    </row>
    <row r="52" spans="1:23" x14ac:dyDescent="0.35">
      <c r="A52">
        <v>10051</v>
      </c>
      <c r="B52" t="s">
        <v>21</v>
      </c>
      <c r="C52" t="s">
        <v>35</v>
      </c>
      <c r="D52" t="s">
        <v>39</v>
      </c>
      <c r="E52">
        <v>33439</v>
      </c>
      <c r="F52">
        <f ca="1">DATEDIF(Table1[[#This Row],[Hire Date]], TODAY(), "Y")</f>
        <v>21</v>
      </c>
      <c r="G52" s="7">
        <f ca="1">YEARFRAC(Table1[[#This Row],[Hire Date]], TODAY())</f>
        <v>21.772222222222222</v>
      </c>
      <c r="H52" s="7">
        <v>38091</v>
      </c>
      <c r="I52">
        <v>29</v>
      </c>
      <c r="J52" t="s">
        <v>43</v>
      </c>
      <c r="K52">
        <v>5</v>
      </c>
      <c r="L52" t="s">
        <v>44</v>
      </c>
      <c r="M52">
        <v>3322.82</v>
      </c>
      <c r="N52" t="s">
        <v>47</v>
      </c>
      <c r="O52" t="s">
        <v>53</v>
      </c>
      <c r="P52">
        <v>11</v>
      </c>
      <c r="Q52" t="s">
        <v>55</v>
      </c>
      <c r="R52" t="s">
        <v>61</v>
      </c>
      <c r="S52">
        <v>12</v>
      </c>
      <c r="T52">
        <v>2016</v>
      </c>
      <c r="U52" t="s">
        <v>66</v>
      </c>
      <c r="V52">
        <v>180</v>
      </c>
      <c r="W52">
        <v>2.2999999999999998</v>
      </c>
    </row>
    <row r="53" spans="1:23" x14ac:dyDescent="0.35">
      <c r="A53">
        <v>10052</v>
      </c>
      <c r="B53" t="s">
        <v>27</v>
      </c>
      <c r="C53" t="s">
        <v>33</v>
      </c>
      <c r="D53" t="s">
        <v>39</v>
      </c>
      <c r="E53">
        <v>115848</v>
      </c>
      <c r="F53">
        <f ca="1">DATEDIF(Table1[[#This Row],[Hire Date]], TODAY(), "Y")</f>
        <v>14</v>
      </c>
      <c r="G53" s="7">
        <f ca="1">YEARFRAC(Table1[[#This Row],[Hire Date]], TODAY())</f>
        <v>14.497222222222222</v>
      </c>
      <c r="H53" s="7">
        <v>40747</v>
      </c>
      <c r="I53">
        <v>35</v>
      </c>
      <c r="J53" t="s">
        <v>42</v>
      </c>
      <c r="K53">
        <v>6</v>
      </c>
      <c r="L53" t="s">
        <v>45</v>
      </c>
      <c r="M53">
        <v>1925.21</v>
      </c>
      <c r="N53" t="s">
        <v>47</v>
      </c>
      <c r="O53" t="s">
        <v>50</v>
      </c>
      <c r="P53">
        <v>34</v>
      </c>
      <c r="Q53" t="s">
        <v>57</v>
      </c>
      <c r="R53" t="s">
        <v>60</v>
      </c>
      <c r="S53">
        <v>19</v>
      </c>
      <c r="T53">
        <v>2013</v>
      </c>
      <c r="U53" t="s">
        <v>64</v>
      </c>
      <c r="V53">
        <v>152</v>
      </c>
      <c r="W53">
        <v>3.6</v>
      </c>
    </row>
    <row r="54" spans="1:23" x14ac:dyDescent="0.35">
      <c r="A54">
        <v>10053</v>
      </c>
      <c r="B54" t="s">
        <v>24</v>
      </c>
      <c r="C54" t="s">
        <v>30</v>
      </c>
      <c r="D54" t="s">
        <v>41</v>
      </c>
      <c r="E54">
        <v>117331</v>
      </c>
      <c r="F54">
        <f ca="1">DATEDIF(Table1[[#This Row],[Hire Date]], TODAY(), "Y")</f>
        <v>8</v>
      </c>
      <c r="G54" s="7">
        <f ca="1">YEARFRAC(Table1[[#This Row],[Hire Date]], TODAY())</f>
        <v>8.1444444444444439</v>
      </c>
      <c r="H54" s="7">
        <v>43069</v>
      </c>
      <c r="I54">
        <v>55</v>
      </c>
      <c r="J54" t="s">
        <v>43</v>
      </c>
      <c r="K54">
        <v>9</v>
      </c>
      <c r="L54" t="s">
        <v>45</v>
      </c>
      <c r="M54">
        <v>3266.19</v>
      </c>
      <c r="N54" t="s">
        <v>48</v>
      </c>
      <c r="O54" t="s">
        <v>52</v>
      </c>
      <c r="P54">
        <v>28</v>
      </c>
      <c r="Q54" t="s">
        <v>56</v>
      </c>
      <c r="R54" t="s">
        <v>62</v>
      </c>
      <c r="S54">
        <v>18</v>
      </c>
      <c r="T54">
        <v>2014</v>
      </c>
      <c r="U54" t="s">
        <v>65</v>
      </c>
      <c r="V54">
        <v>80</v>
      </c>
      <c r="W54">
        <v>3</v>
      </c>
    </row>
    <row r="55" spans="1:23" x14ac:dyDescent="0.35">
      <c r="A55">
        <v>10054</v>
      </c>
      <c r="B55" t="s">
        <v>22</v>
      </c>
      <c r="C55" t="s">
        <v>34</v>
      </c>
      <c r="D55" t="s">
        <v>37</v>
      </c>
      <c r="E55">
        <v>108672</v>
      </c>
      <c r="F55">
        <f ca="1">DATEDIF(Table1[[#This Row],[Hire Date]], TODAY(), "Y")</f>
        <v>9</v>
      </c>
      <c r="G55" s="7">
        <f ca="1">YEARFRAC(Table1[[#This Row],[Hire Date]], TODAY())</f>
        <v>9.0250000000000004</v>
      </c>
      <c r="H55" s="7">
        <v>42748</v>
      </c>
      <c r="I55">
        <v>29</v>
      </c>
      <c r="J55" t="s">
        <v>42</v>
      </c>
      <c r="K55">
        <v>1</v>
      </c>
      <c r="L55" t="s">
        <v>45</v>
      </c>
      <c r="M55">
        <v>6010.87</v>
      </c>
      <c r="N55" t="s">
        <v>49</v>
      </c>
      <c r="O55" t="s">
        <v>54</v>
      </c>
      <c r="P55">
        <v>34</v>
      </c>
      <c r="Q55" t="s">
        <v>57</v>
      </c>
      <c r="R55" t="s">
        <v>61</v>
      </c>
      <c r="S55">
        <v>6</v>
      </c>
      <c r="T55">
        <v>2017</v>
      </c>
      <c r="U55" t="s">
        <v>66</v>
      </c>
      <c r="V55">
        <v>71</v>
      </c>
      <c r="W55">
        <v>4.0999999999999996</v>
      </c>
    </row>
    <row r="56" spans="1:23" x14ac:dyDescent="0.35">
      <c r="A56">
        <v>10055</v>
      </c>
      <c r="B56" t="s">
        <v>21</v>
      </c>
      <c r="C56" t="s">
        <v>30</v>
      </c>
      <c r="D56" t="s">
        <v>41</v>
      </c>
      <c r="E56">
        <v>109703</v>
      </c>
      <c r="F56">
        <f ca="1">DATEDIF(Table1[[#This Row],[Hire Date]], TODAY(), "Y")</f>
        <v>24</v>
      </c>
      <c r="G56" s="7">
        <f ca="1">YEARFRAC(Table1[[#This Row],[Hire Date]], TODAY())</f>
        <v>24.997222222222224</v>
      </c>
      <c r="H56" s="7">
        <v>36914</v>
      </c>
      <c r="I56">
        <v>63</v>
      </c>
      <c r="J56" t="s">
        <v>43</v>
      </c>
      <c r="K56">
        <v>8</v>
      </c>
      <c r="L56" t="s">
        <v>45</v>
      </c>
      <c r="M56">
        <v>8346.7099999999991</v>
      </c>
      <c r="N56" t="s">
        <v>49</v>
      </c>
      <c r="O56" t="s">
        <v>50</v>
      </c>
      <c r="P56">
        <v>20</v>
      </c>
      <c r="Q56" t="s">
        <v>56</v>
      </c>
      <c r="R56" t="s">
        <v>63</v>
      </c>
      <c r="S56">
        <v>2</v>
      </c>
      <c r="T56">
        <v>2019</v>
      </c>
      <c r="U56" t="s">
        <v>66</v>
      </c>
      <c r="V56">
        <v>187</v>
      </c>
      <c r="W56">
        <v>3.8</v>
      </c>
    </row>
    <row r="57" spans="1:23" x14ac:dyDescent="0.35">
      <c r="A57">
        <v>10056</v>
      </c>
      <c r="B57" t="s">
        <v>22</v>
      </c>
      <c r="C57" t="s">
        <v>29</v>
      </c>
      <c r="D57" t="s">
        <v>37</v>
      </c>
      <c r="E57">
        <v>47300</v>
      </c>
      <c r="F57">
        <f ca="1">DATEDIF(Table1[[#This Row],[Hire Date]], TODAY(), "Y")</f>
        <v>21</v>
      </c>
      <c r="G57" s="7">
        <f ca="1">YEARFRAC(Table1[[#This Row],[Hire Date]], TODAY())</f>
        <v>21.791666666666668</v>
      </c>
      <c r="H57" s="7">
        <v>38084</v>
      </c>
      <c r="I57">
        <v>28</v>
      </c>
      <c r="J57" t="s">
        <v>42</v>
      </c>
      <c r="K57">
        <v>4</v>
      </c>
      <c r="L57" t="s">
        <v>44</v>
      </c>
      <c r="M57">
        <v>3953.53</v>
      </c>
      <c r="N57" t="s">
        <v>46</v>
      </c>
      <c r="O57" t="s">
        <v>53</v>
      </c>
      <c r="P57">
        <v>28</v>
      </c>
      <c r="Q57" t="s">
        <v>57</v>
      </c>
      <c r="R57" t="s">
        <v>62</v>
      </c>
      <c r="S57">
        <v>5</v>
      </c>
      <c r="T57">
        <v>2016</v>
      </c>
      <c r="U57" t="s">
        <v>64</v>
      </c>
      <c r="V57">
        <v>22</v>
      </c>
      <c r="W57">
        <v>2</v>
      </c>
    </row>
    <row r="58" spans="1:23" x14ac:dyDescent="0.35">
      <c r="A58">
        <v>10057</v>
      </c>
      <c r="B58" t="s">
        <v>25</v>
      </c>
      <c r="C58" t="s">
        <v>33</v>
      </c>
      <c r="D58" t="s">
        <v>39</v>
      </c>
      <c r="E58">
        <v>90289</v>
      </c>
      <c r="F58">
        <f ca="1">DATEDIF(Table1[[#This Row],[Hire Date]], TODAY(), "Y")</f>
        <v>10</v>
      </c>
      <c r="G58" s="7">
        <f ca="1">YEARFRAC(Table1[[#This Row],[Hire Date]], TODAY())</f>
        <v>10.122222222222222</v>
      </c>
      <c r="H58" s="7">
        <v>42346</v>
      </c>
      <c r="I58">
        <v>34</v>
      </c>
      <c r="J58" t="s">
        <v>43</v>
      </c>
      <c r="K58">
        <v>7</v>
      </c>
      <c r="L58" t="s">
        <v>45</v>
      </c>
      <c r="M58">
        <v>3805.06</v>
      </c>
      <c r="N58" t="s">
        <v>49</v>
      </c>
      <c r="O58" t="s">
        <v>54</v>
      </c>
      <c r="P58">
        <v>37</v>
      </c>
      <c r="Q58" t="s">
        <v>56</v>
      </c>
      <c r="R58" t="s">
        <v>60</v>
      </c>
      <c r="S58">
        <v>0</v>
      </c>
      <c r="T58">
        <v>2019</v>
      </c>
      <c r="U58" t="s">
        <v>65</v>
      </c>
      <c r="V58">
        <v>25</v>
      </c>
      <c r="W58">
        <v>4.0999999999999996</v>
      </c>
    </row>
    <row r="59" spans="1:23" x14ac:dyDescent="0.35">
      <c r="A59">
        <v>10058</v>
      </c>
      <c r="B59" t="s">
        <v>28</v>
      </c>
      <c r="C59" t="s">
        <v>31</v>
      </c>
      <c r="D59" t="s">
        <v>38</v>
      </c>
      <c r="E59">
        <v>47182</v>
      </c>
      <c r="F59">
        <f ca="1">DATEDIF(Table1[[#This Row],[Hire Date]], TODAY(), "Y")</f>
        <v>20</v>
      </c>
      <c r="G59" s="7">
        <f ca="1">YEARFRAC(Table1[[#This Row],[Hire Date]], TODAY())</f>
        <v>20.25</v>
      </c>
      <c r="H59" s="7">
        <v>38647</v>
      </c>
      <c r="I59">
        <v>42</v>
      </c>
      <c r="J59" t="s">
        <v>42</v>
      </c>
      <c r="K59">
        <v>6</v>
      </c>
      <c r="L59" t="s">
        <v>45</v>
      </c>
      <c r="M59">
        <v>4946.01</v>
      </c>
      <c r="N59" t="s">
        <v>46</v>
      </c>
      <c r="O59" t="s">
        <v>51</v>
      </c>
      <c r="P59">
        <v>3</v>
      </c>
      <c r="Q59" t="s">
        <v>55</v>
      </c>
      <c r="R59" t="s">
        <v>63</v>
      </c>
      <c r="S59">
        <v>1</v>
      </c>
      <c r="T59">
        <v>2019</v>
      </c>
      <c r="U59" t="s">
        <v>65</v>
      </c>
      <c r="V59">
        <v>196</v>
      </c>
      <c r="W59">
        <v>4.4000000000000004</v>
      </c>
    </row>
    <row r="60" spans="1:23" x14ac:dyDescent="0.35">
      <c r="A60">
        <v>10059</v>
      </c>
      <c r="B60" t="s">
        <v>24</v>
      </c>
      <c r="C60" t="s">
        <v>33</v>
      </c>
      <c r="D60" t="s">
        <v>36</v>
      </c>
      <c r="E60">
        <v>100507</v>
      </c>
      <c r="F60">
        <f ca="1">DATEDIF(Table1[[#This Row],[Hire Date]], TODAY(), "Y")</f>
        <v>23</v>
      </c>
      <c r="G60" s="7">
        <f ca="1">YEARFRAC(Table1[[#This Row],[Hire Date]], TODAY())</f>
        <v>23.241666666666667</v>
      </c>
      <c r="H60" s="7">
        <v>37554</v>
      </c>
      <c r="I60">
        <v>53</v>
      </c>
      <c r="J60" t="s">
        <v>43</v>
      </c>
      <c r="K60">
        <v>6</v>
      </c>
      <c r="L60" t="s">
        <v>44</v>
      </c>
      <c r="M60">
        <v>6623.28</v>
      </c>
      <c r="N60" t="s">
        <v>49</v>
      </c>
      <c r="O60" t="s">
        <v>51</v>
      </c>
      <c r="P60">
        <v>9</v>
      </c>
      <c r="Q60" t="s">
        <v>57</v>
      </c>
      <c r="R60" t="s">
        <v>62</v>
      </c>
      <c r="S60">
        <v>0</v>
      </c>
      <c r="T60">
        <v>2011</v>
      </c>
      <c r="U60" t="s">
        <v>66</v>
      </c>
      <c r="V60">
        <v>169</v>
      </c>
      <c r="W60">
        <v>3.4</v>
      </c>
    </row>
    <row r="61" spans="1:23" x14ac:dyDescent="0.35">
      <c r="A61">
        <v>10060</v>
      </c>
      <c r="B61" t="s">
        <v>23</v>
      </c>
      <c r="C61" t="s">
        <v>32</v>
      </c>
      <c r="D61" t="s">
        <v>38</v>
      </c>
      <c r="E61">
        <v>80912</v>
      </c>
      <c r="F61">
        <f ca="1">DATEDIF(Table1[[#This Row],[Hire Date]], TODAY(), "Y")</f>
        <v>9</v>
      </c>
      <c r="G61" s="7">
        <f ca="1">YEARFRAC(Table1[[#This Row],[Hire Date]], TODAY())</f>
        <v>9.5250000000000004</v>
      </c>
      <c r="H61" s="7">
        <v>42564</v>
      </c>
      <c r="I61">
        <v>32</v>
      </c>
      <c r="J61" t="s">
        <v>43</v>
      </c>
      <c r="K61">
        <v>7</v>
      </c>
      <c r="L61" t="s">
        <v>44</v>
      </c>
      <c r="M61">
        <v>7640.35</v>
      </c>
      <c r="N61" t="s">
        <v>48</v>
      </c>
      <c r="O61" t="s">
        <v>51</v>
      </c>
      <c r="P61">
        <v>22</v>
      </c>
      <c r="Q61" t="s">
        <v>57</v>
      </c>
      <c r="R61" t="s">
        <v>61</v>
      </c>
      <c r="S61">
        <v>3</v>
      </c>
      <c r="T61">
        <v>2017</v>
      </c>
      <c r="U61" t="s">
        <v>64</v>
      </c>
      <c r="V61">
        <v>23</v>
      </c>
      <c r="W61">
        <v>4.7</v>
      </c>
    </row>
    <row r="62" spans="1:23" x14ac:dyDescent="0.35">
      <c r="A62">
        <v>10061</v>
      </c>
      <c r="B62" t="s">
        <v>24</v>
      </c>
      <c r="C62" t="s">
        <v>33</v>
      </c>
      <c r="D62" t="s">
        <v>36</v>
      </c>
      <c r="E62">
        <v>56909</v>
      </c>
      <c r="F62">
        <f ca="1">DATEDIF(Table1[[#This Row],[Hire Date]], TODAY(), "Y")</f>
        <v>16</v>
      </c>
      <c r="G62" s="7">
        <f ca="1">YEARFRAC(Table1[[#This Row],[Hire Date]], TODAY())</f>
        <v>16.383333333333333</v>
      </c>
      <c r="H62" s="7">
        <v>40060</v>
      </c>
      <c r="I62">
        <v>35</v>
      </c>
      <c r="J62" t="s">
        <v>43</v>
      </c>
      <c r="K62">
        <v>4</v>
      </c>
      <c r="L62" t="s">
        <v>44</v>
      </c>
      <c r="M62">
        <v>3604.6</v>
      </c>
      <c r="N62" t="s">
        <v>49</v>
      </c>
      <c r="O62" t="s">
        <v>54</v>
      </c>
      <c r="P62">
        <v>25</v>
      </c>
      <c r="Q62" t="s">
        <v>56</v>
      </c>
      <c r="R62" t="s">
        <v>59</v>
      </c>
      <c r="S62">
        <v>4</v>
      </c>
      <c r="T62">
        <v>2017</v>
      </c>
      <c r="U62" t="s">
        <v>65</v>
      </c>
      <c r="V62">
        <v>60</v>
      </c>
      <c r="W62">
        <v>4.0999999999999996</v>
      </c>
    </row>
    <row r="63" spans="1:23" x14ac:dyDescent="0.35">
      <c r="A63">
        <v>10062</v>
      </c>
      <c r="B63" t="s">
        <v>21</v>
      </c>
      <c r="C63" t="s">
        <v>30</v>
      </c>
      <c r="D63" t="s">
        <v>39</v>
      </c>
      <c r="E63">
        <v>49659</v>
      </c>
      <c r="F63">
        <f ca="1">DATEDIF(Table1[[#This Row],[Hire Date]], TODAY(), "Y")</f>
        <v>25</v>
      </c>
      <c r="G63" s="7">
        <f ca="1">YEARFRAC(Table1[[#This Row],[Hire Date]], TODAY())</f>
        <v>25.833333333333332</v>
      </c>
      <c r="H63" s="7">
        <v>36607</v>
      </c>
      <c r="I63">
        <v>32</v>
      </c>
      <c r="J63" t="s">
        <v>42</v>
      </c>
      <c r="K63">
        <v>6</v>
      </c>
      <c r="L63" t="s">
        <v>45</v>
      </c>
      <c r="M63">
        <v>6070.35</v>
      </c>
      <c r="N63" t="s">
        <v>46</v>
      </c>
      <c r="O63" t="s">
        <v>53</v>
      </c>
      <c r="P63">
        <v>2</v>
      </c>
      <c r="Q63" t="s">
        <v>55</v>
      </c>
      <c r="R63" t="s">
        <v>59</v>
      </c>
      <c r="S63">
        <v>1</v>
      </c>
      <c r="T63">
        <v>2018</v>
      </c>
      <c r="U63" t="s">
        <v>65</v>
      </c>
      <c r="V63">
        <v>194</v>
      </c>
      <c r="W63">
        <v>3.4</v>
      </c>
    </row>
    <row r="64" spans="1:23" x14ac:dyDescent="0.35">
      <c r="A64">
        <v>10063</v>
      </c>
      <c r="B64" t="s">
        <v>23</v>
      </c>
      <c r="C64" t="s">
        <v>32</v>
      </c>
      <c r="D64" t="s">
        <v>38</v>
      </c>
      <c r="E64">
        <v>61403</v>
      </c>
      <c r="F64">
        <f ca="1">DATEDIF(Table1[[#This Row],[Hire Date]], TODAY(), "Y")</f>
        <v>10</v>
      </c>
      <c r="G64" s="7">
        <f ca="1">YEARFRAC(Table1[[#This Row],[Hire Date]], TODAY())</f>
        <v>10.569444444444445</v>
      </c>
      <c r="H64" s="7">
        <v>42182</v>
      </c>
      <c r="I64">
        <v>23</v>
      </c>
      <c r="J64" t="s">
        <v>42</v>
      </c>
      <c r="K64">
        <v>3</v>
      </c>
      <c r="L64" t="s">
        <v>45</v>
      </c>
      <c r="M64">
        <v>4198.93</v>
      </c>
      <c r="N64" t="s">
        <v>46</v>
      </c>
      <c r="O64" t="s">
        <v>54</v>
      </c>
      <c r="P64">
        <v>23</v>
      </c>
      <c r="Q64" t="s">
        <v>55</v>
      </c>
      <c r="R64" t="s">
        <v>60</v>
      </c>
      <c r="S64">
        <v>15</v>
      </c>
      <c r="T64">
        <v>2011</v>
      </c>
      <c r="U64" t="s">
        <v>66</v>
      </c>
      <c r="V64">
        <v>22</v>
      </c>
      <c r="W64">
        <v>4.5999999999999996</v>
      </c>
    </row>
    <row r="65" spans="1:23" x14ac:dyDescent="0.35">
      <c r="A65">
        <v>10064</v>
      </c>
      <c r="B65" t="s">
        <v>28</v>
      </c>
      <c r="C65" t="s">
        <v>32</v>
      </c>
      <c r="D65" t="s">
        <v>38</v>
      </c>
      <c r="E65">
        <v>63586</v>
      </c>
      <c r="F65">
        <f ca="1">DATEDIF(Table1[[#This Row],[Hire Date]], TODAY(), "Y")</f>
        <v>23</v>
      </c>
      <c r="G65" s="7">
        <f ca="1">YEARFRAC(Table1[[#This Row],[Hire Date]], TODAY())</f>
        <v>23.93888888888889</v>
      </c>
      <c r="H65" s="7">
        <v>37301</v>
      </c>
      <c r="I65">
        <v>55</v>
      </c>
      <c r="J65" t="s">
        <v>43</v>
      </c>
      <c r="K65">
        <v>5</v>
      </c>
      <c r="L65" t="s">
        <v>44</v>
      </c>
      <c r="M65">
        <v>7305.8</v>
      </c>
      <c r="N65" t="s">
        <v>49</v>
      </c>
      <c r="O65" t="s">
        <v>50</v>
      </c>
      <c r="P65">
        <v>17</v>
      </c>
      <c r="Q65" t="s">
        <v>55</v>
      </c>
      <c r="R65" t="s">
        <v>61</v>
      </c>
      <c r="S65">
        <v>7</v>
      </c>
      <c r="T65">
        <v>2023</v>
      </c>
      <c r="U65" t="s">
        <v>65</v>
      </c>
      <c r="V65">
        <v>162</v>
      </c>
      <c r="W65">
        <v>3.4</v>
      </c>
    </row>
    <row r="66" spans="1:23" x14ac:dyDescent="0.35">
      <c r="A66">
        <v>10065</v>
      </c>
      <c r="B66" t="s">
        <v>21</v>
      </c>
      <c r="C66" t="s">
        <v>32</v>
      </c>
      <c r="D66" t="s">
        <v>41</v>
      </c>
      <c r="E66">
        <v>40360</v>
      </c>
      <c r="F66">
        <f ca="1">DATEDIF(Table1[[#This Row],[Hire Date]], TODAY(), "Y")</f>
        <v>17</v>
      </c>
      <c r="G66" s="7">
        <f ca="1">YEARFRAC(Table1[[#This Row],[Hire Date]], TODAY())</f>
        <v>17.738888888888887</v>
      </c>
      <c r="H66" s="7">
        <v>39564</v>
      </c>
      <c r="I66">
        <v>38</v>
      </c>
      <c r="J66" t="s">
        <v>42</v>
      </c>
      <c r="K66">
        <v>2</v>
      </c>
      <c r="L66" t="s">
        <v>44</v>
      </c>
      <c r="M66">
        <v>2064.41</v>
      </c>
      <c r="N66" t="s">
        <v>47</v>
      </c>
      <c r="O66" t="s">
        <v>50</v>
      </c>
      <c r="P66">
        <v>25</v>
      </c>
      <c r="Q66" t="s">
        <v>56</v>
      </c>
      <c r="R66" t="s">
        <v>63</v>
      </c>
      <c r="S66">
        <v>14</v>
      </c>
      <c r="T66">
        <v>2013</v>
      </c>
      <c r="U66" t="s">
        <v>65</v>
      </c>
      <c r="V66">
        <v>188</v>
      </c>
      <c r="W66">
        <v>3.1</v>
      </c>
    </row>
    <row r="67" spans="1:23" x14ac:dyDescent="0.35">
      <c r="A67">
        <v>10066</v>
      </c>
      <c r="B67" t="s">
        <v>26</v>
      </c>
      <c r="C67" t="s">
        <v>31</v>
      </c>
      <c r="D67" t="s">
        <v>40</v>
      </c>
      <c r="E67">
        <v>51424</v>
      </c>
      <c r="F67">
        <f ca="1">DATEDIF(Table1[[#This Row],[Hire Date]], TODAY(), "Y")</f>
        <v>14</v>
      </c>
      <c r="G67" s="7">
        <f ca="1">YEARFRAC(Table1[[#This Row],[Hire Date]], TODAY())</f>
        <v>14.083333333333334</v>
      </c>
      <c r="H67" s="7">
        <v>40899</v>
      </c>
      <c r="I67">
        <v>35</v>
      </c>
      <c r="J67" t="s">
        <v>43</v>
      </c>
      <c r="K67">
        <v>3</v>
      </c>
      <c r="L67" t="s">
        <v>45</v>
      </c>
      <c r="M67">
        <v>2940.79</v>
      </c>
      <c r="N67" t="s">
        <v>48</v>
      </c>
      <c r="O67" t="s">
        <v>51</v>
      </c>
      <c r="P67">
        <v>12</v>
      </c>
      <c r="Q67" t="s">
        <v>57</v>
      </c>
      <c r="R67" t="s">
        <v>63</v>
      </c>
      <c r="S67">
        <v>10</v>
      </c>
      <c r="T67">
        <v>2011</v>
      </c>
      <c r="U67" t="s">
        <v>65</v>
      </c>
      <c r="V67">
        <v>110</v>
      </c>
      <c r="W67">
        <v>2.4</v>
      </c>
    </row>
    <row r="68" spans="1:23" x14ac:dyDescent="0.35">
      <c r="A68">
        <v>10067</v>
      </c>
      <c r="B68" t="s">
        <v>22</v>
      </c>
      <c r="C68" t="s">
        <v>33</v>
      </c>
      <c r="D68" t="s">
        <v>39</v>
      </c>
      <c r="E68">
        <v>78791</v>
      </c>
      <c r="F68">
        <f ca="1">DATEDIF(Table1[[#This Row],[Hire Date]], TODAY(), "Y")</f>
        <v>18</v>
      </c>
      <c r="G68" s="7">
        <f ca="1">YEARFRAC(Table1[[#This Row],[Hire Date]], TODAY())</f>
        <v>18.152777777777779</v>
      </c>
      <c r="H68" s="7">
        <v>39413</v>
      </c>
      <c r="I68">
        <v>46</v>
      </c>
      <c r="J68" t="s">
        <v>42</v>
      </c>
      <c r="K68">
        <v>9</v>
      </c>
      <c r="L68" t="s">
        <v>44</v>
      </c>
      <c r="M68">
        <v>4547.57</v>
      </c>
      <c r="N68" t="s">
        <v>47</v>
      </c>
      <c r="O68" t="s">
        <v>53</v>
      </c>
      <c r="P68">
        <v>27</v>
      </c>
      <c r="Q68" t="s">
        <v>56</v>
      </c>
      <c r="R68" t="s">
        <v>63</v>
      </c>
      <c r="S68">
        <v>9</v>
      </c>
      <c r="T68">
        <v>2013</v>
      </c>
      <c r="U68" t="s">
        <v>65</v>
      </c>
      <c r="V68">
        <v>174</v>
      </c>
      <c r="W68">
        <v>4.5</v>
      </c>
    </row>
    <row r="69" spans="1:23" x14ac:dyDescent="0.35">
      <c r="A69">
        <v>10068</v>
      </c>
      <c r="B69" t="s">
        <v>28</v>
      </c>
      <c r="C69" t="s">
        <v>30</v>
      </c>
      <c r="D69" t="s">
        <v>37</v>
      </c>
      <c r="E69">
        <v>33065</v>
      </c>
      <c r="F69">
        <f ca="1">DATEDIF(Table1[[#This Row],[Hire Date]], TODAY(), "Y")</f>
        <v>20</v>
      </c>
      <c r="G69" s="7">
        <f ca="1">YEARFRAC(Table1[[#This Row],[Hire Date]], TODAY())</f>
        <v>20.919444444444444</v>
      </c>
      <c r="H69" s="7">
        <v>38404</v>
      </c>
      <c r="I69">
        <v>48</v>
      </c>
      <c r="J69" t="s">
        <v>43</v>
      </c>
      <c r="K69">
        <v>6</v>
      </c>
      <c r="L69" t="s">
        <v>44</v>
      </c>
      <c r="M69">
        <v>8949.44</v>
      </c>
      <c r="N69" t="s">
        <v>49</v>
      </c>
      <c r="O69" t="s">
        <v>50</v>
      </c>
      <c r="P69">
        <v>20</v>
      </c>
      <c r="Q69" t="s">
        <v>55</v>
      </c>
      <c r="R69" t="s">
        <v>62</v>
      </c>
      <c r="S69">
        <v>2</v>
      </c>
      <c r="T69">
        <v>2012</v>
      </c>
      <c r="U69" t="s">
        <v>66</v>
      </c>
      <c r="V69">
        <v>57</v>
      </c>
      <c r="W69">
        <v>1.5</v>
      </c>
    </row>
    <row r="70" spans="1:23" x14ac:dyDescent="0.35">
      <c r="A70">
        <v>10069</v>
      </c>
      <c r="B70" t="s">
        <v>22</v>
      </c>
      <c r="C70" t="s">
        <v>33</v>
      </c>
      <c r="D70" t="s">
        <v>39</v>
      </c>
      <c r="E70">
        <v>98795</v>
      </c>
      <c r="F70">
        <f ca="1">DATEDIF(Table1[[#This Row],[Hire Date]], TODAY(), "Y")</f>
        <v>19</v>
      </c>
      <c r="G70" s="7">
        <f ca="1">YEARFRAC(Table1[[#This Row],[Hire Date]], TODAY())</f>
        <v>19.836111111111112</v>
      </c>
      <c r="H70" s="7">
        <v>38797</v>
      </c>
      <c r="I70">
        <v>29</v>
      </c>
      <c r="J70" t="s">
        <v>42</v>
      </c>
      <c r="K70">
        <v>3</v>
      </c>
      <c r="L70" t="s">
        <v>44</v>
      </c>
      <c r="M70">
        <v>5946.59</v>
      </c>
      <c r="N70" t="s">
        <v>47</v>
      </c>
      <c r="O70" t="s">
        <v>52</v>
      </c>
      <c r="P70">
        <v>9</v>
      </c>
      <c r="Q70" t="s">
        <v>55</v>
      </c>
      <c r="R70" t="s">
        <v>60</v>
      </c>
      <c r="S70">
        <v>10</v>
      </c>
      <c r="T70">
        <v>2016</v>
      </c>
      <c r="U70" t="s">
        <v>65</v>
      </c>
      <c r="V70">
        <v>90</v>
      </c>
      <c r="W70">
        <v>2.9</v>
      </c>
    </row>
    <row r="71" spans="1:23" x14ac:dyDescent="0.35">
      <c r="A71">
        <v>10070</v>
      </c>
      <c r="B71" t="s">
        <v>27</v>
      </c>
      <c r="C71" t="s">
        <v>31</v>
      </c>
      <c r="D71" t="s">
        <v>37</v>
      </c>
      <c r="E71">
        <v>42300</v>
      </c>
      <c r="F71">
        <f ca="1">DATEDIF(Table1[[#This Row],[Hire Date]], TODAY(), "Y")</f>
        <v>21</v>
      </c>
      <c r="G71" s="7">
        <f ca="1">YEARFRAC(Table1[[#This Row],[Hire Date]], TODAY())</f>
        <v>21.655555555555555</v>
      </c>
      <c r="H71" s="7">
        <v>38133</v>
      </c>
      <c r="I71">
        <v>38</v>
      </c>
      <c r="J71" t="s">
        <v>42</v>
      </c>
      <c r="K71">
        <v>2</v>
      </c>
      <c r="L71" t="s">
        <v>45</v>
      </c>
      <c r="M71">
        <v>9671.26</v>
      </c>
      <c r="N71" t="s">
        <v>49</v>
      </c>
      <c r="O71" t="s">
        <v>52</v>
      </c>
      <c r="P71">
        <v>23</v>
      </c>
      <c r="Q71" t="s">
        <v>57</v>
      </c>
      <c r="R71" t="s">
        <v>59</v>
      </c>
      <c r="S71">
        <v>16</v>
      </c>
      <c r="T71">
        <v>2023</v>
      </c>
      <c r="U71" t="s">
        <v>65</v>
      </c>
      <c r="V71">
        <v>54</v>
      </c>
      <c r="W71">
        <v>3.1</v>
      </c>
    </row>
    <row r="72" spans="1:23" x14ac:dyDescent="0.35">
      <c r="A72">
        <v>10071</v>
      </c>
      <c r="B72" t="s">
        <v>26</v>
      </c>
      <c r="C72" t="s">
        <v>29</v>
      </c>
      <c r="D72" t="s">
        <v>37</v>
      </c>
      <c r="E72">
        <v>63370</v>
      </c>
      <c r="F72">
        <f ca="1">DATEDIF(Table1[[#This Row],[Hire Date]], TODAY(), "Y")</f>
        <v>17</v>
      </c>
      <c r="G72" s="7">
        <f ca="1">YEARFRAC(Table1[[#This Row],[Hire Date]], TODAY())</f>
        <v>17.463888888888889</v>
      </c>
      <c r="H72" s="7">
        <v>39665</v>
      </c>
      <c r="I72">
        <v>26</v>
      </c>
      <c r="J72" t="s">
        <v>42</v>
      </c>
      <c r="K72">
        <v>5</v>
      </c>
      <c r="L72" t="s">
        <v>45</v>
      </c>
      <c r="M72">
        <v>1481.14</v>
      </c>
      <c r="N72" t="s">
        <v>46</v>
      </c>
      <c r="O72" t="s">
        <v>51</v>
      </c>
      <c r="P72">
        <v>36</v>
      </c>
      <c r="Q72" t="s">
        <v>56</v>
      </c>
      <c r="R72" t="s">
        <v>63</v>
      </c>
      <c r="S72">
        <v>9</v>
      </c>
      <c r="T72">
        <v>2014</v>
      </c>
      <c r="U72" t="s">
        <v>64</v>
      </c>
      <c r="V72">
        <v>131</v>
      </c>
      <c r="W72">
        <v>3.2</v>
      </c>
    </row>
    <row r="73" spans="1:23" x14ac:dyDescent="0.35">
      <c r="A73">
        <v>10072</v>
      </c>
      <c r="B73" t="s">
        <v>26</v>
      </c>
      <c r="C73" t="s">
        <v>35</v>
      </c>
      <c r="D73" t="s">
        <v>36</v>
      </c>
      <c r="E73">
        <v>99831</v>
      </c>
      <c r="F73">
        <f ca="1">DATEDIF(Table1[[#This Row],[Hire Date]], TODAY(), "Y")</f>
        <v>24</v>
      </c>
      <c r="G73" s="7">
        <f ca="1">YEARFRAC(Table1[[#This Row],[Hire Date]], TODAY())</f>
        <v>24.4</v>
      </c>
      <c r="H73" s="7">
        <v>37131</v>
      </c>
      <c r="I73">
        <v>33</v>
      </c>
      <c r="J73" t="s">
        <v>42</v>
      </c>
      <c r="K73">
        <v>5</v>
      </c>
      <c r="L73" t="s">
        <v>45</v>
      </c>
      <c r="M73">
        <v>4871.67</v>
      </c>
      <c r="N73" t="s">
        <v>47</v>
      </c>
      <c r="O73" t="s">
        <v>51</v>
      </c>
      <c r="P73">
        <v>28</v>
      </c>
      <c r="Q73" t="s">
        <v>56</v>
      </c>
      <c r="R73" t="s">
        <v>61</v>
      </c>
      <c r="S73">
        <v>16</v>
      </c>
      <c r="T73">
        <v>2016</v>
      </c>
      <c r="U73" t="s">
        <v>66</v>
      </c>
      <c r="V73">
        <v>8</v>
      </c>
      <c r="W73">
        <v>3.6</v>
      </c>
    </row>
    <row r="74" spans="1:23" x14ac:dyDescent="0.35">
      <c r="A74">
        <v>10073</v>
      </c>
      <c r="B74" t="s">
        <v>28</v>
      </c>
      <c r="C74" t="s">
        <v>30</v>
      </c>
      <c r="D74" t="s">
        <v>37</v>
      </c>
      <c r="E74">
        <v>57209</v>
      </c>
      <c r="F74">
        <f ca="1">DATEDIF(Table1[[#This Row],[Hire Date]], TODAY(), "Y")</f>
        <v>9</v>
      </c>
      <c r="G74" s="7">
        <f ca="1">YEARFRAC(Table1[[#This Row],[Hire Date]], TODAY())</f>
        <v>9.1888888888888882</v>
      </c>
      <c r="H74" s="7">
        <v>42688</v>
      </c>
      <c r="I74">
        <v>59</v>
      </c>
      <c r="J74" t="s">
        <v>42</v>
      </c>
      <c r="K74">
        <v>1</v>
      </c>
      <c r="L74" t="s">
        <v>44</v>
      </c>
      <c r="M74">
        <v>4481.25</v>
      </c>
      <c r="N74" t="s">
        <v>48</v>
      </c>
      <c r="O74" t="s">
        <v>51</v>
      </c>
      <c r="P74">
        <v>29</v>
      </c>
      <c r="Q74" t="s">
        <v>55</v>
      </c>
      <c r="R74" t="s">
        <v>60</v>
      </c>
      <c r="S74">
        <v>13</v>
      </c>
      <c r="T74">
        <v>2011</v>
      </c>
      <c r="U74" t="s">
        <v>65</v>
      </c>
      <c r="V74">
        <v>67</v>
      </c>
      <c r="W74">
        <v>3</v>
      </c>
    </row>
    <row r="75" spans="1:23" x14ac:dyDescent="0.35">
      <c r="A75">
        <v>10074</v>
      </c>
      <c r="B75" t="s">
        <v>26</v>
      </c>
      <c r="C75" t="s">
        <v>30</v>
      </c>
      <c r="D75" t="s">
        <v>37</v>
      </c>
      <c r="E75">
        <v>50927</v>
      </c>
      <c r="F75">
        <f ca="1">DATEDIF(Table1[[#This Row],[Hire Date]], TODAY(), "Y")</f>
        <v>13</v>
      </c>
      <c r="G75" s="7">
        <f ca="1">YEARFRAC(Table1[[#This Row],[Hire Date]], TODAY())</f>
        <v>13.094444444444445</v>
      </c>
      <c r="H75" s="7">
        <v>41261</v>
      </c>
      <c r="I75">
        <v>39</v>
      </c>
      <c r="J75" t="s">
        <v>43</v>
      </c>
      <c r="K75">
        <v>3</v>
      </c>
      <c r="L75" t="s">
        <v>44</v>
      </c>
      <c r="M75">
        <v>6201.96</v>
      </c>
      <c r="N75" t="s">
        <v>47</v>
      </c>
      <c r="O75" t="s">
        <v>50</v>
      </c>
      <c r="P75">
        <v>32</v>
      </c>
      <c r="Q75" t="s">
        <v>57</v>
      </c>
      <c r="R75" t="s">
        <v>59</v>
      </c>
      <c r="S75">
        <v>0</v>
      </c>
      <c r="T75">
        <v>2013</v>
      </c>
      <c r="U75" t="s">
        <v>64</v>
      </c>
      <c r="V75">
        <v>199</v>
      </c>
      <c r="W75">
        <v>2</v>
      </c>
    </row>
    <row r="76" spans="1:23" x14ac:dyDescent="0.35">
      <c r="A76">
        <v>10075</v>
      </c>
      <c r="B76" t="s">
        <v>23</v>
      </c>
      <c r="C76" t="s">
        <v>33</v>
      </c>
      <c r="D76" t="s">
        <v>41</v>
      </c>
      <c r="E76">
        <v>64579</v>
      </c>
      <c r="F76">
        <f ca="1">DATEDIF(Table1[[#This Row],[Hire Date]], TODAY(), "Y")</f>
        <v>16</v>
      </c>
      <c r="G76" s="7">
        <f ca="1">YEARFRAC(Table1[[#This Row],[Hire Date]], TODAY())</f>
        <v>16.708333333333332</v>
      </c>
      <c r="H76" s="7">
        <v>39940</v>
      </c>
      <c r="I76">
        <v>47</v>
      </c>
      <c r="J76" t="s">
        <v>42</v>
      </c>
      <c r="K76">
        <v>7</v>
      </c>
      <c r="L76" t="s">
        <v>45</v>
      </c>
      <c r="M76">
        <v>8213.66</v>
      </c>
      <c r="N76" t="s">
        <v>46</v>
      </c>
      <c r="O76" t="s">
        <v>53</v>
      </c>
      <c r="P76">
        <v>12</v>
      </c>
      <c r="Q76" t="s">
        <v>57</v>
      </c>
      <c r="R76" t="s">
        <v>61</v>
      </c>
      <c r="S76">
        <v>8</v>
      </c>
      <c r="T76">
        <v>2015</v>
      </c>
      <c r="U76" t="s">
        <v>66</v>
      </c>
      <c r="V76">
        <v>117</v>
      </c>
      <c r="W76">
        <v>4.4000000000000004</v>
      </c>
    </row>
    <row r="77" spans="1:23" x14ac:dyDescent="0.35">
      <c r="A77">
        <v>10076</v>
      </c>
      <c r="B77" t="s">
        <v>26</v>
      </c>
      <c r="C77" t="s">
        <v>35</v>
      </c>
      <c r="D77" t="s">
        <v>38</v>
      </c>
      <c r="E77">
        <v>39032</v>
      </c>
      <c r="F77">
        <f ca="1">DATEDIF(Table1[[#This Row],[Hire Date]], TODAY(), "Y")</f>
        <v>16</v>
      </c>
      <c r="G77" s="7">
        <f ca="1">YEARFRAC(Table1[[#This Row],[Hire Date]], TODAY())</f>
        <v>16.024999999999999</v>
      </c>
      <c r="H77" s="7">
        <v>40191</v>
      </c>
      <c r="I77">
        <v>52</v>
      </c>
      <c r="J77" t="s">
        <v>42</v>
      </c>
      <c r="K77">
        <v>9</v>
      </c>
      <c r="L77" t="s">
        <v>44</v>
      </c>
      <c r="M77">
        <v>8493.76</v>
      </c>
      <c r="N77" t="s">
        <v>46</v>
      </c>
      <c r="O77" t="s">
        <v>51</v>
      </c>
      <c r="P77">
        <v>30</v>
      </c>
      <c r="Q77" t="s">
        <v>55</v>
      </c>
      <c r="R77" t="s">
        <v>61</v>
      </c>
      <c r="S77">
        <v>14</v>
      </c>
      <c r="T77">
        <v>2021</v>
      </c>
      <c r="U77" t="s">
        <v>65</v>
      </c>
      <c r="V77">
        <v>60</v>
      </c>
      <c r="W77">
        <v>3.6</v>
      </c>
    </row>
    <row r="78" spans="1:23" x14ac:dyDescent="0.35">
      <c r="A78">
        <v>10077</v>
      </c>
      <c r="B78" t="s">
        <v>22</v>
      </c>
      <c r="C78" t="s">
        <v>34</v>
      </c>
      <c r="D78" t="s">
        <v>39</v>
      </c>
      <c r="E78">
        <v>108413</v>
      </c>
      <c r="F78">
        <f ca="1">DATEDIF(Table1[[#This Row],[Hire Date]], TODAY(), "Y")</f>
        <v>9</v>
      </c>
      <c r="G78" s="7">
        <f ca="1">YEARFRAC(Table1[[#This Row],[Hire Date]], TODAY())</f>
        <v>9.9472222222222229</v>
      </c>
      <c r="H78" s="7">
        <v>42411</v>
      </c>
      <c r="I78">
        <v>58</v>
      </c>
      <c r="J78" t="s">
        <v>42</v>
      </c>
      <c r="K78">
        <v>5</v>
      </c>
      <c r="L78" t="s">
        <v>44</v>
      </c>
      <c r="M78">
        <v>6866.85</v>
      </c>
      <c r="N78" t="s">
        <v>46</v>
      </c>
      <c r="O78" t="s">
        <v>54</v>
      </c>
      <c r="P78">
        <v>11</v>
      </c>
      <c r="Q78" t="s">
        <v>56</v>
      </c>
      <c r="R78" t="s">
        <v>63</v>
      </c>
      <c r="S78">
        <v>3</v>
      </c>
      <c r="T78">
        <v>2014</v>
      </c>
      <c r="U78" t="s">
        <v>64</v>
      </c>
      <c r="V78">
        <v>181</v>
      </c>
      <c r="W78">
        <v>4.4000000000000004</v>
      </c>
    </row>
    <row r="79" spans="1:23" x14ac:dyDescent="0.35">
      <c r="A79">
        <v>10078</v>
      </c>
      <c r="B79" t="s">
        <v>22</v>
      </c>
      <c r="C79" t="s">
        <v>34</v>
      </c>
      <c r="D79" t="s">
        <v>39</v>
      </c>
      <c r="E79">
        <v>70731</v>
      </c>
      <c r="F79">
        <f ca="1">DATEDIF(Table1[[#This Row],[Hire Date]], TODAY(), "Y")</f>
        <v>10</v>
      </c>
      <c r="G79" s="7">
        <f ca="1">YEARFRAC(Table1[[#This Row],[Hire Date]], TODAY())</f>
        <v>10.036111111111111</v>
      </c>
      <c r="H79" s="7">
        <v>42378</v>
      </c>
      <c r="I79">
        <v>27</v>
      </c>
      <c r="J79" t="s">
        <v>42</v>
      </c>
      <c r="K79">
        <v>4</v>
      </c>
      <c r="L79" t="s">
        <v>45</v>
      </c>
      <c r="M79">
        <v>6594.6</v>
      </c>
      <c r="N79" t="s">
        <v>47</v>
      </c>
      <c r="O79" t="s">
        <v>51</v>
      </c>
      <c r="P79">
        <v>37</v>
      </c>
      <c r="Q79" t="s">
        <v>56</v>
      </c>
      <c r="R79" t="s">
        <v>60</v>
      </c>
      <c r="S79">
        <v>19</v>
      </c>
      <c r="T79">
        <v>2020</v>
      </c>
      <c r="U79" t="s">
        <v>66</v>
      </c>
      <c r="V79">
        <v>154</v>
      </c>
      <c r="W79">
        <v>2.1</v>
      </c>
    </row>
    <row r="80" spans="1:23" x14ac:dyDescent="0.35">
      <c r="A80">
        <v>10079</v>
      </c>
      <c r="B80" t="s">
        <v>21</v>
      </c>
      <c r="C80" t="s">
        <v>31</v>
      </c>
      <c r="D80" t="s">
        <v>37</v>
      </c>
      <c r="E80">
        <v>83767</v>
      </c>
      <c r="F80">
        <f ca="1">DATEDIF(Table1[[#This Row],[Hire Date]], TODAY(), "Y")</f>
        <v>11</v>
      </c>
      <c r="G80" s="7">
        <f ca="1">YEARFRAC(Table1[[#This Row],[Hire Date]], TODAY())</f>
        <v>11.102777777777778</v>
      </c>
      <c r="H80" s="7">
        <v>41988</v>
      </c>
      <c r="I80">
        <v>62</v>
      </c>
      <c r="J80" t="s">
        <v>43</v>
      </c>
      <c r="K80">
        <v>3</v>
      </c>
      <c r="L80" t="s">
        <v>44</v>
      </c>
      <c r="M80">
        <v>9515.7800000000007</v>
      </c>
      <c r="N80" t="s">
        <v>46</v>
      </c>
      <c r="O80" t="s">
        <v>50</v>
      </c>
      <c r="P80">
        <v>20</v>
      </c>
      <c r="Q80" t="s">
        <v>57</v>
      </c>
      <c r="R80" t="s">
        <v>58</v>
      </c>
      <c r="S80">
        <v>2</v>
      </c>
      <c r="T80">
        <v>2011</v>
      </c>
      <c r="U80" t="s">
        <v>65</v>
      </c>
      <c r="V80">
        <v>144</v>
      </c>
      <c r="W80">
        <v>3.5</v>
      </c>
    </row>
    <row r="81" spans="1:23" x14ac:dyDescent="0.35">
      <c r="A81">
        <v>10080</v>
      </c>
      <c r="B81" t="s">
        <v>22</v>
      </c>
      <c r="C81" t="s">
        <v>34</v>
      </c>
      <c r="D81" t="s">
        <v>40</v>
      </c>
      <c r="E81">
        <v>102302</v>
      </c>
      <c r="F81">
        <f ca="1">DATEDIF(Table1[[#This Row],[Hire Date]], TODAY(), "Y")</f>
        <v>20</v>
      </c>
      <c r="G81" s="7">
        <f ca="1">YEARFRAC(Table1[[#This Row],[Hire Date]], TODAY())</f>
        <v>20.18888888888889</v>
      </c>
      <c r="H81" s="7">
        <v>38670</v>
      </c>
      <c r="I81">
        <v>36</v>
      </c>
      <c r="J81" t="s">
        <v>42</v>
      </c>
      <c r="K81">
        <v>9</v>
      </c>
      <c r="L81" t="s">
        <v>44</v>
      </c>
      <c r="M81">
        <v>4145.03</v>
      </c>
      <c r="N81" t="s">
        <v>46</v>
      </c>
      <c r="O81" t="s">
        <v>53</v>
      </c>
      <c r="P81">
        <v>11</v>
      </c>
      <c r="Q81" t="s">
        <v>57</v>
      </c>
      <c r="R81" t="s">
        <v>62</v>
      </c>
      <c r="S81">
        <v>19</v>
      </c>
      <c r="T81">
        <v>2021</v>
      </c>
      <c r="U81" t="s">
        <v>64</v>
      </c>
      <c r="V81">
        <v>181</v>
      </c>
      <c r="W81">
        <v>3.9</v>
      </c>
    </row>
    <row r="82" spans="1:23" x14ac:dyDescent="0.35">
      <c r="A82">
        <v>10081</v>
      </c>
      <c r="B82" t="s">
        <v>21</v>
      </c>
      <c r="C82" t="s">
        <v>30</v>
      </c>
      <c r="D82" t="s">
        <v>39</v>
      </c>
      <c r="E82">
        <v>79954</v>
      </c>
      <c r="F82">
        <f ca="1">DATEDIF(Table1[[#This Row],[Hire Date]], TODAY(), "Y")</f>
        <v>6</v>
      </c>
      <c r="G82" s="7">
        <f ca="1">YEARFRAC(Table1[[#This Row],[Hire Date]], TODAY())</f>
        <v>6.291666666666667</v>
      </c>
      <c r="H82" s="7">
        <v>43745</v>
      </c>
      <c r="I82">
        <v>63</v>
      </c>
      <c r="J82" t="s">
        <v>42</v>
      </c>
      <c r="K82">
        <v>7</v>
      </c>
      <c r="L82" t="s">
        <v>44</v>
      </c>
      <c r="M82">
        <v>8411.44</v>
      </c>
      <c r="N82" t="s">
        <v>47</v>
      </c>
      <c r="O82" t="s">
        <v>51</v>
      </c>
      <c r="P82">
        <v>38</v>
      </c>
      <c r="Q82" t="s">
        <v>55</v>
      </c>
      <c r="R82" t="s">
        <v>58</v>
      </c>
      <c r="S82">
        <v>6</v>
      </c>
      <c r="T82">
        <v>2016</v>
      </c>
      <c r="U82" t="s">
        <v>66</v>
      </c>
      <c r="V82">
        <v>17</v>
      </c>
      <c r="W82">
        <v>2.5</v>
      </c>
    </row>
    <row r="83" spans="1:23" x14ac:dyDescent="0.35">
      <c r="A83">
        <v>10082</v>
      </c>
      <c r="B83" t="s">
        <v>22</v>
      </c>
      <c r="C83" t="s">
        <v>34</v>
      </c>
      <c r="D83" t="s">
        <v>37</v>
      </c>
      <c r="E83">
        <v>118365</v>
      </c>
      <c r="F83">
        <f ca="1">DATEDIF(Table1[[#This Row],[Hire Date]], TODAY(), "Y")</f>
        <v>14</v>
      </c>
      <c r="G83" s="7">
        <f ca="1">YEARFRAC(Table1[[#This Row],[Hire Date]], TODAY())</f>
        <v>14.366666666666667</v>
      </c>
      <c r="H83" s="7">
        <v>40796</v>
      </c>
      <c r="I83">
        <v>47</v>
      </c>
      <c r="J83" t="s">
        <v>43</v>
      </c>
      <c r="K83">
        <v>7</v>
      </c>
      <c r="L83" t="s">
        <v>44</v>
      </c>
      <c r="M83">
        <v>9254.2900000000009</v>
      </c>
      <c r="N83" t="s">
        <v>47</v>
      </c>
      <c r="O83" t="s">
        <v>52</v>
      </c>
      <c r="P83">
        <v>16</v>
      </c>
      <c r="Q83" t="s">
        <v>57</v>
      </c>
      <c r="R83" t="s">
        <v>62</v>
      </c>
      <c r="S83">
        <v>2</v>
      </c>
      <c r="T83">
        <v>2011</v>
      </c>
      <c r="U83" t="s">
        <v>64</v>
      </c>
      <c r="V83">
        <v>109</v>
      </c>
      <c r="W83">
        <v>4.2</v>
      </c>
    </row>
    <row r="84" spans="1:23" x14ac:dyDescent="0.35">
      <c r="A84">
        <v>10083</v>
      </c>
      <c r="B84" t="s">
        <v>23</v>
      </c>
      <c r="C84" t="s">
        <v>29</v>
      </c>
      <c r="D84" t="s">
        <v>36</v>
      </c>
      <c r="E84">
        <v>115757</v>
      </c>
      <c r="F84">
        <f ca="1">DATEDIF(Table1[[#This Row],[Hire Date]], TODAY(), "Y")</f>
        <v>15</v>
      </c>
      <c r="G84" s="7">
        <f ca="1">YEARFRAC(Table1[[#This Row],[Hire Date]], TODAY())</f>
        <v>15.747222222222222</v>
      </c>
      <c r="H84" s="7">
        <v>40291</v>
      </c>
      <c r="I84">
        <v>33</v>
      </c>
      <c r="J84" t="s">
        <v>43</v>
      </c>
      <c r="K84">
        <v>8</v>
      </c>
      <c r="L84" t="s">
        <v>45</v>
      </c>
      <c r="M84">
        <v>5169.62</v>
      </c>
      <c r="N84" t="s">
        <v>49</v>
      </c>
      <c r="O84" t="s">
        <v>51</v>
      </c>
      <c r="P84">
        <v>35</v>
      </c>
      <c r="Q84" t="s">
        <v>56</v>
      </c>
      <c r="R84" t="s">
        <v>60</v>
      </c>
      <c r="S84">
        <v>14</v>
      </c>
      <c r="T84">
        <v>2023</v>
      </c>
      <c r="U84" t="s">
        <v>64</v>
      </c>
      <c r="V84">
        <v>37</v>
      </c>
      <c r="W84">
        <v>1</v>
      </c>
    </row>
    <row r="85" spans="1:23" x14ac:dyDescent="0.35">
      <c r="A85">
        <v>10084</v>
      </c>
      <c r="B85" t="s">
        <v>25</v>
      </c>
      <c r="C85" t="s">
        <v>29</v>
      </c>
      <c r="D85" t="s">
        <v>36</v>
      </c>
      <c r="E85">
        <v>55102</v>
      </c>
      <c r="F85">
        <f ca="1">DATEDIF(Table1[[#This Row],[Hire Date]], TODAY(), "Y")</f>
        <v>22</v>
      </c>
      <c r="G85" s="7">
        <f ca="1">YEARFRAC(Table1[[#This Row],[Hire Date]], TODAY())</f>
        <v>22.288888888888888</v>
      </c>
      <c r="H85" s="7">
        <v>37902</v>
      </c>
      <c r="I85">
        <v>62</v>
      </c>
      <c r="J85" t="s">
        <v>42</v>
      </c>
      <c r="K85">
        <v>1</v>
      </c>
      <c r="L85" t="s">
        <v>44</v>
      </c>
      <c r="M85">
        <v>7426.47</v>
      </c>
      <c r="N85" t="s">
        <v>47</v>
      </c>
      <c r="O85" t="s">
        <v>51</v>
      </c>
      <c r="P85">
        <v>1</v>
      </c>
      <c r="Q85" t="s">
        <v>56</v>
      </c>
      <c r="R85" t="s">
        <v>59</v>
      </c>
      <c r="S85">
        <v>9</v>
      </c>
      <c r="T85">
        <v>2018</v>
      </c>
      <c r="U85" t="s">
        <v>65</v>
      </c>
      <c r="V85">
        <v>179</v>
      </c>
      <c r="W85">
        <v>3.4</v>
      </c>
    </row>
    <row r="86" spans="1:23" x14ac:dyDescent="0.35">
      <c r="A86">
        <v>10085</v>
      </c>
      <c r="B86" t="s">
        <v>21</v>
      </c>
      <c r="C86" t="s">
        <v>29</v>
      </c>
      <c r="D86" t="s">
        <v>36</v>
      </c>
      <c r="E86">
        <v>64433</v>
      </c>
      <c r="F86">
        <f ca="1">DATEDIF(Table1[[#This Row],[Hire Date]], TODAY(), "Y")</f>
        <v>16</v>
      </c>
      <c r="G86" s="7">
        <f ca="1">YEARFRAC(Table1[[#This Row],[Hire Date]], TODAY())</f>
        <v>16.577777777777779</v>
      </c>
      <c r="H86" s="7">
        <v>39988</v>
      </c>
      <c r="I86">
        <v>35</v>
      </c>
      <c r="J86" t="s">
        <v>43</v>
      </c>
      <c r="K86">
        <v>4</v>
      </c>
      <c r="L86" t="s">
        <v>45</v>
      </c>
      <c r="M86">
        <v>4081.69</v>
      </c>
      <c r="N86" t="s">
        <v>46</v>
      </c>
      <c r="O86" t="s">
        <v>53</v>
      </c>
      <c r="P86">
        <v>25</v>
      </c>
      <c r="Q86" t="s">
        <v>57</v>
      </c>
      <c r="R86" t="s">
        <v>63</v>
      </c>
      <c r="S86">
        <v>15</v>
      </c>
      <c r="T86">
        <v>2016</v>
      </c>
      <c r="U86" t="s">
        <v>64</v>
      </c>
      <c r="V86">
        <v>68</v>
      </c>
      <c r="W86">
        <v>3.5</v>
      </c>
    </row>
    <row r="87" spans="1:23" x14ac:dyDescent="0.35">
      <c r="A87">
        <v>10086</v>
      </c>
      <c r="B87" t="s">
        <v>24</v>
      </c>
      <c r="C87" t="s">
        <v>34</v>
      </c>
      <c r="D87" t="s">
        <v>37</v>
      </c>
      <c r="E87">
        <v>45932</v>
      </c>
      <c r="F87">
        <f ca="1">DATEDIF(Table1[[#This Row],[Hire Date]], TODAY(), "Y")</f>
        <v>6</v>
      </c>
      <c r="G87" s="7">
        <f ca="1">YEARFRAC(Table1[[#This Row],[Hire Date]], TODAY())</f>
        <v>6.1194444444444445</v>
      </c>
      <c r="H87" s="7">
        <v>43808</v>
      </c>
      <c r="I87">
        <v>22</v>
      </c>
      <c r="J87" t="s">
        <v>42</v>
      </c>
      <c r="K87">
        <v>5</v>
      </c>
      <c r="L87" t="s">
        <v>45</v>
      </c>
      <c r="M87">
        <v>2009.35</v>
      </c>
      <c r="N87" t="s">
        <v>48</v>
      </c>
      <c r="O87" t="s">
        <v>54</v>
      </c>
      <c r="P87">
        <v>27</v>
      </c>
      <c r="Q87" t="s">
        <v>55</v>
      </c>
      <c r="R87" t="s">
        <v>60</v>
      </c>
      <c r="S87">
        <v>16</v>
      </c>
      <c r="T87">
        <v>2021</v>
      </c>
      <c r="U87" t="s">
        <v>65</v>
      </c>
      <c r="V87">
        <v>87</v>
      </c>
      <c r="W87">
        <v>3.1</v>
      </c>
    </row>
    <row r="88" spans="1:23" x14ac:dyDescent="0.35">
      <c r="A88">
        <v>10087</v>
      </c>
      <c r="B88" t="s">
        <v>27</v>
      </c>
      <c r="C88" t="s">
        <v>31</v>
      </c>
      <c r="D88" t="s">
        <v>41</v>
      </c>
      <c r="E88">
        <v>55714</v>
      </c>
      <c r="F88">
        <f ca="1">DATEDIF(Table1[[#This Row],[Hire Date]], TODAY(), "Y")</f>
        <v>25</v>
      </c>
      <c r="G88" s="7">
        <f ca="1">YEARFRAC(Table1[[#This Row],[Hire Date]], TODAY())</f>
        <v>25.108333333333334</v>
      </c>
      <c r="H88" s="7">
        <v>36873</v>
      </c>
      <c r="I88">
        <v>38</v>
      </c>
      <c r="J88" t="s">
        <v>42</v>
      </c>
      <c r="K88">
        <v>5</v>
      </c>
      <c r="L88" t="s">
        <v>45</v>
      </c>
      <c r="M88">
        <v>6071.79</v>
      </c>
      <c r="N88" t="s">
        <v>46</v>
      </c>
      <c r="O88" t="s">
        <v>51</v>
      </c>
      <c r="P88">
        <v>32</v>
      </c>
      <c r="Q88" t="s">
        <v>56</v>
      </c>
      <c r="R88" t="s">
        <v>58</v>
      </c>
      <c r="S88">
        <v>18</v>
      </c>
      <c r="T88">
        <v>2012</v>
      </c>
      <c r="U88" t="s">
        <v>65</v>
      </c>
      <c r="V88">
        <v>109</v>
      </c>
      <c r="W88">
        <v>3.5</v>
      </c>
    </row>
    <row r="89" spans="1:23" x14ac:dyDescent="0.35">
      <c r="A89">
        <v>10088</v>
      </c>
      <c r="B89" t="s">
        <v>28</v>
      </c>
      <c r="C89" t="s">
        <v>32</v>
      </c>
      <c r="D89" t="s">
        <v>40</v>
      </c>
      <c r="E89">
        <v>87803</v>
      </c>
      <c r="F89">
        <f ca="1">DATEDIF(Table1[[#This Row],[Hire Date]], TODAY(), "Y")</f>
        <v>26</v>
      </c>
      <c r="G89" s="7">
        <f ca="1">YEARFRAC(Table1[[#This Row],[Hire Date]], TODAY())</f>
        <v>26.058333333333334</v>
      </c>
      <c r="H89" s="7">
        <v>36526</v>
      </c>
      <c r="I89">
        <v>54</v>
      </c>
      <c r="J89" t="s">
        <v>43</v>
      </c>
      <c r="K89">
        <v>1</v>
      </c>
      <c r="L89" t="s">
        <v>45</v>
      </c>
      <c r="M89">
        <v>2366.48</v>
      </c>
      <c r="N89" t="s">
        <v>46</v>
      </c>
      <c r="O89" t="s">
        <v>51</v>
      </c>
      <c r="P89">
        <v>6</v>
      </c>
      <c r="Q89" t="s">
        <v>56</v>
      </c>
      <c r="R89" t="s">
        <v>61</v>
      </c>
      <c r="S89">
        <v>0</v>
      </c>
      <c r="T89">
        <v>2015</v>
      </c>
      <c r="U89" t="s">
        <v>64</v>
      </c>
      <c r="V89">
        <v>149</v>
      </c>
      <c r="W89">
        <v>1.7</v>
      </c>
    </row>
    <row r="90" spans="1:23" x14ac:dyDescent="0.35">
      <c r="A90">
        <v>10089</v>
      </c>
      <c r="B90" t="s">
        <v>22</v>
      </c>
      <c r="C90" t="s">
        <v>32</v>
      </c>
      <c r="D90" t="s">
        <v>37</v>
      </c>
      <c r="E90">
        <v>69743</v>
      </c>
      <c r="F90">
        <f ca="1">DATEDIF(Table1[[#This Row],[Hire Date]], TODAY(), "Y")</f>
        <v>25</v>
      </c>
      <c r="G90" s="7">
        <f ca="1">YEARFRAC(Table1[[#This Row],[Hire Date]], TODAY())</f>
        <v>25.886111111111113</v>
      </c>
      <c r="H90" s="7">
        <v>36588</v>
      </c>
      <c r="I90">
        <v>50</v>
      </c>
      <c r="J90" t="s">
        <v>42</v>
      </c>
      <c r="K90">
        <v>3</v>
      </c>
      <c r="L90" t="s">
        <v>44</v>
      </c>
      <c r="M90">
        <v>4847.1899999999996</v>
      </c>
      <c r="N90" t="s">
        <v>46</v>
      </c>
      <c r="O90" t="s">
        <v>50</v>
      </c>
      <c r="P90">
        <v>36</v>
      </c>
      <c r="Q90" t="s">
        <v>55</v>
      </c>
      <c r="R90" t="s">
        <v>62</v>
      </c>
      <c r="S90">
        <v>0</v>
      </c>
      <c r="T90">
        <v>2014</v>
      </c>
      <c r="U90" t="s">
        <v>64</v>
      </c>
      <c r="V90">
        <v>38</v>
      </c>
      <c r="W90">
        <v>3.7</v>
      </c>
    </row>
    <row r="91" spans="1:23" x14ac:dyDescent="0.35">
      <c r="A91">
        <v>10090</v>
      </c>
      <c r="B91" t="s">
        <v>26</v>
      </c>
      <c r="C91" t="s">
        <v>35</v>
      </c>
      <c r="D91" t="s">
        <v>41</v>
      </c>
      <c r="E91">
        <v>32552</v>
      </c>
      <c r="F91">
        <f ca="1">DATEDIF(Table1[[#This Row],[Hire Date]], TODAY(), "Y")</f>
        <v>21</v>
      </c>
      <c r="G91" s="7">
        <f ca="1">YEARFRAC(Table1[[#This Row],[Hire Date]], TODAY())</f>
        <v>21.177777777777777</v>
      </c>
      <c r="H91" s="7">
        <v>38309</v>
      </c>
      <c r="I91">
        <v>52</v>
      </c>
      <c r="J91" t="s">
        <v>43</v>
      </c>
      <c r="K91">
        <v>2</v>
      </c>
      <c r="L91" t="s">
        <v>44</v>
      </c>
      <c r="M91">
        <v>8792.35</v>
      </c>
      <c r="N91" t="s">
        <v>47</v>
      </c>
      <c r="O91" t="s">
        <v>53</v>
      </c>
      <c r="P91">
        <v>39</v>
      </c>
      <c r="Q91" t="s">
        <v>57</v>
      </c>
      <c r="R91" t="s">
        <v>62</v>
      </c>
      <c r="S91">
        <v>13</v>
      </c>
      <c r="T91">
        <v>2021</v>
      </c>
      <c r="U91" t="s">
        <v>64</v>
      </c>
      <c r="V91">
        <v>72</v>
      </c>
      <c r="W91">
        <v>2.2999999999999998</v>
      </c>
    </row>
    <row r="92" spans="1:23" x14ac:dyDescent="0.35">
      <c r="A92">
        <v>10091</v>
      </c>
      <c r="B92" t="s">
        <v>25</v>
      </c>
      <c r="C92" t="s">
        <v>32</v>
      </c>
      <c r="D92" t="s">
        <v>41</v>
      </c>
      <c r="E92">
        <v>86627</v>
      </c>
      <c r="F92">
        <f ca="1">DATEDIF(Table1[[#This Row],[Hire Date]], TODAY(), "Y")</f>
        <v>15</v>
      </c>
      <c r="G92" s="7">
        <f ca="1">YEARFRAC(Table1[[#This Row],[Hire Date]], TODAY())</f>
        <v>15.613888888888889</v>
      </c>
      <c r="H92" s="7">
        <v>40340</v>
      </c>
      <c r="I92">
        <v>29</v>
      </c>
      <c r="J92" t="s">
        <v>43</v>
      </c>
      <c r="K92">
        <v>7</v>
      </c>
      <c r="L92" t="s">
        <v>45</v>
      </c>
      <c r="M92">
        <v>1317.17</v>
      </c>
      <c r="N92" t="s">
        <v>48</v>
      </c>
      <c r="O92" t="s">
        <v>50</v>
      </c>
      <c r="P92">
        <v>23</v>
      </c>
      <c r="Q92" t="s">
        <v>56</v>
      </c>
      <c r="R92" t="s">
        <v>58</v>
      </c>
      <c r="S92">
        <v>1</v>
      </c>
      <c r="T92">
        <v>2018</v>
      </c>
      <c r="U92" t="s">
        <v>64</v>
      </c>
      <c r="V92">
        <v>43</v>
      </c>
      <c r="W92">
        <v>2.8</v>
      </c>
    </row>
    <row r="93" spans="1:23" x14ac:dyDescent="0.35">
      <c r="A93">
        <v>10092</v>
      </c>
      <c r="B93" t="s">
        <v>22</v>
      </c>
      <c r="C93" t="s">
        <v>32</v>
      </c>
      <c r="D93" t="s">
        <v>39</v>
      </c>
      <c r="E93">
        <v>75987</v>
      </c>
      <c r="F93">
        <f ca="1">DATEDIF(Table1[[#This Row],[Hire Date]], TODAY(), "Y")</f>
        <v>25</v>
      </c>
      <c r="G93" s="7">
        <f ca="1">YEARFRAC(Table1[[#This Row],[Hire Date]], TODAY())</f>
        <v>25.441666666666666</v>
      </c>
      <c r="H93" s="7">
        <v>36751</v>
      </c>
      <c r="I93">
        <v>51</v>
      </c>
      <c r="J93" t="s">
        <v>42</v>
      </c>
      <c r="K93">
        <v>5</v>
      </c>
      <c r="L93" t="s">
        <v>45</v>
      </c>
      <c r="M93">
        <v>789.07</v>
      </c>
      <c r="N93" t="s">
        <v>46</v>
      </c>
      <c r="O93" t="s">
        <v>51</v>
      </c>
      <c r="P93">
        <v>29</v>
      </c>
      <c r="Q93" t="s">
        <v>56</v>
      </c>
      <c r="R93" t="s">
        <v>63</v>
      </c>
      <c r="S93">
        <v>1</v>
      </c>
      <c r="T93">
        <v>2022</v>
      </c>
      <c r="U93" t="s">
        <v>66</v>
      </c>
      <c r="V93">
        <v>133</v>
      </c>
      <c r="W93">
        <v>2.2999999999999998</v>
      </c>
    </row>
    <row r="94" spans="1:23" x14ac:dyDescent="0.35">
      <c r="A94">
        <v>10093</v>
      </c>
      <c r="B94" t="s">
        <v>26</v>
      </c>
      <c r="C94" t="s">
        <v>29</v>
      </c>
      <c r="D94" t="s">
        <v>37</v>
      </c>
      <c r="E94">
        <v>109810</v>
      </c>
      <c r="F94">
        <f ca="1">DATEDIF(Table1[[#This Row],[Hire Date]], TODAY(), "Y")</f>
        <v>8</v>
      </c>
      <c r="G94" s="7">
        <f ca="1">YEARFRAC(Table1[[#This Row],[Hire Date]], TODAY())</f>
        <v>8.0805555555555557</v>
      </c>
      <c r="H94" s="7">
        <v>43092</v>
      </c>
      <c r="I94">
        <v>34</v>
      </c>
      <c r="J94" t="s">
        <v>42</v>
      </c>
      <c r="K94">
        <v>3</v>
      </c>
      <c r="L94" t="s">
        <v>45</v>
      </c>
      <c r="M94">
        <v>6261.54</v>
      </c>
      <c r="N94" t="s">
        <v>47</v>
      </c>
      <c r="O94" t="s">
        <v>51</v>
      </c>
      <c r="P94">
        <v>30</v>
      </c>
      <c r="Q94" t="s">
        <v>55</v>
      </c>
      <c r="R94" t="s">
        <v>60</v>
      </c>
      <c r="S94">
        <v>19</v>
      </c>
      <c r="T94">
        <v>2012</v>
      </c>
      <c r="U94" t="s">
        <v>65</v>
      </c>
      <c r="V94">
        <v>137</v>
      </c>
      <c r="W94">
        <v>2.9</v>
      </c>
    </row>
    <row r="95" spans="1:23" x14ac:dyDescent="0.35">
      <c r="A95">
        <v>10094</v>
      </c>
      <c r="B95" t="s">
        <v>27</v>
      </c>
      <c r="C95" t="s">
        <v>29</v>
      </c>
      <c r="D95" t="s">
        <v>37</v>
      </c>
      <c r="E95">
        <v>75380</v>
      </c>
      <c r="F95">
        <f ca="1">DATEDIF(Table1[[#This Row],[Hire Date]], TODAY(), "Y")</f>
        <v>23</v>
      </c>
      <c r="G95" s="7">
        <f ca="1">YEARFRAC(Table1[[#This Row],[Hire Date]], TODAY())</f>
        <v>23.205555555555556</v>
      </c>
      <c r="H95" s="7">
        <v>37568</v>
      </c>
      <c r="I95">
        <v>37</v>
      </c>
      <c r="J95" t="s">
        <v>43</v>
      </c>
      <c r="K95">
        <v>8</v>
      </c>
      <c r="L95" t="s">
        <v>45</v>
      </c>
      <c r="M95">
        <v>3645.08</v>
      </c>
      <c r="N95" t="s">
        <v>49</v>
      </c>
      <c r="O95" t="s">
        <v>52</v>
      </c>
      <c r="P95">
        <v>22</v>
      </c>
      <c r="Q95" t="s">
        <v>57</v>
      </c>
      <c r="R95" t="s">
        <v>58</v>
      </c>
      <c r="S95">
        <v>9</v>
      </c>
      <c r="T95">
        <v>2011</v>
      </c>
      <c r="U95" t="s">
        <v>64</v>
      </c>
      <c r="V95">
        <v>44</v>
      </c>
      <c r="W95">
        <v>3.5</v>
      </c>
    </row>
    <row r="96" spans="1:23" x14ac:dyDescent="0.35">
      <c r="A96">
        <v>10095</v>
      </c>
      <c r="B96" t="s">
        <v>27</v>
      </c>
      <c r="C96" t="s">
        <v>34</v>
      </c>
      <c r="D96" t="s">
        <v>41</v>
      </c>
      <c r="E96">
        <v>59250</v>
      </c>
      <c r="F96">
        <f ca="1">DATEDIF(Table1[[#This Row],[Hire Date]], TODAY(), "Y")</f>
        <v>9</v>
      </c>
      <c r="G96" s="7">
        <f ca="1">YEARFRAC(Table1[[#This Row],[Hire Date]], TODAY())</f>
        <v>9.155555555555555</v>
      </c>
      <c r="H96" s="7">
        <v>42700</v>
      </c>
      <c r="I96">
        <v>23</v>
      </c>
      <c r="J96" t="s">
        <v>42</v>
      </c>
      <c r="K96">
        <v>1</v>
      </c>
      <c r="L96" t="s">
        <v>44</v>
      </c>
      <c r="M96">
        <v>4470.41</v>
      </c>
      <c r="N96" t="s">
        <v>48</v>
      </c>
      <c r="O96" t="s">
        <v>50</v>
      </c>
      <c r="P96">
        <v>11</v>
      </c>
      <c r="Q96" t="s">
        <v>55</v>
      </c>
      <c r="R96" t="s">
        <v>60</v>
      </c>
      <c r="S96">
        <v>14</v>
      </c>
      <c r="T96">
        <v>2011</v>
      </c>
      <c r="U96" t="s">
        <v>66</v>
      </c>
      <c r="V96">
        <v>67</v>
      </c>
      <c r="W96">
        <v>4.4000000000000004</v>
      </c>
    </row>
    <row r="97" spans="1:23" x14ac:dyDescent="0.35">
      <c r="A97">
        <v>10096</v>
      </c>
      <c r="B97" t="s">
        <v>27</v>
      </c>
      <c r="C97" t="s">
        <v>35</v>
      </c>
      <c r="D97" t="s">
        <v>41</v>
      </c>
      <c r="E97">
        <v>98344</v>
      </c>
      <c r="F97">
        <f ca="1">DATEDIF(Table1[[#This Row],[Hire Date]], TODAY(), "Y")</f>
        <v>23</v>
      </c>
      <c r="G97" s="7">
        <f ca="1">YEARFRAC(Table1[[#This Row],[Hire Date]], TODAY())</f>
        <v>23.744444444444444</v>
      </c>
      <c r="H97" s="7">
        <v>37370</v>
      </c>
      <c r="I97">
        <v>39</v>
      </c>
      <c r="J97" t="s">
        <v>43</v>
      </c>
      <c r="K97">
        <v>1</v>
      </c>
      <c r="L97" t="s">
        <v>45</v>
      </c>
      <c r="M97">
        <v>4354.25</v>
      </c>
      <c r="N97" t="s">
        <v>48</v>
      </c>
      <c r="O97" t="s">
        <v>53</v>
      </c>
      <c r="P97">
        <v>26</v>
      </c>
      <c r="Q97" t="s">
        <v>55</v>
      </c>
      <c r="R97" t="s">
        <v>63</v>
      </c>
      <c r="S97">
        <v>14</v>
      </c>
      <c r="T97">
        <v>2013</v>
      </c>
      <c r="U97" t="s">
        <v>64</v>
      </c>
      <c r="V97">
        <v>133</v>
      </c>
      <c r="W97">
        <v>2.9</v>
      </c>
    </row>
    <row r="98" spans="1:23" x14ac:dyDescent="0.35">
      <c r="A98">
        <v>10097</v>
      </c>
      <c r="B98" t="s">
        <v>26</v>
      </c>
      <c r="C98" t="s">
        <v>33</v>
      </c>
      <c r="D98" t="s">
        <v>41</v>
      </c>
      <c r="E98">
        <v>94686</v>
      </c>
      <c r="F98">
        <f ca="1">DATEDIF(Table1[[#This Row],[Hire Date]], TODAY(), "Y")</f>
        <v>18</v>
      </c>
      <c r="G98" s="7">
        <f ca="1">YEARFRAC(Table1[[#This Row],[Hire Date]], TODAY())</f>
        <v>18.716666666666665</v>
      </c>
      <c r="H98" s="7">
        <v>39206</v>
      </c>
      <c r="I98">
        <v>56</v>
      </c>
      <c r="J98" t="s">
        <v>43</v>
      </c>
      <c r="K98">
        <v>6</v>
      </c>
      <c r="L98" t="s">
        <v>45</v>
      </c>
      <c r="M98">
        <v>1322.89</v>
      </c>
      <c r="N98" t="s">
        <v>47</v>
      </c>
      <c r="O98" t="s">
        <v>51</v>
      </c>
      <c r="P98">
        <v>23</v>
      </c>
      <c r="Q98" t="s">
        <v>57</v>
      </c>
      <c r="R98" t="s">
        <v>61</v>
      </c>
      <c r="S98">
        <v>6</v>
      </c>
      <c r="T98">
        <v>2022</v>
      </c>
      <c r="U98" t="s">
        <v>66</v>
      </c>
      <c r="V98">
        <v>167</v>
      </c>
      <c r="W98">
        <v>2.2999999999999998</v>
      </c>
    </row>
    <row r="99" spans="1:23" x14ac:dyDescent="0.35">
      <c r="A99">
        <v>10098</v>
      </c>
      <c r="B99" t="s">
        <v>22</v>
      </c>
      <c r="C99" t="s">
        <v>30</v>
      </c>
      <c r="D99" t="s">
        <v>39</v>
      </c>
      <c r="E99">
        <v>75028</v>
      </c>
      <c r="F99">
        <f ca="1">DATEDIF(Table1[[#This Row],[Hire Date]], TODAY(), "Y")</f>
        <v>14</v>
      </c>
      <c r="G99" s="7">
        <f ca="1">YEARFRAC(Table1[[#This Row],[Hire Date]], TODAY())</f>
        <v>14.777777777777779</v>
      </c>
      <c r="H99" s="7">
        <v>40645</v>
      </c>
      <c r="I99">
        <v>40</v>
      </c>
      <c r="J99" t="s">
        <v>43</v>
      </c>
      <c r="K99">
        <v>1</v>
      </c>
      <c r="L99" t="s">
        <v>44</v>
      </c>
      <c r="M99">
        <v>533.88</v>
      </c>
      <c r="N99" t="s">
        <v>49</v>
      </c>
      <c r="O99" t="s">
        <v>52</v>
      </c>
      <c r="P99">
        <v>3</v>
      </c>
      <c r="Q99" t="s">
        <v>56</v>
      </c>
      <c r="R99" t="s">
        <v>60</v>
      </c>
      <c r="S99">
        <v>7</v>
      </c>
      <c r="T99">
        <v>2010</v>
      </c>
      <c r="U99" t="s">
        <v>65</v>
      </c>
      <c r="V99">
        <v>149</v>
      </c>
      <c r="W99">
        <v>3</v>
      </c>
    </row>
    <row r="100" spans="1:23" x14ac:dyDescent="0.35">
      <c r="A100">
        <v>10099</v>
      </c>
      <c r="B100" t="s">
        <v>27</v>
      </c>
      <c r="C100" t="s">
        <v>35</v>
      </c>
      <c r="D100" t="s">
        <v>37</v>
      </c>
      <c r="E100">
        <v>45295</v>
      </c>
      <c r="F100">
        <f ca="1">DATEDIF(Table1[[#This Row],[Hire Date]], TODAY(), "Y")</f>
        <v>6</v>
      </c>
      <c r="G100" s="7">
        <f ca="1">YEARFRAC(Table1[[#This Row],[Hire Date]], TODAY())</f>
        <v>6.95</v>
      </c>
      <c r="H100" s="7">
        <v>43506</v>
      </c>
      <c r="I100">
        <v>34</v>
      </c>
      <c r="J100" t="s">
        <v>43</v>
      </c>
      <c r="K100">
        <v>4</v>
      </c>
      <c r="L100" t="s">
        <v>45</v>
      </c>
      <c r="M100">
        <v>9035.02</v>
      </c>
      <c r="N100" t="s">
        <v>46</v>
      </c>
      <c r="O100" t="s">
        <v>52</v>
      </c>
      <c r="P100">
        <v>6</v>
      </c>
      <c r="Q100" t="s">
        <v>55</v>
      </c>
      <c r="R100" t="s">
        <v>63</v>
      </c>
      <c r="S100">
        <v>10</v>
      </c>
      <c r="T100">
        <v>2018</v>
      </c>
      <c r="U100" t="s">
        <v>64</v>
      </c>
      <c r="V100">
        <v>98</v>
      </c>
      <c r="W100">
        <v>3.8</v>
      </c>
    </row>
    <row r="101" spans="1:23" x14ac:dyDescent="0.35">
      <c r="A101">
        <v>10100</v>
      </c>
      <c r="B101" t="s">
        <v>23</v>
      </c>
      <c r="C101" t="s">
        <v>35</v>
      </c>
      <c r="D101" t="s">
        <v>41</v>
      </c>
      <c r="E101">
        <v>85248</v>
      </c>
      <c r="F101">
        <f ca="1">DATEDIF(Table1[[#This Row],[Hire Date]], TODAY(), "Y")</f>
        <v>6</v>
      </c>
      <c r="G101" s="7">
        <f ca="1">YEARFRAC(Table1[[#This Row],[Hire Date]], TODAY())</f>
        <v>6.5444444444444443</v>
      </c>
      <c r="H101" s="7">
        <v>43652</v>
      </c>
      <c r="I101">
        <v>25</v>
      </c>
      <c r="J101" t="s">
        <v>42</v>
      </c>
      <c r="K101">
        <v>6</v>
      </c>
      <c r="L101" t="s">
        <v>44</v>
      </c>
      <c r="M101">
        <v>2569.09</v>
      </c>
      <c r="N101" t="s">
        <v>49</v>
      </c>
      <c r="O101" t="s">
        <v>54</v>
      </c>
      <c r="P101">
        <v>7</v>
      </c>
      <c r="Q101" t="s">
        <v>56</v>
      </c>
      <c r="R101" t="s">
        <v>58</v>
      </c>
      <c r="S101">
        <v>15</v>
      </c>
      <c r="T101">
        <v>2012</v>
      </c>
      <c r="U101" t="s">
        <v>66</v>
      </c>
      <c r="V101">
        <v>103</v>
      </c>
      <c r="W101">
        <v>2.4</v>
      </c>
    </row>
    <row r="102" spans="1:23" x14ac:dyDescent="0.35">
      <c r="A102">
        <v>10101</v>
      </c>
      <c r="B102" t="s">
        <v>21</v>
      </c>
      <c r="C102" t="s">
        <v>31</v>
      </c>
      <c r="D102" t="s">
        <v>36</v>
      </c>
      <c r="E102">
        <v>110205</v>
      </c>
      <c r="F102">
        <f ca="1">DATEDIF(Table1[[#This Row],[Hire Date]], TODAY(), "Y")</f>
        <v>22</v>
      </c>
      <c r="G102" s="7">
        <f ca="1">YEARFRAC(Table1[[#This Row],[Hire Date]], TODAY())</f>
        <v>22.675000000000001</v>
      </c>
      <c r="H102" s="7">
        <v>37760</v>
      </c>
      <c r="I102">
        <v>40</v>
      </c>
      <c r="J102" t="s">
        <v>42</v>
      </c>
      <c r="K102">
        <v>1</v>
      </c>
      <c r="L102" t="s">
        <v>44</v>
      </c>
      <c r="M102">
        <v>4547.75</v>
      </c>
      <c r="N102" t="s">
        <v>48</v>
      </c>
      <c r="O102" t="s">
        <v>53</v>
      </c>
      <c r="P102">
        <v>39</v>
      </c>
      <c r="Q102" t="s">
        <v>56</v>
      </c>
      <c r="R102" t="s">
        <v>59</v>
      </c>
      <c r="S102">
        <v>6</v>
      </c>
      <c r="T102">
        <v>2023</v>
      </c>
      <c r="U102" t="s">
        <v>66</v>
      </c>
      <c r="V102">
        <v>64</v>
      </c>
      <c r="W102">
        <v>2.7</v>
      </c>
    </row>
    <row r="103" spans="1:23" x14ac:dyDescent="0.35">
      <c r="A103">
        <v>10102</v>
      </c>
      <c r="B103" t="s">
        <v>26</v>
      </c>
      <c r="C103" t="s">
        <v>34</v>
      </c>
      <c r="D103" t="s">
        <v>37</v>
      </c>
      <c r="E103">
        <v>40523</v>
      </c>
      <c r="F103">
        <f ca="1">DATEDIF(Table1[[#This Row],[Hire Date]], TODAY(), "Y")</f>
        <v>20</v>
      </c>
      <c r="G103" s="7">
        <f ca="1">YEARFRAC(Table1[[#This Row],[Hire Date]], TODAY())</f>
        <v>20.625</v>
      </c>
      <c r="H103" s="7">
        <v>38510</v>
      </c>
      <c r="I103">
        <v>46</v>
      </c>
      <c r="J103" t="s">
        <v>42</v>
      </c>
      <c r="K103">
        <v>9</v>
      </c>
      <c r="L103" t="s">
        <v>44</v>
      </c>
      <c r="M103">
        <v>9733.2999999999993</v>
      </c>
      <c r="N103" t="s">
        <v>47</v>
      </c>
      <c r="O103" t="s">
        <v>52</v>
      </c>
      <c r="P103">
        <v>22</v>
      </c>
      <c r="Q103" t="s">
        <v>56</v>
      </c>
      <c r="R103" t="s">
        <v>61</v>
      </c>
      <c r="S103">
        <v>19</v>
      </c>
      <c r="T103">
        <v>2022</v>
      </c>
      <c r="U103" t="s">
        <v>65</v>
      </c>
      <c r="V103">
        <v>133</v>
      </c>
      <c r="W103">
        <v>3.3</v>
      </c>
    </row>
    <row r="104" spans="1:23" x14ac:dyDescent="0.35">
      <c r="A104">
        <v>10103</v>
      </c>
      <c r="B104" t="s">
        <v>26</v>
      </c>
      <c r="C104" t="s">
        <v>31</v>
      </c>
      <c r="D104" t="s">
        <v>39</v>
      </c>
      <c r="E104">
        <v>75530</v>
      </c>
      <c r="F104">
        <f ca="1">DATEDIF(Table1[[#This Row],[Hire Date]], TODAY(), "Y")</f>
        <v>14</v>
      </c>
      <c r="G104" s="7">
        <f ca="1">YEARFRAC(Table1[[#This Row],[Hire Date]], TODAY())</f>
        <v>14.402777777777779</v>
      </c>
      <c r="H104" s="7">
        <v>40782</v>
      </c>
      <c r="I104">
        <v>59</v>
      </c>
      <c r="J104" t="s">
        <v>42</v>
      </c>
      <c r="K104">
        <v>4</v>
      </c>
      <c r="L104" t="s">
        <v>45</v>
      </c>
      <c r="M104">
        <v>8354.24</v>
      </c>
      <c r="N104" t="s">
        <v>49</v>
      </c>
      <c r="O104" t="s">
        <v>53</v>
      </c>
      <c r="P104">
        <v>33</v>
      </c>
      <c r="Q104" t="s">
        <v>56</v>
      </c>
      <c r="R104" t="s">
        <v>61</v>
      </c>
      <c r="S104">
        <v>8</v>
      </c>
      <c r="T104">
        <v>2014</v>
      </c>
      <c r="U104" t="s">
        <v>64</v>
      </c>
      <c r="V104">
        <v>136</v>
      </c>
      <c r="W104">
        <v>2.2000000000000002</v>
      </c>
    </row>
    <row r="105" spans="1:23" x14ac:dyDescent="0.35">
      <c r="A105">
        <v>10104</v>
      </c>
      <c r="B105" t="s">
        <v>22</v>
      </c>
      <c r="C105" t="s">
        <v>35</v>
      </c>
      <c r="D105" t="s">
        <v>36</v>
      </c>
      <c r="E105">
        <v>43769</v>
      </c>
      <c r="F105">
        <f ca="1">DATEDIF(Table1[[#This Row],[Hire Date]], TODAY(), "Y")</f>
        <v>22</v>
      </c>
      <c r="G105" s="7">
        <f ca="1">YEARFRAC(Table1[[#This Row],[Hire Date]], TODAY())</f>
        <v>22.555555555555557</v>
      </c>
      <c r="H105" s="7">
        <v>37804</v>
      </c>
      <c r="I105">
        <v>52</v>
      </c>
      <c r="J105" t="s">
        <v>42</v>
      </c>
      <c r="K105">
        <v>9</v>
      </c>
      <c r="L105" t="s">
        <v>44</v>
      </c>
      <c r="M105">
        <v>1525.34</v>
      </c>
      <c r="N105" t="s">
        <v>46</v>
      </c>
      <c r="O105" t="s">
        <v>51</v>
      </c>
      <c r="P105">
        <v>3</v>
      </c>
      <c r="Q105" t="s">
        <v>55</v>
      </c>
      <c r="R105" t="s">
        <v>61</v>
      </c>
      <c r="S105">
        <v>18</v>
      </c>
      <c r="T105">
        <v>2011</v>
      </c>
      <c r="U105" t="s">
        <v>64</v>
      </c>
      <c r="V105">
        <v>141</v>
      </c>
      <c r="W105">
        <v>1.8</v>
      </c>
    </row>
    <row r="106" spans="1:23" x14ac:dyDescent="0.35">
      <c r="A106">
        <v>10105</v>
      </c>
      <c r="B106" t="s">
        <v>26</v>
      </c>
      <c r="C106" t="s">
        <v>35</v>
      </c>
      <c r="D106" t="s">
        <v>38</v>
      </c>
      <c r="E106">
        <v>93042</v>
      </c>
      <c r="F106">
        <f ca="1">DATEDIF(Table1[[#This Row],[Hire Date]], TODAY(), "Y")</f>
        <v>21</v>
      </c>
      <c r="G106" s="7">
        <f ca="1">YEARFRAC(Table1[[#This Row],[Hire Date]], TODAY())</f>
        <v>21.691666666666666</v>
      </c>
      <c r="H106" s="7">
        <v>38120</v>
      </c>
      <c r="I106">
        <v>57</v>
      </c>
      <c r="J106" t="s">
        <v>42</v>
      </c>
      <c r="K106">
        <v>9</v>
      </c>
      <c r="L106" t="s">
        <v>44</v>
      </c>
      <c r="M106">
        <v>5330.93</v>
      </c>
      <c r="N106" t="s">
        <v>49</v>
      </c>
      <c r="O106" t="s">
        <v>54</v>
      </c>
      <c r="P106">
        <v>30</v>
      </c>
      <c r="Q106" t="s">
        <v>57</v>
      </c>
      <c r="R106" t="s">
        <v>62</v>
      </c>
      <c r="S106">
        <v>0</v>
      </c>
      <c r="T106">
        <v>2017</v>
      </c>
      <c r="U106" t="s">
        <v>65</v>
      </c>
      <c r="V106">
        <v>49</v>
      </c>
      <c r="W106">
        <v>1.6</v>
      </c>
    </row>
    <row r="107" spans="1:23" x14ac:dyDescent="0.35">
      <c r="A107">
        <v>10106</v>
      </c>
      <c r="B107" t="s">
        <v>26</v>
      </c>
      <c r="C107" t="s">
        <v>35</v>
      </c>
      <c r="D107" t="s">
        <v>37</v>
      </c>
      <c r="E107">
        <v>74645</v>
      </c>
      <c r="F107">
        <f ca="1">DATEDIF(Table1[[#This Row],[Hire Date]], TODAY(), "Y")</f>
        <v>8</v>
      </c>
      <c r="G107" s="7">
        <f ca="1">YEARFRAC(Table1[[#This Row],[Hire Date]], TODAY())</f>
        <v>8.9305555555555554</v>
      </c>
      <c r="H107" s="7">
        <v>42783</v>
      </c>
      <c r="I107">
        <v>25</v>
      </c>
      <c r="J107" t="s">
        <v>43</v>
      </c>
      <c r="K107">
        <v>6</v>
      </c>
      <c r="L107" t="s">
        <v>45</v>
      </c>
      <c r="M107">
        <v>7435.75</v>
      </c>
      <c r="N107" t="s">
        <v>49</v>
      </c>
      <c r="O107" t="s">
        <v>53</v>
      </c>
      <c r="P107">
        <v>24</v>
      </c>
      <c r="Q107" t="s">
        <v>56</v>
      </c>
      <c r="R107" t="s">
        <v>59</v>
      </c>
      <c r="S107">
        <v>17</v>
      </c>
      <c r="T107">
        <v>2020</v>
      </c>
      <c r="U107" t="s">
        <v>65</v>
      </c>
      <c r="V107">
        <v>164</v>
      </c>
      <c r="W107">
        <v>2.4</v>
      </c>
    </row>
    <row r="108" spans="1:23" x14ac:dyDescent="0.35">
      <c r="A108">
        <v>10107</v>
      </c>
      <c r="B108" t="s">
        <v>27</v>
      </c>
      <c r="C108" t="s">
        <v>32</v>
      </c>
      <c r="D108" t="s">
        <v>38</v>
      </c>
      <c r="E108">
        <v>92142</v>
      </c>
      <c r="F108">
        <f ca="1">DATEDIF(Table1[[#This Row],[Hire Date]], TODAY(), "Y")</f>
        <v>19</v>
      </c>
      <c r="G108" s="7">
        <f ca="1">YEARFRAC(Table1[[#This Row],[Hire Date]], TODAY())</f>
        <v>19.072222222222223</v>
      </c>
      <c r="H108" s="7">
        <v>39077</v>
      </c>
      <c r="I108">
        <v>60</v>
      </c>
      <c r="J108" t="s">
        <v>42</v>
      </c>
      <c r="K108">
        <v>7</v>
      </c>
      <c r="L108" t="s">
        <v>45</v>
      </c>
      <c r="M108">
        <v>7134.73</v>
      </c>
      <c r="N108" t="s">
        <v>47</v>
      </c>
      <c r="O108" t="s">
        <v>54</v>
      </c>
      <c r="P108">
        <v>3</v>
      </c>
      <c r="Q108" t="s">
        <v>56</v>
      </c>
      <c r="R108" t="s">
        <v>63</v>
      </c>
      <c r="S108">
        <v>7</v>
      </c>
      <c r="T108">
        <v>2020</v>
      </c>
      <c r="U108" t="s">
        <v>65</v>
      </c>
      <c r="V108">
        <v>73</v>
      </c>
      <c r="W108">
        <v>1.2</v>
      </c>
    </row>
    <row r="109" spans="1:23" x14ac:dyDescent="0.35">
      <c r="A109">
        <v>10108</v>
      </c>
      <c r="B109" t="s">
        <v>22</v>
      </c>
      <c r="C109" t="s">
        <v>30</v>
      </c>
      <c r="D109" t="s">
        <v>41</v>
      </c>
      <c r="E109">
        <v>55557</v>
      </c>
      <c r="F109">
        <f ca="1">DATEDIF(Table1[[#This Row],[Hire Date]], TODAY(), "Y")</f>
        <v>20</v>
      </c>
      <c r="G109" s="7">
        <f ca="1">YEARFRAC(Table1[[#This Row],[Hire Date]], TODAY())</f>
        <v>20.711111111111112</v>
      </c>
      <c r="H109" s="7">
        <v>38478</v>
      </c>
      <c r="I109">
        <v>28</v>
      </c>
      <c r="J109" t="s">
        <v>43</v>
      </c>
      <c r="K109">
        <v>1</v>
      </c>
      <c r="L109" t="s">
        <v>45</v>
      </c>
      <c r="M109">
        <v>7728</v>
      </c>
      <c r="N109" t="s">
        <v>47</v>
      </c>
      <c r="O109" t="s">
        <v>53</v>
      </c>
      <c r="P109">
        <v>2</v>
      </c>
      <c r="Q109" t="s">
        <v>56</v>
      </c>
      <c r="R109" t="s">
        <v>60</v>
      </c>
      <c r="S109">
        <v>7</v>
      </c>
      <c r="T109">
        <v>2023</v>
      </c>
      <c r="U109" t="s">
        <v>66</v>
      </c>
      <c r="V109">
        <v>18</v>
      </c>
      <c r="W109">
        <v>3.3</v>
      </c>
    </row>
    <row r="110" spans="1:23" x14ac:dyDescent="0.35">
      <c r="A110">
        <v>10109</v>
      </c>
      <c r="B110" t="s">
        <v>27</v>
      </c>
      <c r="C110" t="s">
        <v>30</v>
      </c>
      <c r="D110" t="s">
        <v>39</v>
      </c>
      <c r="E110">
        <v>109782</v>
      </c>
      <c r="F110">
        <f ca="1">DATEDIF(Table1[[#This Row],[Hire Date]], TODAY(), "Y")</f>
        <v>21</v>
      </c>
      <c r="G110" s="7">
        <f ca="1">YEARFRAC(Table1[[#This Row],[Hire Date]], TODAY())</f>
        <v>21.416666666666668</v>
      </c>
      <c r="H110" s="7">
        <v>38221</v>
      </c>
      <c r="I110">
        <v>37</v>
      </c>
      <c r="J110" t="s">
        <v>43</v>
      </c>
      <c r="K110">
        <v>5</v>
      </c>
      <c r="L110" t="s">
        <v>45</v>
      </c>
      <c r="M110">
        <v>4845.82</v>
      </c>
      <c r="N110" t="s">
        <v>48</v>
      </c>
      <c r="O110" t="s">
        <v>53</v>
      </c>
      <c r="P110">
        <v>19</v>
      </c>
      <c r="Q110" t="s">
        <v>57</v>
      </c>
      <c r="R110" t="s">
        <v>58</v>
      </c>
      <c r="S110">
        <v>7</v>
      </c>
      <c r="T110">
        <v>2012</v>
      </c>
      <c r="U110" t="s">
        <v>66</v>
      </c>
      <c r="V110">
        <v>183</v>
      </c>
      <c r="W110">
        <v>1.7</v>
      </c>
    </row>
    <row r="111" spans="1:23" x14ac:dyDescent="0.35">
      <c r="A111">
        <v>10110</v>
      </c>
      <c r="B111" t="s">
        <v>21</v>
      </c>
      <c r="C111" t="s">
        <v>31</v>
      </c>
      <c r="D111" t="s">
        <v>41</v>
      </c>
      <c r="E111">
        <v>108382</v>
      </c>
      <c r="F111">
        <f ca="1">DATEDIF(Table1[[#This Row],[Hire Date]], TODAY(), "Y")</f>
        <v>23</v>
      </c>
      <c r="G111" s="7">
        <f ca="1">YEARFRAC(Table1[[#This Row],[Hire Date]], TODAY())</f>
        <v>23.444444444444443</v>
      </c>
      <c r="H111" s="7">
        <v>37480</v>
      </c>
      <c r="I111">
        <v>26</v>
      </c>
      <c r="J111" t="s">
        <v>43</v>
      </c>
      <c r="K111">
        <v>3</v>
      </c>
      <c r="L111" t="s">
        <v>44</v>
      </c>
      <c r="M111">
        <v>2171.27</v>
      </c>
      <c r="N111" t="s">
        <v>47</v>
      </c>
      <c r="O111" t="s">
        <v>50</v>
      </c>
      <c r="P111">
        <v>24</v>
      </c>
      <c r="Q111" t="s">
        <v>56</v>
      </c>
      <c r="R111" t="s">
        <v>61</v>
      </c>
      <c r="S111">
        <v>13</v>
      </c>
      <c r="T111">
        <v>2014</v>
      </c>
      <c r="U111" t="s">
        <v>65</v>
      </c>
      <c r="V111">
        <v>155</v>
      </c>
      <c r="W111">
        <v>2.5</v>
      </c>
    </row>
    <row r="112" spans="1:23" x14ac:dyDescent="0.35">
      <c r="A112">
        <v>10111</v>
      </c>
      <c r="B112" t="s">
        <v>25</v>
      </c>
      <c r="C112" t="s">
        <v>35</v>
      </c>
      <c r="D112" t="s">
        <v>39</v>
      </c>
      <c r="E112">
        <v>67085</v>
      </c>
      <c r="F112">
        <f ca="1">DATEDIF(Table1[[#This Row],[Hire Date]], TODAY(), "Y")</f>
        <v>17</v>
      </c>
      <c r="G112" s="7">
        <f ca="1">YEARFRAC(Table1[[#This Row],[Hire Date]], TODAY())</f>
        <v>17.05</v>
      </c>
      <c r="H112" s="7">
        <v>39817</v>
      </c>
      <c r="I112">
        <v>44</v>
      </c>
      <c r="J112" t="s">
        <v>42</v>
      </c>
      <c r="K112">
        <v>6</v>
      </c>
      <c r="L112" t="s">
        <v>45</v>
      </c>
      <c r="M112">
        <v>4916.29</v>
      </c>
      <c r="N112" t="s">
        <v>49</v>
      </c>
      <c r="O112" t="s">
        <v>54</v>
      </c>
      <c r="P112">
        <v>20</v>
      </c>
      <c r="Q112" t="s">
        <v>57</v>
      </c>
      <c r="R112" t="s">
        <v>61</v>
      </c>
      <c r="S112">
        <v>1</v>
      </c>
      <c r="T112">
        <v>2016</v>
      </c>
      <c r="U112" t="s">
        <v>64</v>
      </c>
      <c r="V112">
        <v>178</v>
      </c>
      <c r="W112">
        <v>2.1</v>
      </c>
    </row>
    <row r="113" spans="1:23" x14ac:dyDescent="0.35">
      <c r="A113">
        <v>10112</v>
      </c>
      <c r="B113" t="s">
        <v>21</v>
      </c>
      <c r="C113" t="s">
        <v>30</v>
      </c>
      <c r="D113" t="s">
        <v>40</v>
      </c>
      <c r="E113">
        <v>80708</v>
      </c>
      <c r="F113">
        <f ca="1">DATEDIF(Table1[[#This Row],[Hire Date]], TODAY(), "Y")</f>
        <v>25</v>
      </c>
      <c r="G113" s="7">
        <f ca="1">YEARFRAC(Table1[[#This Row],[Hire Date]], TODAY())</f>
        <v>25.083333333333332</v>
      </c>
      <c r="H113" s="7">
        <v>36882</v>
      </c>
      <c r="I113">
        <v>57</v>
      </c>
      <c r="J113" t="s">
        <v>43</v>
      </c>
      <c r="K113">
        <v>4</v>
      </c>
      <c r="L113" t="s">
        <v>44</v>
      </c>
      <c r="M113">
        <v>6654.93</v>
      </c>
      <c r="N113" t="s">
        <v>46</v>
      </c>
      <c r="O113" t="s">
        <v>53</v>
      </c>
      <c r="P113">
        <v>31</v>
      </c>
      <c r="Q113" t="s">
        <v>55</v>
      </c>
      <c r="R113" t="s">
        <v>61</v>
      </c>
      <c r="S113">
        <v>2</v>
      </c>
      <c r="T113">
        <v>2011</v>
      </c>
      <c r="U113" t="s">
        <v>66</v>
      </c>
      <c r="V113">
        <v>159</v>
      </c>
      <c r="W113">
        <v>3.5</v>
      </c>
    </row>
    <row r="114" spans="1:23" x14ac:dyDescent="0.35">
      <c r="A114">
        <v>10113</v>
      </c>
      <c r="B114" t="s">
        <v>25</v>
      </c>
      <c r="C114" t="s">
        <v>29</v>
      </c>
      <c r="D114" t="s">
        <v>41</v>
      </c>
      <c r="E114">
        <v>81357</v>
      </c>
      <c r="F114">
        <f ca="1">DATEDIF(Table1[[#This Row],[Hire Date]], TODAY(), "Y")</f>
        <v>8</v>
      </c>
      <c r="G114" s="7">
        <f ca="1">YEARFRAC(Table1[[#This Row],[Hire Date]], TODAY())</f>
        <v>8.7750000000000004</v>
      </c>
      <c r="H114" s="7">
        <v>42838</v>
      </c>
      <c r="I114">
        <v>53</v>
      </c>
      <c r="J114" t="s">
        <v>42</v>
      </c>
      <c r="K114">
        <v>9</v>
      </c>
      <c r="L114" t="s">
        <v>44</v>
      </c>
      <c r="M114">
        <v>6281.62</v>
      </c>
      <c r="N114" t="s">
        <v>48</v>
      </c>
      <c r="O114" t="s">
        <v>50</v>
      </c>
      <c r="P114">
        <v>31</v>
      </c>
      <c r="Q114" t="s">
        <v>57</v>
      </c>
      <c r="R114" t="s">
        <v>63</v>
      </c>
      <c r="S114">
        <v>6</v>
      </c>
      <c r="T114">
        <v>2012</v>
      </c>
      <c r="U114" t="s">
        <v>65</v>
      </c>
      <c r="V114">
        <v>93</v>
      </c>
      <c r="W114">
        <v>4.4000000000000004</v>
      </c>
    </row>
    <row r="115" spans="1:23" x14ac:dyDescent="0.35">
      <c r="A115">
        <v>10114</v>
      </c>
      <c r="B115" t="s">
        <v>27</v>
      </c>
      <c r="C115" t="s">
        <v>30</v>
      </c>
      <c r="D115" t="s">
        <v>38</v>
      </c>
      <c r="E115">
        <v>43470</v>
      </c>
      <c r="F115">
        <f ca="1">DATEDIF(Table1[[#This Row],[Hire Date]], TODAY(), "Y")</f>
        <v>16</v>
      </c>
      <c r="G115" s="7">
        <f ca="1">YEARFRAC(Table1[[#This Row],[Hire Date]], TODAY())</f>
        <v>16.216666666666665</v>
      </c>
      <c r="H115" s="7">
        <v>40121</v>
      </c>
      <c r="I115">
        <v>45</v>
      </c>
      <c r="J115" t="s">
        <v>43</v>
      </c>
      <c r="K115">
        <v>7</v>
      </c>
      <c r="L115" t="s">
        <v>45</v>
      </c>
      <c r="M115">
        <v>1169.96</v>
      </c>
      <c r="N115" t="s">
        <v>47</v>
      </c>
      <c r="O115" t="s">
        <v>50</v>
      </c>
      <c r="P115">
        <v>37</v>
      </c>
      <c r="Q115" t="s">
        <v>56</v>
      </c>
      <c r="R115" t="s">
        <v>58</v>
      </c>
      <c r="S115">
        <v>2</v>
      </c>
      <c r="T115">
        <v>2017</v>
      </c>
      <c r="U115" t="s">
        <v>66</v>
      </c>
      <c r="V115">
        <v>40</v>
      </c>
      <c r="W115">
        <v>3.5</v>
      </c>
    </row>
    <row r="116" spans="1:23" x14ac:dyDescent="0.35">
      <c r="A116">
        <v>10115</v>
      </c>
      <c r="B116" t="s">
        <v>21</v>
      </c>
      <c r="C116" t="s">
        <v>34</v>
      </c>
      <c r="D116" t="s">
        <v>39</v>
      </c>
      <c r="E116">
        <v>108712</v>
      </c>
      <c r="F116">
        <f ca="1">DATEDIF(Table1[[#This Row],[Hire Date]], TODAY(), "Y")</f>
        <v>23</v>
      </c>
      <c r="G116" s="7">
        <f ca="1">YEARFRAC(Table1[[#This Row],[Hire Date]], TODAY())</f>
        <v>23.405555555555555</v>
      </c>
      <c r="H116" s="7">
        <v>37494</v>
      </c>
      <c r="I116">
        <v>46</v>
      </c>
      <c r="J116" t="s">
        <v>42</v>
      </c>
      <c r="K116">
        <v>4</v>
      </c>
      <c r="L116" t="s">
        <v>45</v>
      </c>
      <c r="M116">
        <v>1117.05</v>
      </c>
      <c r="N116" t="s">
        <v>49</v>
      </c>
      <c r="O116" t="s">
        <v>54</v>
      </c>
      <c r="P116">
        <v>29</v>
      </c>
      <c r="Q116" t="s">
        <v>55</v>
      </c>
      <c r="R116" t="s">
        <v>63</v>
      </c>
      <c r="S116">
        <v>14</v>
      </c>
      <c r="T116">
        <v>2019</v>
      </c>
      <c r="U116" t="s">
        <v>66</v>
      </c>
      <c r="V116">
        <v>36</v>
      </c>
      <c r="W116">
        <v>3.2</v>
      </c>
    </row>
    <row r="117" spans="1:23" x14ac:dyDescent="0.35">
      <c r="A117">
        <v>10116</v>
      </c>
      <c r="B117" t="s">
        <v>22</v>
      </c>
      <c r="C117" t="s">
        <v>34</v>
      </c>
      <c r="D117" t="s">
        <v>41</v>
      </c>
      <c r="E117">
        <v>109082</v>
      </c>
      <c r="F117">
        <f ca="1">DATEDIF(Table1[[#This Row],[Hire Date]], TODAY(), "Y")</f>
        <v>25</v>
      </c>
      <c r="G117" s="7">
        <f ca="1">YEARFRAC(Table1[[#This Row],[Hire Date]], TODAY())</f>
        <v>25.397222222222222</v>
      </c>
      <c r="H117" s="7">
        <v>36767</v>
      </c>
      <c r="I117">
        <v>49</v>
      </c>
      <c r="J117" t="s">
        <v>42</v>
      </c>
      <c r="K117">
        <v>6</v>
      </c>
      <c r="L117" t="s">
        <v>45</v>
      </c>
      <c r="M117">
        <v>9669.9500000000007</v>
      </c>
      <c r="N117" t="s">
        <v>49</v>
      </c>
      <c r="O117" t="s">
        <v>51</v>
      </c>
      <c r="P117">
        <v>4</v>
      </c>
      <c r="Q117" t="s">
        <v>57</v>
      </c>
      <c r="R117" t="s">
        <v>58</v>
      </c>
      <c r="S117">
        <v>10</v>
      </c>
      <c r="T117">
        <v>2023</v>
      </c>
      <c r="U117" t="s">
        <v>65</v>
      </c>
      <c r="V117">
        <v>77</v>
      </c>
      <c r="W117">
        <v>3.7</v>
      </c>
    </row>
    <row r="118" spans="1:23" x14ac:dyDescent="0.35">
      <c r="A118">
        <v>10117</v>
      </c>
      <c r="B118" t="s">
        <v>28</v>
      </c>
      <c r="C118" t="s">
        <v>30</v>
      </c>
      <c r="D118" t="s">
        <v>37</v>
      </c>
      <c r="E118">
        <v>36805</v>
      </c>
      <c r="F118">
        <f ca="1">DATEDIF(Table1[[#This Row],[Hire Date]], TODAY(), "Y")</f>
        <v>16</v>
      </c>
      <c r="G118" s="7">
        <f ca="1">YEARFRAC(Table1[[#This Row],[Hire Date]], TODAY())</f>
        <v>16.622222222222224</v>
      </c>
      <c r="H118" s="7">
        <v>39972</v>
      </c>
      <c r="I118">
        <v>40</v>
      </c>
      <c r="J118" t="s">
        <v>42</v>
      </c>
      <c r="K118">
        <v>2</v>
      </c>
      <c r="L118" t="s">
        <v>45</v>
      </c>
      <c r="M118">
        <v>1942.15</v>
      </c>
      <c r="N118" t="s">
        <v>48</v>
      </c>
      <c r="O118" t="s">
        <v>54</v>
      </c>
      <c r="P118">
        <v>10</v>
      </c>
      <c r="Q118" t="s">
        <v>56</v>
      </c>
      <c r="R118" t="s">
        <v>60</v>
      </c>
      <c r="S118">
        <v>1</v>
      </c>
      <c r="T118">
        <v>2017</v>
      </c>
      <c r="U118" t="s">
        <v>64</v>
      </c>
      <c r="V118">
        <v>198</v>
      </c>
      <c r="W118">
        <v>1.1000000000000001</v>
      </c>
    </row>
    <row r="119" spans="1:23" x14ac:dyDescent="0.35">
      <c r="A119">
        <v>10118</v>
      </c>
      <c r="B119" t="s">
        <v>27</v>
      </c>
      <c r="C119" t="s">
        <v>29</v>
      </c>
      <c r="D119" t="s">
        <v>39</v>
      </c>
      <c r="E119">
        <v>112324</v>
      </c>
      <c r="F119">
        <f ca="1">DATEDIF(Table1[[#This Row],[Hire Date]], TODAY(), "Y")</f>
        <v>14</v>
      </c>
      <c r="G119" s="7">
        <f ca="1">YEARFRAC(Table1[[#This Row],[Hire Date]], TODAY())</f>
        <v>14.463888888888889</v>
      </c>
      <c r="H119" s="7">
        <v>40760</v>
      </c>
      <c r="I119">
        <v>28</v>
      </c>
      <c r="J119" t="s">
        <v>42</v>
      </c>
      <c r="K119">
        <v>3</v>
      </c>
      <c r="L119" t="s">
        <v>44</v>
      </c>
      <c r="M119">
        <v>3297.39</v>
      </c>
      <c r="N119" t="s">
        <v>48</v>
      </c>
      <c r="O119" t="s">
        <v>53</v>
      </c>
      <c r="P119">
        <v>36</v>
      </c>
      <c r="Q119" t="s">
        <v>55</v>
      </c>
      <c r="R119" t="s">
        <v>62</v>
      </c>
      <c r="S119">
        <v>17</v>
      </c>
      <c r="T119">
        <v>2012</v>
      </c>
      <c r="U119" t="s">
        <v>64</v>
      </c>
      <c r="V119">
        <v>174</v>
      </c>
      <c r="W119">
        <v>1.5</v>
      </c>
    </row>
    <row r="120" spans="1:23" x14ac:dyDescent="0.35">
      <c r="A120">
        <v>10119</v>
      </c>
      <c r="B120" t="s">
        <v>25</v>
      </c>
      <c r="C120" t="s">
        <v>34</v>
      </c>
      <c r="D120" t="s">
        <v>39</v>
      </c>
      <c r="E120">
        <v>92028</v>
      </c>
      <c r="F120">
        <f ca="1">DATEDIF(Table1[[#This Row],[Hire Date]], TODAY(), "Y")</f>
        <v>20</v>
      </c>
      <c r="G120" s="7">
        <f ca="1">YEARFRAC(Table1[[#This Row],[Hire Date]], TODAY())</f>
        <v>20.18888888888889</v>
      </c>
      <c r="H120" s="7">
        <v>38670</v>
      </c>
      <c r="I120">
        <v>62</v>
      </c>
      <c r="J120" t="s">
        <v>42</v>
      </c>
      <c r="K120">
        <v>7</v>
      </c>
      <c r="L120" t="s">
        <v>45</v>
      </c>
      <c r="M120">
        <v>7792.53</v>
      </c>
      <c r="N120" t="s">
        <v>47</v>
      </c>
      <c r="O120" t="s">
        <v>51</v>
      </c>
      <c r="P120">
        <v>35</v>
      </c>
      <c r="Q120" t="s">
        <v>55</v>
      </c>
      <c r="R120" t="s">
        <v>58</v>
      </c>
      <c r="S120">
        <v>13</v>
      </c>
      <c r="T120">
        <v>2022</v>
      </c>
      <c r="U120" t="s">
        <v>66</v>
      </c>
      <c r="V120">
        <v>54</v>
      </c>
      <c r="W120">
        <v>1.4</v>
      </c>
    </row>
    <row r="121" spans="1:23" x14ac:dyDescent="0.35">
      <c r="A121">
        <v>10120</v>
      </c>
      <c r="B121" t="s">
        <v>23</v>
      </c>
      <c r="C121" t="s">
        <v>32</v>
      </c>
      <c r="D121" t="s">
        <v>41</v>
      </c>
      <c r="E121">
        <v>80772</v>
      </c>
      <c r="F121">
        <f ca="1">DATEDIF(Table1[[#This Row],[Hire Date]], TODAY(), "Y")</f>
        <v>25</v>
      </c>
      <c r="G121" s="7">
        <f ca="1">YEARFRAC(Table1[[#This Row],[Hire Date]], TODAY())</f>
        <v>25.655555555555555</v>
      </c>
      <c r="H121" s="7">
        <v>36672</v>
      </c>
      <c r="I121">
        <v>38</v>
      </c>
      <c r="J121" t="s">
        <v>43</v>
      </c>
      <c r="K121">
        <v>4</v>
      </c>
      <c r="L121" t="s">
        <v>44</v>
      </c>
      <c r="M121">
        <v>4391.93</v>
      </c>
      <c r="N121" t="s">
        <v>47</v>
      </c>
      <c r="O121" t="s">
        <v>54</v>
      </c>
      <c r="P121">
        <v>21</v>
      </c>
      <c r="Q121" t="s">
        <v>57</v>
      </c>
      <c r="R121" t="s">
        <v>59</v>
      </c>
      <c r="S121">
        <v>17</v>
      </c>
      <c r="T121">
        <v>2019</v>
      </c>
      <c r="U121" t="s">
        <v>64</v>
      </c>
      <c r="V121">
        <v>61</v>
      </c>
      <c r="W121">
        <v>1.4</v>
      </c>
    </row>
    <row r="122" spans="1:23" x14ac:dyDescent="0.35">
      <c r="A122">
        <v>10121</v>
      </c>
      <c r="B122" t="s">
        <v>25</v>
      </c>
      <c r="C122" t="s">
        <v>30</v>
      </c>
      <c r="D122" t="s">
        <v>40</v>
      </c>
      <c r="E122">
        <v>82104</v>
      </c>
      <c r="F122">
        <f ca="1">DATEDIF(Table1[[#This Row],[Hire Date]], TODAY(), "Y")</f>
        <v>11</v>
      </c>
      <c r="G122" s="7">
        <f ca="1">YEARFRAC(Table1[[#This Row],[Hire Date]], TODAY())</f>
        <v>11.883333333333333</v>
      </c>
      <c r="H122" s="7">
        <v>41702</v>
      </c>
      <c r="I122">
        <v>23</v>
      </c>
      <c r="J122" t="s">
        <v>42</v>
      </c>
      <c r="K122">
        <v>7</v>
      </c>
      <c r="L122" t="s">
        <v>44</v>
      </c>
      <c r="M122">
        <v>2223.92</v>
      </c>
      <c r="N122" t="s">
        <v>46</v>
      </c>
      <c r="O122" t="s">
        <v>54</v>
      </c>
      <c r="P122">
        <v>1</v>
      </c>
      <c r="Q122" t="s">
        <v>56</v>
      </c>
      <c r="R122" t="s">
        <v>63</v>
      </c>
      <c r="S122">
        <v>1</v>
      </c>
      <c r="T122">
        <v>2021</v>
      </c>
      <c r="U122" t="s">
        <v>64</v>
      </c>
      <c r="V122">
        <v>121</v>
      </c>
      <c r="W122">
        <v>2</v>
      </c>
    </row>
    <row r="123" spans="1:23" x14ac:dyDescent="0.35">
      <c r="A123">
        <v>10122</v>
      </c>
      <c r="B123" t="s">
        <v>23</v>
      </c>
      <c r="C123" t="s">
        <v>32</v>
      </c>
      <c r="D123" t="s">
        <v>41</v>
      </c>
      <c r="E123">
        <v>103616</v>
      </c>
      <c r="F123">
        <f ca="1">DATEDIF(Table1[[#This Row],[Hire Date]], TODAY(), "Y")</f>
        <v>11</v>
      </c>
      <c r="G123" s="7">
        <f ca="1">YEARFRAC(Table1[[#This Row],[Hire Date]], TODAY())</f>
        <v>11.930555555555555</v>
      </c>
      <c r="H123" s="7">
        <v>41687</v>
      </c>
      <c r="I123">
        <v>37</v>
      </c>
      <c r="J123" t="s">
        <v>42</v>
      </c>
      <c r="K123">
        <v>9</v>
      </c>
      <c r="L123" t="s">
        <v>45</v>
      </c>
      <c r="M123">
        <v>4938.71</v>
      </c>
      <c r="N123" t="s">
        <v>48</v>
      </c>
      <c r="O123" t="s">
        <v>54</v>
      </c>
      <c r="P123">
        <v>12</v>
      </c>
      <c r="Q123" t="s">
        <v>57</v>
      </c>
      <c r="R123" t="s">
        <v>63</v>
      </c>
      <c r="S123">
        <v>3</v>
      </c>
      <c r="T123">
        <v>2016</v>
      </c>
      <c r="U123" t="s">
        <v>65</v>
      </c>
      <c r="V123">
        <v>196</v>
      </c>
      <c r="W123">
        <v>3.1</v>
      </c>
    </row>
    <row r="124" spans="1:23" x14ac:dyDescent="0.35">
      <c r="A124">
        <v>10123</v>
      </c>
      <c r="B124" t="s">
        <v>26</v>
      </c>
      <c r="C124" t="s">
        <v>30</v>
      </c>
      <c r="D124" t="s">
        <v>38</v>
      </c>
      <c r="E124">
        <v>119300</v>
      </c>
      <c r="F124">
        <f ca="1">DATEDIF(Table1[[#This Row],[Hire Date]], TODAY(), "Y")</f>
        <v>6</v>
      </c>
      <c r="G124" s="7">
        <f ca="1">YEARFRAC(Table1[[#This Row],[Hire Date]], TODAY())</f>
        <v>6.8638888888888889</v>
      </c>
      <c r="H124" s="7">
        <v>43535</v>
      </c>
      <c r="I124">
        <v>60</v>
      </c>
      <c r="J124" t="s">
        <v>43</v>
      </c>
      <c r="K124">
        <v>5</v>
      </c>
      <c r="L124" t="s">
        <v>45</v>
      </c>
      <c r="M124">
        <v>5905.02</v>
      </c>
      <c r="N124" t="s">
        <v>48</v>
      </c>
      <c r="O124" t="s">
        <v>54</v>
      </c>
      <c r="P124">
        <v>24</v>
      </c>
      <c r="Q124" t="s">
        <v>55</v>
      </c>
      <c r="R124" t="s">
        <v>63</v>
      </c>
      <c r="S124">
        <v>13</v>
      </c>
      <c r="T124">
        <v>2023</v>
      </c>
      <c r="U124" t="s">
        <v>65</v>
      </c>
      <c r="V124">
        <v>178</v>
      </c>
      <c r="W124">
        <v>1.5</v>
      </c>
    </row>
    <row r="125" spans="1:23" x14ac:dyDescent="0.35">
      <c r="A125">
        <v>10124</v>
      </c>
      <c r="B125" t="s">
        <v>21</v>
      </c>
      <c r="C125" t="s">
        <v>33</v>
      </c>
      <c r="D125" t="s">
        <v>38</v>
      </c>
      <c r="E125">
        <v>36630</v>
      </c>
      <c r="F125">
        <f ca="1">DATEDIF(Table1[[#This Row],[Hire Date]], TODAY(), "Y")</f>
        <v>24</v>
      </c>
      <c r="G125" s="7">
        <f ca="1">YEARFRAC(Table1[[#This Row],[Hire Date]], TODAY())</f>
        <v>24.572222222222223</v>
      </c>
      <c r="H125" s="7">
        <v>37068</v>
      </c>
      <c r="I125">
        <v>39</v>
      </c>
      <c r="J125" t="s">
        <v>42</v>
      </c>
      <c r="K125">
        <v>1</v>
      </c>
      <c r="L125" t="s">
        <v>45</v>
      </c>
      <c r="M125">
        <v>4801.28</v>
      </c>
      <c r="N125" t="s">
        <v>49</v>
      </c>
      <c r="O125" t="s">
        <v>51</v>
      </c>
      <c r="P125">
        <v>2</v>
      </c>
      <c r="Q125" t="s">
        <v>55</v>
      </c>
      <c r="R125" t="s">
        <v>62</v>
      </c>
      <c r="S125">
        <v>6</v>
      </c>
      <c r="T125">
        <v>2020</v>
      </c>
      <c r="U125" t="s">
        <v>65</v>
      </c>
      <c r="V125">
        <v>115</v>
      </c>
      <c r="W125">
        <v>4.7</v>
      </c>
    </row>
    <row r="126" spans="1:23" x14ac:dyDescent="0.35">
      <c r="A126">
        <v>10125</v>
      </c>
      <c r="B126" t="s">
        <v>23</v>
      </c>
      <c r="C126" t="s">
        <v>33</v>
      </c>
      <c r="D126" t="s">
        <v>39</v>
      </c>
      <c r="E126">
        <v>45701</v>
      </c>
      <c r="F126">
        <f ca="1">DATEDIF(Table1[[#This Row],[Hire Date]], TODAY(), "Y")</f>
        <v>24</v>
      </c>
      <c r="G126" s="7">
        <f ca="1">YEARFRAC(Table1[[#This Row],[Hire Date]], TODAY())</f>
        <v>24.166666666666668</v>
      </c>
      <c r="H126" s="7">
        <v>37217</v>
      </c>
      <c r="I126">
        <v>60</v>
      </c>
      <c r="J126" t="s">
        <v>42</v>
      </c>
      <c r="K126">
        <v>5</v>
      </c>
      <c r="L126" t="s">
        <v>44</v>
      </c>
      <c r="M126">
        <v>9229.99</v>
      </c>
      <c r="N126" t="s">
        <v>46</v>
      </c>
      <c r="O126" t="s">
        <v>53</v>
      </c>
      <c r="P126">
        <v>20</v>
      </c>
      <c r="Q126" t="s">
        <v>56</v>
      </c>
      <c r="R126" t="s">
        <v>58</v>
      </c>
      <c r="S126">
        <v>14</v>
      </c>
      <c r="T126">
        <v>2022</v>
      </c>
      <c r="U126" t="s">
        <v>64</v>
      </c>
      <c r="V126">
        <v>93</v>
      </c>
      <c r="W126">
        <v>4.4000000000000004</v>
      </c>
    </row>
    <row r="127" spans="1:23" x14ac:dyDescent="0.35">
      <c r="A127">
        <v>10126</v>
      </c>
      <c r="B127" t="s">
        <v>25</v>
      </c>
      <c r="C127" t="s">
        <v>33</v>
      </c>
      <c r="D127" t="s">
        <v>39</v>
      </c>
      <c r="E127">
        <v>44859</v>
      </c>
      <c r="F127">
        <f ca="1">DATEDIF(Table1[[#This Row],[Hire Date]], TODAY(), "Y")</f>
        <v>23</v>
      </c>
      <c r="G127" s="7">
        <f ca="1">YEARFRAC(Table1[[#This Row],[Hire Date]], TODAY())</f>
        <v>23.25</v>
      </c>
      <c r="H127" s="7">
        <v>37551</v>
      </c>
      <c r="I127">
        <v>22</v>
      </c>
      <c r="J127" t="s">
        <v>42</v>
      </c>
      <c r="K127">
        <v>6</v>
      </c>
      <c r="L127" t="s">
        <v>44</v>
      </c>
      <c r="M127">
        <v>3204.64</v>
      </c>
      <c r="N127" t="s">
        <v>47</v>
      </c>
      <c r="O127" t="s">
        <v>50</v>
      </c>
      <c r="P127">
        <v>16</v>
      </c>
      <c r="Q127" t="s">
        <v>55</v>
      </c>
      <c r="R127" t="s">
        <v>58</v>
      </c>
      <c r="S127">
        <v>5</v>
      </c>
      <c r="T127">
        <v>2011</v>
      </c>
      <c r="U127" t="s">
        <v>64</v>
      </c>
      <c r="V127">
        <v>108</v>
      </c>
      <c r="W127">
        <v>4.9000000000000004</v>
      </c>
    </row>
    <row r="128" spans="1:23" x14ac:dyDescent="0.35">
      <c r="A128">
        <v>10127</v>
      </c>
      <c r="B128" t="s">
        <v>26</v>
      </c>
      <c r="C128" t="s">
        <v>34</v>
      </c>
      <c r="D128" t="s">
        <v>41</v>
      </c>
      <c r="E128">
        <v>51183</v>
      </c>
      <c r="F128">
        <f ca="1">DATEDIF(Table1[[#This Row],[Hire Date]], TODAY(), "Y")</f>
        <v>14</v>
      </c>
      <c r="G128" s="7">
        <f ca="1">YEARFRAC(Table1[[#This Row],[Hire Date]], TODAY())</f>
        <v>14.972222222222221</v>
      </c>
      <c r="H128" s="7">
        <v>40576</v>
      </c>
      <c r="I128">
        <v>24</v>
      </c>
      <c r="J128" t="s">
        <v>42</v>
      </c>
      <c r="K128">
        <v>2</v>
      </c>
      <c r="L128" t="s">
        <v>44</v>
      </c>
      <c r="M128">
        <v>6782.66</v>
      </c>
      <c r="N128" t="s">
        <v>46</v>
      </c>
      <c r="O128" t="s">
        <v>54</v>
      </c>
      <c r="P128">
        <v>34</v>
      </c>
      <c r="Q128" t="s">
        <v>56</v>
      </c>
      <c r="R128" t="s">
        <v>58</v>
      </c>
      <c r="S128">
        <v>4</v>
      </c>
      <c r="T128">
        <v>2018</v>
      </c>
      <c r="U128" t="s">
        <v>65</v>
      </c>
      <c r="V128">
        <v>58</v>
      </c>
      <c r="W128">
        <v>1.2</v>
      </c>
    </row>
    <row r="129" spans="1:23" x14ac:dyDescent="0.35">
      <c r="A129">
        <v>10128</v>
      </c>
      <c r="B129" t="s">
        <v>28</v>
      </c>
      <c r="C129" t="s">
        <v>32</v>
      </c>
      <c r="D129" t="s">
        <v>38</v>
      </c>
      <c r="E129">
        <v>70438</v>
      </c>
      <c r="F129">
        <f ca="1">DATEDIF(Table1[[#This Row],[Hire Date]], TODAY(), "Y")</f>
        <v>15</v>
      </c>
      <c r="G129" s="7">
        <f ca="1">YEARFRAC(Table1[[#This Row],[Hire Date]], TODAY())</f>
        <v>15.091666666666667</v>
      </c>
      <c r="H129" s="7">
        <v>40531</v>
      </c>
      <c r="I129">
        <v>42</v>
      </c>
      <c r="J129" t="s">
        <v>42</v>
      </c>
      <c r="K129">
        <v>8</v>
      </c>
      <c r="L129" t="s">
        <v>45</v>
      </c>
      <c r="M129">
        <v>1566.8</v>
      </c>
      <c r="N129" t="s">
        <v>46</v>
      </c>
      <c r="O129" t="s">
        <v>50</v>
      </c>
      <c r="P129">
        <v>13</v>
      </c>
      <c r="Q129" t="s">
        <v>57</v>
      </c>
      <c r="R129" t="s">
        <v>58</v>
      </c>
      <c r="S129">
        <v>19</v>
      </c>
      <c r="T129">
        <v>2022</v>
      </c>
      <c r="U129" t="s">
        <v>64</v>
      </c>
      <c r="V129">
        <v>57</v>
      </c>
      <c r="W129">
        <v>4.4000000000000004</v>
      </c>
    </row>
    <row r="130" spans="1:23" x14ac:dyDescent="0.35">
      <c r="A130">
        <v>10129</v>
      </c>
      <c r="B130" t="s">
        <v>22</v>
      </c>
      <c r="C130" t="s">
        <v>32</v>
      </c>
      <c r="D130" t="s">
        <v>38</v>
      </c>
      <c r="E130">
        <v>72244</v>
      </c>
      <c r="F130">
        <f ca="1">DATEDIF(Table1[[#This Row],[Hire Date]], TODAY(), "Y")</f>
        <v>16</v>
      </c>
      <c r="G130" s="7">
        <f ca="1">YEARFRAC(Table1[[#This Row],[Hire Date]], TODAY())</f>
        <v>16.858333333333334</v>
      </c>
      <c r="H130" s="7">
        <v>39885</v>
      </c>
      <c r="I130">
        <v>51</v>
      </c>
      <c r="J130" t="s">
        <v>43</v>
      </c>
      <c r="K130">
        <v>2</v>
      </c>
      <c r="L130" t="s">
        <v>45</v>
      </c>
      <c r="M130">
        <v>4226.71</v>
      </c>
      <c r="N130" t="s">
        <v>49</v>
      </c>
      <c r="O130" t="s">
        <v>50</v>
      </c>
      <c r="P130">
        <v>18</v>
      </c>
      <c r="Q130" t="s">
        <v>55</v>
      </c>
      <c r="R130" t="s">
        <v>61</v>
      </c>
      <c r="S130">
        <v>17</v>
      </c>
      <c r="T130">
        <v>2022</v>
      </c>
      <c r="U130" t="s">
        <v>65</v>
      </c>
      <c r="V130">
        <v>161</v>
      </c>
      <c r="W130">
        <v>4.2</v>
      </c>
    </row>
    <row r="131" spans="1:23" x14ac:dyDescent="0.35">
      <c r="A131">
        <v>10130</v>
      </c>
      <c r="B131" t="s">
        <v>22</v>
      </c>
      <c r="C131" t="s">
        <v>32</v>
      </c>
      <c r="D131" t="s">
        <v>40</v>
      </c>
      <c r="E131">
        <v>104312</v>
      </c>
      <c r="F131">
        <f ca="1">DATEDIF(Table1[[#This Row],[Hire Date]], TODAY(), "Y")</f>
        <v>11</v>
      </c>
      <c r="G131" s="7">
        <f ca="1">YEARFRAC(Table1[[#This Row],[Hire Date]], TODAY())</f>
        <v>11.661111111111111</v>
      </c>
      <c r="H131" s="7">
        <v>41783</v>
      </c>
      <c r="I131">
        <v>32</v>
      </c>
      <c r="J131" t="s">
        <v>42</v>
      </c>
      <c r="K131">
        <v>9</v>
      </c>
      <c r="L131" t="s">
        <v>45</v>
      </c>
      <c r="M131">
        <v>7539.44</v>
      </c>
      <c r="N131" t="s">
        <v>48</v>
      </c>
      <c r="O131" t="s">
        <v>50</v>
      </c>
      <c r="P131">
        <v>29</v>
      </c>
      <c r="Q131" t="s">
        <v>55</v>
      </c>
      <c r="R131" t="s">
        <v>61</v>
      </c>
      <c r="S131">
        <v>10</v>
      </c>
      <c r="T131">
        <v>2017</v>
      </c>
      <c r="U131" t="s">
        <v>66</v>
      </c>
      <c r="V131">
        <v>169</v>
      </c>
      <c r="W131">
        <v>4.5999999999999996</v>
      </c>
    </row>
    <row r="132" spans="1:23" x14ac:dyDescent="0.35">
      <c r="A132">
        <v>10131</v>
      </c>
      <c r="B132" t="s">
        <v>22</v>
      </c>
      <c r="C132" t="s">
        <v>29</v>
      </c>
      <c r="D132" t="s">
        <v>37</v>
      </c>
      <c r="E132">
        <v>45021</v>
      </c>
      <c r="F132">
        <f ca="1">DATEDIF(Table1[[#This Row],[Hire Date]], TODAY(), "Y")</f>
        <v>10</v>
      </c>
      <c r="G132" s="7">
        <f ca="1">YEARFRAC(Table1[[#This Row],[Hire Date]], TODAY())</f>
        <v>10.352777777777778</v>
      </c>
      <c r="H132" s="7">
        <v>42262</v>
      </c>
      <c r="I132">
        <v>43</v>
      </c>
      <c r="J132" t="s">
        <v>43</v>
      </c>
      <c r="K132">
        <v>2</v>
      </c>
      <c r="L132" t="s">
        <v>45</v>
      </c>
      <c r="M132">
        <v>2635.76</v>
      </c>
      <c r="N132" t="s">
        <v>48</v>
      </c>
      <c r="O132" t="s">
        <v>54</v>
      </c>
      <c r="P132">
        <v>14</v>
      </c>
      <c r="Q132" t="s">
        <v>56</v>
      </c>
      <c r="R132" t="s">
        <v>59</v>
      </c>
      <c r="S132">
        <v>7</v>
      </c>
      <c r="T132">
        <v>2018</v>
      </c>
      <c r="U132" t="s">
        <v>66</v>
      </c>
      <c r="V132">
        <v>73</v>
      </c>
      <c r="W132">
        <v>3.1</v>
      </c>
    </row>
    <row r="133" spans="1:23" x14ac:dyDescent="0.35">
      <c r="A133">
        <v>10132</v>
      </c>
      <c r="B133" t="s">
        <v>23</v>
      </c>
      <c r="C133" t="s">
        <v>32</v>
      </c>
      <c r="D133" t="s">
        <v>40</v>
      </c>
      <c r="E133">
        <v>99863</v>
      </c>
      <c r="F133">
        <f ca="1">DATEDIF(Table1[[#This Row],[Hire Date]], TODAY(), "Y")</f>
        <v>17</v>
      </c>
      <c r="G133" s="7">
        <f ca="1">YEARFRAC(Table1[[#This Row],[Hire Date]], TODAY())</f>
        <v>17.977777777777778</v>
      </c>
      <c r="H133" s="7">
        <v>39477</v>
      </c>
      <c r="I133">
        <v>46</v>
      </c>
      <c r="J133" t="s">
        <v>42</v>
      </c>
      <c r="K133">
        <v>3</v>
      </c>
      <c r="L133" t="s">
        <v>45</v>
      </c>
      <c r="M133">
        <v>6102.82</v>
      </c>
      <c r="N133" t="s">
        <v>48</v>
      </c>
      <c r="O133" t="s">
        <v>54</v>
      </c>
      <c r="P133">
        <v>30</v>
      </c>
      <c r="Q133" t="s">
        <v>56</v>
      </c>
      <c r="R133" t="s">
        <v>63</v>
      </c>
      <c r="S133">
        <v>11</v>
      </c>
      <c r="T133">
        <v>2018</v>
      </c>
      <c r="U133" t="s">
        <v>64</v>
      </c>
      <c r="V133">
        <v>18</v>
      </c>
      <c r="W133">
        <v>4.2</v>
      </c>
    </row>
    <row r="134" spans="1:23" x14ac:dyDescent="0.35">
      <c r="A134">
        <v>10133</v>
      </c>
      <c r="B134" t="s">
        <v>28</v>
      </c>
      <c r="C134" t="s">
        <v>29</v>
      </c>
      <c r="D134" t="s">
        <v>36</v>
      </c>
      <c r="E134">
        <v>85565</v>
      </c>
      <c r="F134">
        <f ca="1">DATEDIF(Table1[[#This Row],[Hire Date]], TODAY(), "Y")</f>
        <v>24</v>
      </c>
      <c r="G134" s="7">
        <f ca="1">YEARFRAC(Table1[[#This Row],[Hire Date]], TODAY())</f>
        <v>24.06111111111111</v>
      </c>
      <c r="H134" s="7">
        <v>37255</v>
      </c>
      <c r="I134">
        <v>24</v>
      </c>
      <c r="J134" t="s">
        <v>43</v>
      </c>
      <c r="K134">
        <v>8</v>
      </c>
      <c r="L134" t="s">
        <v>45</v>
      </c>
      <c r="M134">
        <v>1957.65</v>
      </c>
      <c r="N134" t="s">
        <v>47</v>
      </c>
      <c r="O134" t="s">
        <v>54</v>
      </c>
      <c r="P134">
        <v>35</v>
      </c>
      <c r="Q134" t="s">
        <v>57</v>
      </c>
      <c r="R134" t="s">
        <v>61</v>
      </c>
      <c r="S134">
        <v>17</v>
      </c>
      <c r="T134">
        <v>2016</v>
      </c>
      <c r="U134" t="s">
        <v>64</v>
      </c>
      <c r="V134">
        <v>159</v>
      </c>
      <c r="W134">
        <v>1.2</v>
      </c>
    </row>
    <row r="135" spans="1:23" x14ac:dyDescent="0.35">
      <c r="A135">
        <v>10134</v>
      </c>
      <c r="B135" t="s">
        <v>23</v>
      </c>
      <c r="C135" t="s">
        <v>33</v>
      </c>
      <c r="D135" t="s">
        <v>40</v>
      </c>
      <c r="E135">
        <v>78043</v>
      </c>
      <c r="F135">
        <f ca="1">DATEDIF(Table1[[#This Row],[Hire Date]], TODAY(), "Y")</f>
        <v>8</v>
      </c>
      <c r="G135" s="7">
        <f ca="1">YEARFRAC(Table1[[#This Row],[Hire Date]], TODAY())</f>
        <v>8.3333333333333339</v>
      </c>
      <c r="H135" s="7">
        <v>43000</v>
      </c>
      <c r="I135">
        <v>51</v>
      </c>
      <c r="J135" t="s">
        <v>43</v>
      </c>
      <c r="K135">
        <v>6</v>
      </c>
      <c r="L135" t="s">
        <v>45</v>
      </c>
      <c r="M135">
        <v>1475.67</v>
      </c>
      <c r="N135" t="s">
        <v>48</v>
      </c>
      <c r="O135" t="s">
        <v>54</v>
      </c>
      <c r="P135">
        <v>9</v>
      </c>
      <c r="Q135" t="s">
        <v>56</v>
      </c>
      <c r="R135" t="s">
        <v>58</v>
      </c>
      <c r="S135">
        <v>14</v>
      </c>
      <c r="T135">
        <v>2013</v>
      </c>
      <c r="U135" t="s">
        <v>64</v>
      </c>
      <c r="V135">
        <v>9</v>
      </c>
      <c r="W135">
        <v>1.3</v>
      </c>
    </row>
    <row r="136" spans="1:23" x14ac:dyDescent="0.35">
      <c r="A136">
        <v>10135</v>
      </c>
      <c r="B136" t="s">
        <v>21</v>
      </c>
      <c r="C136" t="s">
        <v>33</v>
      </c>
      <c r="D136" t="s">
        <v>41</v>
      </c>
      <c r="E136">
        <v>103150</v>
      </c>
      <c r="F136">
        <f ca="1">DATEDIF(Table1[[#This Row],[Hire Date]], TODAY(), "Y")</f>
        <v>7</v>
      </c>
      <c r="G136" s="7">
        <f ca="1">YEARFRAC(Table1[[#This Row],[Hire Date]], TODAY())</f>
        <v>7.5472222222222225</v>
      </c>
      <c r="H136" s="7">
        <v>43286</v>
      </c>
      <c r="I136">
        <v>45</v>
      </c>
      <c r="J136" t="s">
        <v>43</v>
      </c>
      <c r="K136">
        <v>1</v>
      </c>
      <c r="L136" t="s">
        <v>44</v>
      </c>
      <c r="M136">
        <v>5470.71</v>
      </c>
      <c r="N136" t="s">
        <v>46</v>
      </c>
      <c r="O136" t="s">
        <v>52</v>
      </c>
      <c r="P136">
        <v>37</v>
      </c>
      <c r="Q136" t="s">
        <v>55</v>
      </c>
      <c r="R136" t="s">
        <v>58</v>
      </c>
      <c r="S136">
        <v>7</v>
      </c>
      <c r="T136">
        <v>2021</v>
      </c>
      <c r="U136" t="s">
        <v>64</v>
      </c>
      <c r="V136">
        <v>122</v>
      </c>
      <c r="W136">
        <v>1.5</v>
      </c>
    </row>
    <row r="137" spans="1:23" x14ac:dyDescent="0.35">
      <c r="A137">
        <v>10136</v>
      </c>
      <c r="B137" t="s">
        <v>23</v>
      </c>
      <c r="C137" t="s">
        <v>34</v>
      </c>
      <c r="D137" t="s">
        <v>37</v>
      </c>
      <c r="E137">
        <v>94361</v>
      </c>
      <c r="F137">
        <f ca="1">DATEDIF(Table1[[#This Row],[Hire Date]], TODAY(), "Y")</f>
        <v>13</v>
      </c>
      <c r="G137" s="7">
        <f ca="1">YEARFRAC(Table1[[#This Row],[Hire Date]], TODAY())</f>
        <v>13.738888888888889</v>
      </c>
      <c r="H137" s="7">
        <v>41025</v>
      </c>
      <c r="I137">
        <v>57</v>
      </c>
      <c r="J137" t="s">
        <v>42</v>
      </c>
      <c r="K137">
        <v>4</v>
      </c>
      <c r="L137" t="s">
        <v>44</v>
      </c>
      <c r="M137">
        <v>6912.6</v>
      </c>
      <c r="N137" t="s">
        <v>46</v>
      </c>
      <c r="O137" t="s">
        <v>53</v>
      </c>
      <c r="P137">
        <v>39</v>
      </c>
      <c r="Q137" t="s">
        <v>57</v>
      </c>
      <c r="R137" t="s">
        <v>61</v>
      </c>
      <c r="S137">
        <v>3</v>
      </c>
      <c r="T137">
        <v>2021</v>
      </c>
      <c r="U137" t="s">
        <v>66</v>
      </c>
      <c r="V137">
        <v>176</v>
      </c>
      <c r="W137">
        <v>4.7</v>
      </c>
    </row>
    <row r="138" spans="1:23" x14ac:dyDescent="0.35">
      <c r="A138">
        <v>10137</v>
      </c>
      <c r="B138" t="s">
        <v>28</v>
      </c>
      <c r="C138" t="s">
        <v>30</v>
      </c>
      <c r="D138" t="s">
        <v>41</v>
      </c>
      <c r="E138">
        <v>31245</v>
      </c>
      <c r="F138">
        <f ca="1">DATEDIF(Table1[[#This Row],[Hire Date]], TODAY(), "Y")</f>
        <v>19</v>
      </c>
      <c r="G138" s="7">
        <f ca="1">YEARFRAC(Table1[[#This Row],[Hire Date]], TODAY())</f>
        <v>19.06111111111111</v>
      </c>
      <c r="H138" s="7">
        <v>39081</v>
      </c>
      <c r="I138">
        <v>44</v>
      </c>
      <c r="J138" t="s">
        <v>42</v>
      </c>
      <c r="K138">
        <v>5</v>
      </c>
      <c r="L138" t="s">
        <v>44</v>
      </c>
      <c r="M138">
        <v>1576.99</v>
      </c>
      <c r="N138" t="s">
        <v>48</v>
      </c>
      <c r="O138" t="s">
        <v>52</v>
      </c>
      <c r="P138">
        <v>12</v>
      </c>
      <c r="Q138" t="s">
        <v>57</v>
      </c>
      <c r="R138" t="s">
        <v>60</v>
      </c>
      <c r="S138">
        <v>14</v>
      </c>
      <c r="T138">
        <v>2014</v>
      </c>
      <c r="U138" t="s">
        <v>65</v>
      </c>
      <c r="V138">
        <v>147</v>
      </c>
      <c r="W138">
        <v>1.2</v>
      </c>
    </row>
    <row r="139" spans="1:23" x14ac:dyDescent="0.35">
      <c r="A139">
        <v>10138</v>
      </c>
      <c r="B139" t="s">
        <v>28</v>
      </c>
      <c r="C139" t="s">
        <v>33</v>
      </c>
      <c r="D139" t="s">
        <v>36</v>
      </c>
      <c r="E139">
        <v>71011</v>
      </c>
      <c r="F139">
        <f ca="1">DATEDIF(Table1[[#This Row],[Hire Date]], TODAY(), "Y")</f>
        <v>9</v>
      </c>
      <c r="G139" s="7">
        <f ca="1">YEARFRAC(Table1[[#This Row],[Hire Date]], TODAY())</f>
        <v>9.5333333333333332</v>
      </c>
      <c r="H139" s="7">
        <v>42561</v>
      </c>
      <c r="I139">
        <v>29</v>
      </c>
      <c r="J139" t="s">
        <v>43</v>
      </c>
      <c r="K139">
        <v>3</v>
      </c>
      <c r="L139" t="s">
        <v>44</v>
      </c>
      <c r="M139">
        <v>9218.8700000000008</v>
      </c>
      <c r="N139" t="s">
        <v>46</v>
      </c>
      <c r="O139" t="s">
        <v>51</v>
      </c>
      <c r="P139">
        <v>21</v>
      </c>
      <c r="Q139" t="s">
        <v>57</v>
      </c>
      <c r="R139" t="s">
        <v>59</v>
      </c>
      <c r="S139">
        <v>10</v>
      </c>
      <c r="T139">
        <v>2016</v>
      </c>
      <c r="U139" t="s">
        <v>66</v>
      </c>
      <c r="V139">
        <v>71</v>
      </c>
      <c r="W139">
        <v>1.4</v>
      </c>
    </row>
    <row r="140" spans="1:23" x14ac:dyDescent="0.35">
      <c r="A140">
        <v>10139</v>
      </c>
      <c r="B140" t="s">
        <v>21</v>
      </c>
      <c r="C140" t="s">
        <v>30</v>
      </c>
      <c r="D140" t="s">
        <v>37</v>
      </c>
      <c r="E140">
        <v>40355</v>
      </c>
      <c r="F140">
        <f ca="1">DATEDIF(Table1[[#This Row],[Hire Date]], TODAY(), "Y")</f>
        <v>22</v>
      </c>
      <c r="G140" s="7">
        <f ca="1">YEARFRAC(Table1[[#This Row],[Hire Date]], TODAY())</f>
        <v>22.911111111111111</v>
      </c>
      <c r="H140" s="7">
        <v>37676</v>
      </c>
      <c r="I140">
        <v>25</v>
      </c>
      <c r="J140" t="s">
        <v>42</v>
      </c>
      <c r="K140">
        <v>1</v>
      </c>
      <c r="L140" t="s">
        <v>45</v>
      </c>
      <c r="M140">
        <v>2644.84</v>
      </c>
      <c r="N140" t="s">
        <v>47</v>
      </c>
      <c r="O140" t="s">
        <v>52</v>
      </c>
      <c r="P140">
        <v>18</v>
      </c>
      <c r="Q140" t="s">
        <v>56</v>
      </c>
      <c r="R140" t="s">
        <v>63</v>
      </c>
      <c r="S140">
        <v>0</v>
      </c>
      <c r="T140">
        <v>2022</v>
      </c>
      <c r="U140" t="s">
        <v>65</v>
      </c>
      <c r="V140">
        <v>5</v>
      </c>
      <c r="W140">
        <v>4.7</v>
      </c>
    </row>
    <row r="141" spans="1:23" x14ac:dyDescent="0.35">
      <c r="A141">
        <v>10140</v>
      </c>
      <c r="B141" t="s">
        <v>28</v>
      </c>
      <c r="C141" t="s">
        <v>30</v>
      </c>
      <c r="D141" t="s">
        <v>39</v>
      </c>
      <c r="E141">
        <v>78692</v>
      </c>
      <c r="F141">
        <f ca="1">DATEDIF(Table1[[#This Row],[Hire Date]], TODAY(), "Y")</f>
        <v>21</v>
      </c>
      <c r="G141" s="7">
        <f ca="1">YEARFRAC(Table1[[#This Row],[Hire Date]], TODAY())</f>
        <v>21.308333333333334</v>
      </c>
      <c r="H141" s="7">
        <v>38261</v>
      </c>
      <c r="I141">
        <v>60</v>
      </c>
      <c r="J141" t="s">
        <v>42</v>
      </c>
      <c r="K141">
        <v>3</v>
      </c>
      <c r="L141" t="s">
        <v>45</v>
      </c>
      <c r="M141">
        <v>1639.77</v>
      </c>
      <c r="N141" t="s">
        <v>48</v>
      </c>
      <c r="O141" t="s">
        <v>52</v>
      </c>
      <c r="P141">
        <v>11</v>
      </c>
      <c r="Q141" t="s">
        <v>56</v>
      </c>
      <c r="R141" t="s">
        <v>62</v>
      </c>
      <c r="S141">
        <v>1</v>
      </c>
      <c r="T141">
        <v>2014</v>
      </c>
      <c r="U141" t="s">
        <v>64</v>
      </c>
      <c r="V141">
        <v>156</v>
      </c>
      <c r="W141">
        <v>1.4</v>
      </c>
    </row>
    <row r="142" spans="1:23" x14ac:dyDescent="0.35">
      <c r="A142">
        <v>10141</v>
      </c>
      <c r="B142" t="s">
        <v>25</v>
      </c>
      <c r="C142" t="s">
        <v>34</v>
      </c>
      <c r="D142" t="s">
        <v>38</v>
      </c>
      <c r="E142">
        <v>79004</v>
      </c>
      <c r="F142">
        <f ca="1">DATEDIF(Table1[[#This Row],[Hire Date]], TODAY(), "Y")</f>
        <v>23</v>
      </c>
      <c r="G142" s="7">
        <f ca="1">YEARFRAC(Table1[[#This Row],[Hire Date]], TODAY())</f>
        <v>23.216666666666665</v>
      </c>
      <c r="H142" s="7">
        <v>37564</v>
      </c>
      <c r="I142">
        <v>64</v>
      </c>
      <c r="J142" t="s">
        <v>43</v>
      </c>
      <c r="K142">
        <v>9</v>
      </c>
      <c r="L142" t="s">
        <v>45</v>
      </c>
      <c r="M142">
        <v>2425.64</v>
      </c>
      <c r="N142" t="s">
        <v>47</v>
      </c>
      <c r="O142" t="s">
        <v>52</v>
      </c>
      <c r="P142">
        <v>27</v>
      </c>
      <c r="Q142" t="s">
        <v>55</v>
      </c>
      <c r="R142" t="s">
        <v>59</v>
      </c>
      <c r="S142">
        <v>7</v>
      </c>
      <c r="T142">
        <v>2021</v>
      </c>
      <c r="U142" t="s">
        <v>65</v>
      </c>
      <c r="V142">
        <v>113</v>
      </c>
      <c r="W142">
        <v>4.5</v>
      </c>
    </row>
    <row r="143" spans="1:23" x14ac:dyDescent="0.35">
      <c r="A143">
        <v>10142</v>
      </c>
      <c r="B143" t="s">
        <v>28</v>
      </c>
      <c r="C143" t="s">
        <v>35</v>
      </c>
      <c r="D143" t="s">
        <v>40</v>
      </c>
      <c r="E143">
        <v>59714</v>
      </c>
      <c r="F143">
        <f ca="1">DATEDIF(Table1[[#This Row],[Hire Date]], TODAY(), "Y")</f>
        <v>8</v>
      </c>
      <c r="G143" s="7">
        <f ca="1">YEARFRAC(Table1[[#This Row],[Hire Date]], TODAY())</f>
        <v>8.6194444444444436</v>
      </c>
      <c r="H143" s="7">
        <v>42895</v>
      </c>
      <c r="I143">
        <v>52</v>
      </c>
      <c r="J143" t="s">
        <v>42</v>
      </c>
      <c r="K143">
        <v>2</v>
      </c>
      <c r="L143" t="s">
        <v>44</v>
      </c>
      <c r="M143">
        <v>2110.94</v>
      </c>
      <c r="N143" t="s">
        <v>48</v>
      </c>
      <c r="O143" t="s">
        <v>53</v>
      </c>
      <c r="P143">
        <v>24</v>
      </c>
      <c r="Q143" t="s">
        <v>57</v>
      </c>
      <c r="R143" t="s">
        <v>63</v>
      </c>
      <c r="S143">
        <v>15</v>
      </c>
      <c r="T143">
        <v>2019</v>
      </c>
      <c r="U143" t="s">
        <v>65</v>
      </c>
      <c r="V143">
        <v>66</v>
      </c>
      <c r="W143">
        <v>4.2</v>
      </c>
    </row>
    <row r="144" spans="1:23" x14ac:dyDescent="0.35">
      <c r="A144">
        <v>10143</v>
      </c>
      <c r="B144" t="s">
        <v>22</v>
      </c>
      <c r="C144" t="s">
        <v>35</v>
      </c>
      <c r="D144" t="s">
        <v>41</v>
      </c>
      <c r="E144">
        <v>47198</v>
      </c>
      <c r="F144">
        <f ca="1">DATEDIF(Table1[[#This Row],[Hire Date]], TODAY(), "Y")</f>
        <v>6</v>
      </c>
      <c r="G144" s="7">
        <f ca="1">YEARFRAC(Table1[[#This Row],[Hire Date]], TODAY())</f>
        <v>6.541666666666667</v>
      </c>
      <c r="H144" s="7">
        <v>43653</v>
      </c>
      <c r="I144">
        <v>50</v>
      </c>
      <c r="J144" t="s">
        <v>43</v>
      </c>
      <c r="K144">
        <v>1</v>
      </c>
      <c r="L144" t="s">
        <v>45</v>
      </c>
      <c r="M144">
        <v>1361.41</v>
      </c>
      <c r="N144" t="s">
        <v>47</v>
      </c>
      <c r="O144" t="s">
        <v>50</v>
      </c>
      <c r="P144">
        <v>34</v>
      </c>
      <c r="Q144" t="s">
        <v>57</v>
      </c>
      <c r="R144" t="s">
        <v>63</v>
      </c>
      <c r="S144">
        <v>0</v>
      </c>
      <c r="T144">
        <v>2017</v>
      </c>
      <c r="U144" t="s">
        <v>65</v>
      </c>
      <c r="V144">
        <v>82</v>
      </c>
      <c r="W144">
        <v>1.2</v>
      </c>
    </row>
    <row r="145" spans="1:23" x14ac:dyDescent="0.35">
      <c r="A145">
        <v>10144</v>
      </c>
      <c r="B145" t="s">
        <v>25</v>
      </c>
      <c r="C145" t="s">
        <v>31</v>
      </c>
      <c r="D145" t="s">
        <v>36</v>
      </c>
      <c r="E145">
        <v>96951</v>
      </c>
      <c r="F145">
        <f ca="1">DATEDIF(Table1[[#This Row],[Hire Date]], TODAY(), "Y")</f>
        <v>18</v>
      </c>
      <c r="G145" s="7">
        <f ca="1">YEARFRAC(Table1[[#This Row],[Hire Date]], TODAY())</f>
        <v>18.083333333333332</v>
      </c>
      <c r="H145" s="7">
        <v>39438</v>
      </c>
      <c r="I145">
        <v>57</v>
      </c>
      <c r="J145" t="s">
        <v>42</v>
      </c>
      <c r="K145">
        <v>7</v>
      </c>
      <c r="L145" t="s">
        <v>44</v>
      </c>
      <c r="M145">
        <v>8079.47</v>
      </c>
      <c r="N145" t="s">
        <v>47</v>
      </c>
      <c r="O145" t="s">
        <v>51</v>
      </c>
      <c r="P145">
        <v>20</v>
      </c>
      <c r="Q145" t="s">
        <v>57</v>
      </c>
      <c r="R145" t="s">
        <v>63</v>
      </c>
      <c r="S145">
        <v>2</v>
      </c>
      <c r="T145">
        <v>2014</v>
      </c>
      <c r="U145" t="s">
        <v>65</v>
      </c>
      <c r="V145">
        <v>61</v>
      </c>
      <c r="W145">
        <v>1.1000000000000001</v>
      </c>
    </row>
    <row r="146" spans="1:23" x14ac:dyDescent="0.35">
      <c r="A146">
        <v>10145</v>
      </c>
      <c r="B146" t="s">
        <v>25</v>
      </c>
      <c r="C146" t="s">
        <v>34</v>
      </c>
      <c r="D146" t="s">
        <v>38</v>
      </c>
      <c r="E146">
        <v>31652</v>
      </c>
      <c r="F146">
        <f ca="1">DATEDIF(Table1[[#This Row],[Hire Date]], TODAY(), "Y")</f>
        <v>6</v>
      </c>
      <c r="G146" s="7">
        <f ca="1">YEARFRAC(Table1[[#This Row],[Hire Date]], TODAY())</f>
        <v>6.1472222222222221</v>
      </c>
      <c r="H146" s="7">
        <v>43798</v>
      </c>
      <c r="I146">
        <v>34</v>
      </c>
      <c r="J146" t="s">
        <v>43</v>
      </c>
      <c r="K146">
        <v>7</v>
      </c>
      <c r="L146" t="s">
        <v>44</v>
      </c>
      <c r="M146">
        <v>5207.6099999999997</v>
      </c>
      <c r="N146" t="s">
        <v>47</v>
      </c>
      <c r="O146" t="s">
        <v>51</v>
      </c>
      <c r="P146">
        <v>13</v>
      </c>
      <c r="Q146" t="s">
        <v>55</v>
      </c>
      <c r="R146" t="s">
        <v>59</v>
      </c>
      <c r="S146">
        <v>17</v>
      </c>
      <c r="T146">
        <v>2014</v>
      </c>
      <c r="U146" t="s">
        <v>66</v>
      </c>
      <c r="V146">
        <v>24</v>
      </c>
      <c r="W146">
        <v>3.1</v>
      </c>
    </row>
    <row r="147" spans="1:23" x14ac:dyDescent="0.35">
      <c r="A147">
        <v>10146</v>
      </c>
      <c r="B147" t="s">
        <v>21</v>
      </c>
      <c r="C147" t="s">
        <v>31</v>
      </c>
      <c r="D147" t="s">
        <v>40</v>
      </c>
      <c r="E147">
        <v>73625</v>
      </c>
      <c r="F147">
        <f ca="1">DATEDIF(Table1[[#This Row],[Hire Date]], TODAY(), "Y")</f>
        <v>12</v>
      </c>
      <c r="G147" s="7">
        <f ca="1">YEARFRAC(Table1[[#This Row],[Hire Date]], TODAY())</f>
        <v>12.805555555555555</v>
      </c>
      <c r="H147" s="7">
        <v>41366</v>
      </c>
      <c r="I147">
        <v>62</v>
      </c>
      <c r="J147" t="s">
        <v>42</v>
      </c>
      <c r="K147">
        <v>5</v>
      </c>
      <c r="L147" t="s">
        <v>44</v>
      </c>
      <c r="M147">
        <v>4190.93</v>
      </c>
      <c r="N147" t="s">
        <v>46</v>
      </c>
      <c r="O147" t="s">
        <v>53</v>
      </c>
      <c r="P147">
        <v>8</v>
      </c>
      <c r="Q147" t="s">
        <v>56</v>
      </c>
      <c r="R147" t="s">
        <v>59</v>
      </c>
      <c r="S147">
        <v>15</v>
      </c>
      <c r="T147">
        <v>2014</v>
      </c>
      <c r="U147" t="s">
        <v>64</v>
      </c>
      <c r="V147">
        <v>190</v>
      </c>
      <c r="W147">
        <v>5</v>
      </c>
    </row>
    <row r="148" spans="1:23" x14ac:dyDescent="0.35">
      <c r="A148">
        <v>10147</v>
      </c>
      <c r="B148" t="s">
        <v>24</v>
      </c>
      <c r="C148" t="s">
        <v>31</v>
      </c>
      <c r="D148" t="s">
        <v>38</v>
      </c>
      <c r="E148">
        <v>115982</v>
      </c>
      <c r="F148">
        <f ca="1">DATEDIF(Table1[[#This Row],[Hire Date]], TODAY(), "Y")</f>
        <v>19</v>
      </c>
      <c r="G148" s="7">
        <f ca="1">YEARFRAC(Table1[[#This Row],[Hire Date]], TODAY())</f>
        <v>19.102777777777778</v>
      </c>
      <c r="H148" s="7">
        <v>39066</v>
      </c>
      <c r="I148">
        <v>30</v>
      </c>
      <c r="J148" t="s">
        <v>42</v>
      </c>
      <c r="K148">
        <v>2</v>
      </c>
      <c r="L148" t="s">
        <v>45</v>
      </c>
      <c r="M148">
        <v>9530.9699999999993</v>
      </c>
      <c r="N148" t="s">
        <v>47</v>
      </c>
      <c r="O148" t="s">
        <v>52</v>
      </c>
      <c r="P148">
        <v>37</v>
      </c>
      <c r="Q148" t="s">
        <v>57</v>
      </c>
      <c r="R148" t="s">
        <v>61</v>
      </c>
      <c r="S148">
        <v>19</v>
      </c>
      <c r="T148">
        <v>2013</v>
      </c>
      <c r="U148" t="s">
        <v>64</v>
      </c>
      <c r="V148">
        <v>18</v>
      </c>
      <c r="W148">
        <v>4.5</v>
      </c>
    </row>
    <row r="149" spans="1:23" x14ac:dyDescent="0.35">
      <c r="A149">
        <v>10148</v>
      </c>
      <c r="B149" t="s">
        <v>24</v>
      </c>
      <c r="C149" t="s">
        <v>35</v>
      </c>
      <c r="D149" t="s">
        <v>40</v>
      </c>
      <c r="E149">
        <v>48740</v>
      </c>
      <c r="F149">
        <f ca="1">DATEDIF(Table1[[#This Row],[Hire Date]], TODAY(), "Y")</f>
        <v>13</v>
      </c>
      <c r="G149" s="7">
        <f ca="1">YEARFRAC(Table1[[#This Row],[Hire Date]], TODAY())</f>
        <v>13.975</v>
      </c>
      <c r="H149" s="7">
        <v>40940</v>
      </c>
      <c r="I149">
        <v>42</v>
      </c>
      <c r="J149" t="s">
        <v>43</v>
      </c>
      <c r="K149">
        <v>1</v>
      </c>
      <c r="L149" t="s">
        <v>45</v>
      </c>
      <c r="M149">
        <v>4024.58</v>
      </c>
      <c r="N149" t="s">
        <v>49</v>
      </c>
      <c r="O149" t="s">
        <v>50</v>
      </c>
      <c r="P149">
        <v>5</v>
      </c>
      <c r="Q149" t="s">
        <v>56</v>
      </c>
      <c r="R149" t="s">
        <v>63</v>
      </c>
      <c r="S149">
        <v>19</v>
      </c>
      <c r="T149">
        <v>2020</v>
      </c>
      <c r="U149" t="s">
        <v>65</v>
      </c>
      <c r="V149">
        <v>185</v>
      </c>
      <c r="W149">
        <v>2.2000000000000002</v>
      </c>
    </row>
    <row r="150" spans="1:23" x14ac:dyDescent="0.35">
      <c r="A150">
        <v>10149</v>
      </c>
      <c r="B150" t="s">
        <v>28</v>
      </c>
      <c r="C150" t="s">
        <v>34</v>
      </c>
      <c r="D150" t="s">
        <v>39</v>
      </c>
      <c r="E150">
        <v>33810</v>
      </c>
      <c r="F150">
        <f ca="1">DATEDIF(Table1[[#This Row],[Hire Date]], TODAY(), "Y")</f>
        <v>22</v>
      </c>
      <c r="G150" s="7">
        <f ca="1">YEARFRAC(Table1[[#This Row],[Hire Date]], TODAY())</f>
        <v>22.652777777777779</v>
      </c>
      <c r="H150" s="7">
        <v>37768</v>
      </c>
      <c r="I150">
        <v>24</v>
      </c>
      <c r="J150" t="s">
        <v>43</v>
      </c>
      <c r="K150">
        <v>5</v>
      </c>
      <c r="L150" t="s">
        <v>44</v>
      </c>
      <c r="M150">
        <v>2086.2399999999998</v>
      </c>
      <c r="N150" t="s">
        <v>47</v>
      </c>
      <c r="O150" t="s">
        <v>54</v>
      </c>
      <c r="P150">
        <v>7</v>
      </c>
      <c r="Q150" t="s">
        <v>56</v>
      </c>
      <c r="R150" t="s">
        <v>58</v>
      </c>
      <c r="S150">
        <v>12</v>
      </c>
      <c r="T150">
        <v>2021</v>
      </c>
      <c r="U150" t="s">
        <v>64</v>
      </c>
      <c r="V150">
        <v>39</v>
      </c>
      <c r="W150">
        <v>2.5</v>
      </c>
    </row>
    <row r="151" spans="1:23" x14ac:dyDescent="0.35">
      <c r="A151">
        <v>10150</v>
      </c>
      <c r="B151" t="s">
        <v>25</v>
      </c>
      <c r="C151" t="s">
        <v>35</v>
      </c>
      <c r="D151" t="s">
        <v>37</v>
      </c>
      <c r="E151">
        <v>46569</v>
      </c>
      <c r="F151">
        <f ca="1">DATEDIF(Table1[[#This Row],[Hire Date]], TODAY(), "Y")</f>
        <v>23</v>
      </c>
      <c r="G151" s="7">
        <f ca="1">YEARFRAC(Table1[[#This Row],[Hire Date]], TODAY())</f>
        <v>23.947222222222223</v>
      </c>
      <c r="H151" s="7">
        <v>37298</v>
      </c>
      <c r="I151">
        <v>46</v>
      </c>
      <c r="J151" t="s">
        <v>42</v>
      </c>
      <c r="K151">
        <v>4</v>
      </c>
      <c r="L151" t="s">
        <v>44</v>
      </c>
      <c r="M151">
        <v>3103.41</v>
      </c>
      <c r="N151" t="s">
        <v>47</v>
      </c>
      <c r="O151" t="s">
        <v>53</v>
      </c>
      <c r="P151">
        <v>12</v>
      </c>
      <c r="Q151" t="s">
        <v>56</v>
      </c>
      <c r="R151" t="s">
        <v>63</v>
      </c>
      <c r="S151">
        <v>19</v>
      </c>
      <c r="T151">
        <v>2020</v>
      </c>
      <c r="U151" t="s">
        <v>66</v>
      </c>
      <c r="V151">
        <v>194</v>
      </c>
      <c r="W151">
        <v>2.6</v>
      </c>
    </row>
    <row r="152" spans="1:23" x14ac:dyDescent="0.35">
      <c r="A152">
        <v>10151</v>
      </c>
      <c r="B152" t="s">
        <v>24</v>
      </c>
      <c r="C152" t="s">
        <v>31</v>
      </c>
      <c r="D152" t="s">
        <v>38</v>
      </c>
      <c r="E152">
        <v>109120</v>
      </c>
      <c r="F152">
        <f ca="1">DATEDIF(Table1[[#This Row],[Hire Date]], TODAY(), "Y")</f>
        <v>20</v>
      </c>
      <c r="G152" s="7">
        <f ca="1">YEARFRAC(Table1[[#This Row],[Hire Date]], TODAY())</f>
        <v>20.81111111111111</v>
      </c>
      <c r="H152" s="7">
        <v>38442</v>
      </c>
      <c r="I152">
        <v>46</v>
      </c>
      <c r="J152" t="s">
        <v>43</v>
      </c>
      <c r="K152">
        <v>9</v>
      </c>
      <c r="L152" t="s">
        <v>45</v>
      </c>
      <c r="M152">
        <v>2770.18</v>
      </c>
      <c r="N152" t="s">
        <v>47</v>
      </c>
      <c r="O152" t="s">
        <v>50</v>
      </c>
      <c r="P152">
        <v>4</v>
      </c>
      <c r="Q152" t="s">
        <v>56</v>
      </c>
      <c r="R152" t="s">
        <v>58</v>
      </c>
      <c r="S152">
        <v>3</v>
      </c>
      <c r="T152">
        <v>2021</v>
      </c>
      <c r="U152" t="s">
        <v>65</v>
      </c>
      <c r="V152">
        <v>193</v>
      </c>
      <c r="W152">
        <v>3.9</v>
      </c>
    </row>
    <row r="153" spans="1:23" x14ac:dyDescent="0.35">
      <c r="A153">
        <v>10152</v>
      </c>
      <c r="B153" t="s">
        <v>24</v>
      </c>
      <c r="C153" t="s">
        <v>34</v>
      </c>
      <c r="D153" t="s">
        <v>38</v>
      </c>
      <c r="E153">
        <v>56783</v>
      </c>
      <c r="F153">
        <f ca="1">DATEDIF(Table1[[#This Row],[Hire Date]], TODAY(), "Y")</f>
        <v>16</v>
      </c>
      <c r="G153" s="7">
        <f ca="1">YEARFRAC(Table1[[#This Row],[Hire Date]], TODAY())</f>
        <v>16.713888888888889</v>
      </c>
      <c r="H153" s="7">
        <v>39938</v>
      </c>
      <c r="I153">
        <v>33</v>
      </c>
      <c r="J153" t="s">
        <v>43</v>
      </c>
      <c r="K153">
        <v>5</v>
      </c>
      <c r="L153" t="s">
        <v>44</v>
      </c>
      <c r="M153">
        <v>5238.04</v>
      </c>
      <c r="N153" t="s">
        <v>47</v>
      </c>
      <c r="O153" t="s">
        <v>53</v>
      </c>
      <c r="P153">
        <v>19</v>
      </c>
      <c r="Q153" t="s">
        <v>56</v>
      </c>
      <c r="R153" t="s">
        <v>61</v>
      </c>
      <c r="S153">
        <v>3</v>
      </c>
      <c r="T153">
        <v>2016</v>
      </c>
      <c r="U153" t="s">
        <v>64</v>
      </c>
      <c r="V153">
        <v>151</v>
      </c>
      <c r="W153">
        <v>2.4</v>
      </c>
    </row>
    <row r="154" spans="1:23" x14ac:dyDescent="0.35">
      <c r="A154">
        <v>10153</v>
      </c>
      <c r="B154" t="s">
        <v>28</v>
      </c>
      <c r="C154" t="s">
        <v>31</v>
      </c>
      <c r="D154" t="s">
        <v>38</v>
      </c>
      <c r="E154">
        <v>108047</v>
      </c>
      <c r="F154">
        <f ca="1">DATEDIF(Table1[[#This Row],[Hire Date]], TODAY(), "Y")</f>
        <v>19</v>
      </c>
      <c r="G154" s="7">
        <f ca="1">YEARFRAC(Table1[[#This Row],[Hire Date]], TODAY())</f>
        <v>19.216666666666665</v>
      </c>
      <c r="H154" s="7">
        <v>39025</v>
      </c>
      <c r="I154">
        <v>50</v>
      </c>
      <c r="J154" t="s">
        <v>43</v>
      </c>
      <c r="K154">
        <v>2</v>
      </c>
      <c r="L154" t="s">
        <v>45</v>
      </c>
      <c r="M154">
        <v>3269.3</v>
      </c>
      <c r="N154" t="s">
        <v>48</v>
      </c>
      <c r="O154" t="s">
        <v>53</v>
      </c>
      <c r="P154">
        <v>1</v>
      </c>
      <c r="Q154" t="s">
        <v>55</v>
      </c>
      <c r="R154" t="s">
        <v>61</v>
      </c>
      <c r="S154">
        <v>1</v>
      </c>
      <c r="T154">
        <v>2011</v>
      </c>
      <c r="U154" t="s">
        <v>64</v>
      </c>
      <c r="V154">
        <v>88</v>
      </c>
      <c r="W154">
        <v>1.6</v>
      </c>
    </row>
    <row r="155" spans="1:23" x14ac:dyDescent="0.35">
      <c r="A155">
        <v>10154</v>
      </c>
      <c r="B155" t="s">
        <v>24</v>
      </c>
      <c r="C155" t="s">
        <v>32</v>
      </c>
      <c r="D155" t="s">
        <v>37</v>
      </c>
      <c r="E155">
        <v>39471</v>
      </c>
      <c r="F155">
        <f ca="1">DATEDIF(Table1[[#This Row],[Hire Date]], TODAY(), "Y")</f>
        <v>16</v>
      </c>
      <c r="G155" s="7">
        <f ca="1">YEARFRAC(Table1[[#This Row],[Hire Date]], TODAY())</f>
        <v>16.638888888888889</v>
      </c>
      <c r="H155" s="7">
        <v>39966</v>
      </c>
      <c r="I155">
        <v>32</v>
      </c>
      <c r="J155" t="s">
        <v>43</v>
      </c>
      <c r="K155">
        <v>4</v>
      </c>
      <c r="L155" t="s">
        <v>44</v>
      </c>
      <c r="M155">
        <v>5402.58</v>
      </c>
      <c r="N155" t="s">
        <v>46</v>
      </c>
      <c r="O155" t="s">
        <v>54</v>
      </c>
      <c r="P155">
        <v>13</v>
      </c>
      <c r="Q155" t="s">
        <v>56</v>
      </c>
      <c r="R155" t="s">
        <v>63</v>
      </c>
      <c r="S155">
        <v>12</v>
      </c>
      <c r="T155">
        <v>2019</v>
      </c>
      <c r="U155" t="s">
        <v>65</v>
      </c>
      <c r="V155">
        <v>46</v>
      </c>
      <c r="W155">
        <v>4</v>
      </c>
    </row>
    <row r="156" spans="1:23" x14ac:dyDescent="0.35">
      <c r="A156">
        <v>10155</v>
      </c>
      <c r="B156" t="s">
        <v>23</v>
      </c>
      <c r="C156" t="s">
        <v>30</v>
      </c>
      <c r="D156" t="s">
        <v>36</v>
      </c>
      <c r="E156">
        <v>36163</v>
      </c>
      <c r="F156">
        <f ca="1">DATEDIF(Table1[[#This Row],[Hire Date]], TODAY(), "Y")</f>
        <v>12</v>
      </c>
      <c r="G156" s="7">
        <f ca="1">YEARFRAC(Table1[[#This Row],[Hire Date]], TODAY())</f>
        <v>12.261111111111111</v>
      </c>
      <c r="H156" s="7">
        <v>41565</v>
      </c>
      <c r="I156">
        <v>32</v>
      </c>
      <c r="J156" t="s">
        <v>43</v>
      </c>
      <c r="K156">
        <v>9</v>
      </c>
      <c r="L156" t="s">
        <v>45</v>
      </c>
      <c r="M156">
        <v>6858.29</v>
      </c>
      <c r="N156" t="s">
        <v>46</v>
      </c>
      <c r="O156" t="s">
        <v>50</v>
      </c>
      <c r="P156">
        <v>25</v>
      </c>
      <c r="Q156" t="s">
        <v>57</v>
      </c>
      <c r="R156" t="s">
        <v>59</v>
      </c>
      <c r="S156">
        <v>12</v>
      </c>
      <c r="T156">
        <v>2022</v>
      </c>
      <c r="U156" t="s">
        <v>66</v>
      </c>
      <c r="V156">
        <v>176</v>
      </c>
      <c r="W156">
        <v>2.8</v>
      </c>
    </row>
    <row r="157" spans="1:23" x14ac:dyDescent="0.35">
      <c r="A157">
        <v>10156</v>
      </c>
      <c r="B157" t="s">
        <v>26</v>
      </c>
      <c r="C157" t="s">
        <v>34</v>
      </c>
      <c r="D157" t="s">
        <v>40</v>
      </c>
      <c r="E157">
        <v>93087</v>
      </c>
      <c r="F157">
        <f ca="1">DATEDIF(Table1[[#This Row],[Hire Date]], TODAY(), "Y")</f>
        <v>6</v>
      </c>
      <c r="G157" s="7">
        <f ca="1">YEARFRAC(Table1[[#This Row],[Hire Date]], TODAY())</f>
        <v>6.9194444444444443</v>
      </c>
      <c r="H157" s="7">
        <v>43517</v>
      </c>
      <c r="I157">
        <v>47</v>
      </c>
      <c r="J157" t="s">
        <v>42</v>
      </c>
      <c r="K157">
        <v>8</v>
      </c>
      <c r="L157" t="s">
        <v>44</v>
      </c>
      <c r="M157">
        <v>7884.34</v>
      </c>
      <c r="N157" t="s">
        <v>46</v>
      </c>
      <c r="O157" t="s">
        <v>52</v>
      </c>
      <c r="P157">
        <v>34</v>
      </c>
      <c r="Q157" t="s">
        <v>57</v>
      </c>
      <c r="R157" t="s">
        <v>58</v>
      </c>
      <c r="S157">
        <v>19</v>
      </c>
      <c r="T157">
        <v>2013</v>
      </c>
      <c r="U157" t="s">
        <v>65</v>
      </c>
      <c r="V157">
        <v>102</v>
      </c>
      <c r="W157">
        <v>1.3</v>
      </c>
    </row>
    <row r="158" spans="1:23" x14ac:dyDescent="0.35">
      <c r="A158">
        <v>10157</v>
      </c>
      <c r="B158" t="s">
        <v>21</v>
      </c>
      <c r="C158" t="s">
        <v>34</v>
      </c>
      <c r="D158" t="s">
        <v>39</v>
      </c>
      <c r="E158">
        <v>92071</v>
      </c>
      <c r="F158">
        <f ca="1">DATEDIF(Table1[[#This Row],[Hire Date]], TODAY(), "Y")</f>
        <v>6</v>
      </c>
      <c r="G158" s="7">
        <f ca="1">YEARFRAC(Table1[[#This Row],[Hire Date]], TODAY())</f>
        <v>6.4527777777777775</v>
      </c>
      <c r="H158" s="7">
        <v>43686</v>
      </c>
      <c r="I158">
        <v>35</v>
      </c>
      <c r="J158" t="s">
        <v>43</v>
      </c>
      <c r="K158">
        <v>3</v>
      </c>
      <c r="L158" t="s">
        <v>45</v>
      </c>
      <c r="M158">
        <v>7246.5</v>
      </c>
      <c r="N158" t="s">
        <v>48</v>
      </c>
      <c r="O158" t="s">
        <v>50</v>
      </c>
      <c r="P158">
        <v>35</v>
      </c>
      <c r="Q158" t="s">
        <v>57</v>
      </c>
      <c r="R158" t="s">
        <v>58</v>
      </c>
      <c r="S158">
        <v>6</v>
      </c>
      <c r="T158">
        <v>2020</v>
      </c>
      <c r="U158" t="s">
        <v>65</v>
      </c>
      <c r="V158">
        <v>5</v>
      </c>
      <c r="W158">
        <v>4.2</v>
      </c>
    </row>
    <row r="159" spans="1:23" x14ac:dyDescent="0.35">
      <c r="A159">
        <v>10158</v>
      </c>
      <c r="B159" t="s">
        <v>26</v>
      </c>
      <c r="C159" t="s">
        <v>30</v>
      </c>
      <c r="D159" t="s">
        <v>38</v>
      </c>
      <c r="E159">
        <v>46065</v>
      </c>
      <c r="F159">
        <f ca="1">DATEDIF(Table1[[#This Row],[Hire Date]], TODAY(), "Y")</f>
        <v>9</v>
      </c>
      <c r="G159" s="7">
        <f ca="1">YEARFRAC(Table1[[#This Row],[Hire Date]], TODAY())</f>
        <v>9.3305555555555557</v>
      </c>
      <c r="H159" s="7">
        <v>42636</v>
      </c>
      <c r="I159">
        <v>37</v>
      </c>
      <c r="J159" t="s">
        <v>43</v>
      </c>
      <c r="K159">
        <v>8</v>
      </c>
      <c r="L159" t="s">
        <v>44</v>
      </c>
      <c r="M159">
        <v>2453.11</v>
      </c>
      <c r="N159" t="s">
        <v>47</v>
      </c>
      <c r="O159" t="s">
        <v>50</v>
      </c>
      <c r="P159">
        <v>17</v>
      </c>
      <c r="Q159" t="s">
        <v>55</v>
      </c>
      <c r="R159" t="s">
        <v>58</v>
      </c>
      <c r="S159">
        <v>6</v>
      </c>
      <c r="T159">
        <v>2012</v>
      </c>
      <c r="U159" t="s">
        <v>64</v>
      </c>
      <c r="V159">
        <v>72</v>
      </c>
      <c r="W159">
        <v>3.3</v>
      </c>
    </row>
    <row r="160" spans="1:23" x14ac:dyDescent="0.35">
      <c r="A160">
        <v>10159</v>
      </c>
      <c r="B160" t="s">
        <v>28</v>
      </c>
      <c r="C160" t="s">
        <v>31</v>
      </c>
      <c r="D160" t="s">
        <v>37</v>
      </c>
      <c r="E160">
        <v>113456</v>
      </c>
      <c r="F160">
        <f ca="1">DATEDIF(Table1[[#This Row],[Hire Date]], TODAY(), "Y")</f>
        <v>16</v>
      </c>
      <c r="G160" s="7">
        <f ca="1">YEARFRAC(Table1[[#This Row],[Hire Date]], TODAY())</f>
        <v>16.352777777777778</v>
      </c>
      <c r="H160" s="7">
        <v>40071</v>
      </c>
      <c r="I160">
        <v>31</v>
      </c>
      <c r="J160" t="s">
        <v>43</v>
      </c>
      <c r="K160">
        <v>2</v>
      </c>
      <c r="L160" t="s">
        <v>45</v>
      </c>
      <c r="M160">
        <v>1601.05</v>
      </c>
      <c r="N160" t="s">
        <v>47</v>
      </c>
      <c r="O160" t="s">
        <v>52</v>
      </c>
      <c r="P160">
        <v>26</v>
      </c>
      <c r="Q160" t="s">
        <v>56</v>
      </c>
      <c r="R160" t="s">
        <v>58</v>
      </c>
      <c r="S160">
        <v>16</v>
      </c>
      <c r="T160">
        <v>2019</v>
      </c>
      <c r="U160" t="s">
        <v>64</v>
      </c>
      <c r="V160">
        <v>108</v>
      </c>
      <c r="W160">
        <v>3</v>
      </c>
    </row>
    <row r="161" spans="1:23" x14ac:dyDescent="0.35">
      <c r="A161">
        <v>10160</v>
      </c>
      <c r="B161" t="s">
        <v>22</v>
      </c>
      <c r="C161" t="s">
        <v>32</v>
      </c>
      <c r="D161" t="s">
        <v>36</v>
      </c>
      <c r="E161">
        <v>78348</v>
      </c>
      <c r="F161">
        <f ca="1">DATEDIF(Table1[[#This Row],[Hire Date]], TODAY(), "Y")</f>
        <v>22</v>
      </c>
      <c r="G161" s="7">
        <f ca="1">YEARFRAC(Table1[[#This Row],[Hire Date]], TODAY())</f>
        <v>22.733333333333334</v>
      </c>
      <c r="H161" s="7">
        <v>37739</v>
      </c>
      <c r="I161">
        <v>52</v>
      </c>
      <c r="J161" t="s">
        <v>43</v>
      </c>
      <c r="K161">
        <v>3</v>
      </c>
      <c r="L161" t="s">
        <v>44</v>
      </c>
      <c r="M161">
        <v>5653.28</v>
      </c>
      <c r="N161" t="s">
        <v>46</v>
      </c>
      <c r="O161" t="s">
        <v>54</v>
      </c>
      <c r="P161">
        <v>21</v>
      </c>
      <c r="Q161" t="s">
        <v>57</v>
      </c>
      <c r="R161" t="s">
        <v>62</v>
      </c>
      <c r="S161">
        <v>9</v>
      </c>
      <c r="T161">
        <v>2022</v>
      </c>
      <c r="U161" t="s">
        <v>65</v>
      </c>
      <c r="V161">
        <v>82</v>
      </c>
      <c r="W161">
        <v>3.7</v>
      </c>
    </row>
    <row r="162" spans="1:23" x14ac:dyDescent="0.35">
      <c r="A162">
        <v>10161</v>
      </c>
      <c r="B162" t="s">
        <v>21</v>
      </c>
      <c r="C162" t="s">
        <v>29</v>
      </c>
      <c r="D162" t="s">
        <v>40</v>
      </c>
      <c r="E162">
        <v>49154</v>
      </c>
      <c r="F162">
        <f ca="1">DATEDIF(Table1[[#This Row],[Hire Date]], TODAY(), "Y")</f>
        <v>18</v>
      </c>
      <c r="G162" s="7">
        <f ca="1">YEARFRAC(Table1[[#This Row],[Hire Date]], TODAY())</f>
        <v>18.033333333333335</v>
      </c>
      <c r="H162" s="7">
        <v>39457</v>
      </c>
      <c r="I162">
        <v>52</v>
      </c>
      <c r="J162" t="s">
        <v>42</v>
      </c>
      <c r="K162">
        <v>5</v>
      </c>
      <c r="L162" t="s">
        <v>45</v>
      </c>
      <c r="M162">
        <v>2389.66</v>
      </c>
      <c r="N162" t="s">
        <v>49</v>
      </c>
      <c r="O162" t="s">
        <v>50</v>
      </c>
      <c r="P162">
        <v>12</v>
      </c>
      <c r="Q162" t="s">
        <v>57</v>
      </c>
      <c r="R162" t="s">
        <v>61</v>
      </c>
      <c r="S162">
        <v>11</v>
      </c>
      <c r="T162">
        <v>2017</v>
      </c>
      <c r="U162" t="s">
        <v>65</v>
      </c>
      <c r="V162">
        <v>178</v>
      </c>
      <c r="W162">
        <v>3</v>
      </c>
    </row>
    <row r="163" spans="1:23" x14ac:dyDescent="0.35">
      <c r="A163">
        <v>10162</v>
      </c>
      <c r="B163" t="s">
        <v>28</v>
      </c>
      <c r="C163" t="s">
        <v>30</v>
      </c>
      <c r="D163" t="s">
        <v>37</v>
      </c>
      <c r="E163">
        <v>50229</v>
      </c>
      <c r="F163">
        <f ca="1">DATEDIF(Table1[[#This Row],[Hire Date]], TODAY(), "Y")</f>
        <v>24</v>
      </c>
      <c r="G163" s="7">
        <f ca="1">YEARFRAC(Table1[[#This Row],[Hire Date]], TODAY())</f>
        <v>24.916666666666668</v>
      </c>
      <c r="H163" s="7">
        <v>36944</v>
      </c>
      <c r="I163">
        <v>57</v>
      </c>
      <c r="J163" t="s">
        <v>43</v>
      </c>
      <c r="K163">
        <v>8</v>
      </c>
      <c r="L163" t="s">
        <v>44</v>
      </c>
      <c r="M163">
        <v>1306.8699999999999</v>
      </c>
      <c r="N163" t="s">
        <v>47</v>
      </c>
      <c r="O163" t="s">
        <v>52</v>
      </c>
      <c r="P163">
        <v>16</v>
      </c>
      <c r="Q163" t="s">
        <v>57</v>
      </c>
      <c r="R163" t="s">
        <v>58</v>
      </c>
      <c r="S163">
        <v>15</v>
      </c>
      <c r="T163">
        <v>2016</v>
      </c>
      <c r="U163" t="s">
        <v>64</v>
      </c>
      <c r="V163">
        <v>55</v>
      </c>
      <c r="W163">
        <v>3.6</v>
      </c>
    </row>
    <row r="164" spans="1:23" x14ac:dyDescent="0.35">
      <c r="A164">
        <v>10163</v>
      </c>
      <c r="B164" t="s">
        <v>25</v>
      </c>
      <c r="C164" t="s">
        <v>35</v>
      </c>
      <c r="D164" t="s">
        <v>39</v>
      </c>
      <c r="E164">
        <v>82587</v>
      </c>
      <c r="F164">
        <f ca="1">DATEDIF(Table1[[#This Row],[Hire Date]], TODAY(), "Y")</f>
        <v>15</v>
      </c>
      <c r="G164" s="7">
        <f ca="1">YEARFRAC(Table1[[#This Row],[Hire Date]], TODAY())</f>
        <v>15.702777777777778</v>
      </c>
      <c r="H164" s="7">
        <v>40307</v>
      </c>
      <c r="I164">
        <v>31</v>
      </c>
      <c r="J164" t="s">
        <v>42</v>
      </c>
      <c r="K164">
        <v>1</v>
      </c>
      <c r="L164" t="s">
        <v>44</v>
      </c>
      <c r="M164">
        <v>5507.4</v>
      </c>
      <c r="N164" t="s">
        <v>47</v>
      </c>
      <c r="O164" t="s">
        <v>53</v>
      </c>
      <c r="P164">
        <v>20</v>
      </c>
      <c r="Q164" t="s">
        <v>56</v>
      </c>
      <c r="R164" t="s">
        <v>62</v>
      </c>
      <c r="S164">
        <v>1</v>
      </c>
      <c r="T164">
        <v>2012</v>
      </c>
      <c r="U164" t="s">
        <v>65</v>
      </c>
      <c r="V164">
        <v>36</v>
      </c>
      <c r="W164">
        <v>4.5</v>
      </c>
    </row>
    <row r="165" spans="1:23" x14ac:dyDescent="0.35">
      <c r="A165">
        <v>10164</v>
      </c>
      <c r="B165" t="s">
        <v>22</v>
      </c>
      <c r="C165" t="s">
        <v>31</v>
      </c>
      <c r="D165" t="s">
        <v>39</v>
      </c>
      <c r="E165">
        <v>79713</v>
      </c>
      <c r="F165">
        <f ca="1">DATEDIF(Table1[[#This Row],[Hire Date]], TODAY(), "Y")</f>
        <v>12</v>
      </c>
      <c r="G165" s="7">
        <f ca="1">YEARFRAC(Table1[[#This Row],[Hire Date]], TODAY())</f>
        <v>12.477777777777778</v>
      </c>
      <c r="H165" s="7">
        <v>41486</v>
      </c>
      <c r="I165">
        <v>47</v>
      </c>
      <c r="J165" t="s">
        <v>42</v>
      </c>
      <c r="K165">
        <v>4</v>
      </c>
      <c r="L165" t="s">
        <v>44</v>
      </c>
      <c r="M165">
        <v>3604.54</v>
      </c>
      <c r="N165" t="s">
        <v>47</v>
      </c>
      <c r="O165" t="s">
        <v>53</v>
      </c>
      <c r="P165">
        <v>10</v>
      </c>
      <c r="Q165" t="s">
        <v>57</v>
      </c>
      <c r="R165" t="s">
        <v>62</v>
      </c>
      <c r="S165">
        <v>8</v>
      </c>
      <c r="T165">
        <v>2013</v>
      </c>
      <c r="U165" t="s">
        <v>66</v>
      </c>
      <c r="V165">
        <v>104</v>
      </c>
      <c r="W165">
        <v>3.5</v>
      </c>
    </row>
    <row r="166" spans="1:23" x14ac:dyDescent="0.35">
      <c r="A166">
        <v>10165</v>
      </c>
      <c r="B166" t="s">
        <v>26</v>
      </c>
      <c r="C166" t="s">
        <v>30</v>
      </c>
      <c r="D166" t="s">
        <v>40</v>
      </c>
      <c r="E166">
        <v>56997</v>
      </c>
      <c r="F166">
        <f ca="1">DATEDIF(Table1[[#This Row],[Hire Date]], TODAY(), "Y")</f>
        <v>23</v>
      </c>
      <c r="G166" s="7">
        <f ca="1">YEARFRAC(Table1[[#This Row],[Hire Date]], TODAY())</f>
        <v>23.902777777777779</v>
      </c>
      <c r="H166" s="7">
        <v>37314</v>
      </c>
      <c r="I166">
        <v>41</v>
      </c>
      <c r="J166" t="s">
        <v>43</v>
      </c>
      <c r="K166">
        <v>1</v>
      </c>
      <c r="L166" t="s">
        <v>44</v>
      </c>
      <c r="M166">
        <v>7683.42</v>
      </c>
      <c r="N166" t="s">
        <v>48</v>
      </c>
      <c r="O166" t="s">
        <v>52</v>
      </c>
      <c r="P166">
        <v>23</v>
      </c>
      <c r="Q166" t="s">
        <v>56</v>
      </c>
      <c r="R166" t="s">
        <v>61</v>
      </c>
      <c r="S166">
        <v>11</v>
      </c>
      <c r="T166">
        <v>2022</v>
      </c>
      <c r="U166" t="s">
        <v>65</v>
      </c>
      <c r="V166">
        <v>151</v>
      </c>
      <c r="W166">
        <v>3.6</v>
      </c>
    </row>
    <row r="167" spans="1:23" x14ac:dyDescent="0.35">
      <c r="A167">
        <v>10166</v>
      </c>
      <c r="B167" t="s">
        <v>28</v>
      </c>
      <c r="C167" t="s">
        <v>30</v>
      </c>
      <c r="D167" t="s">
        <v>38</v>
      </c>
      <c r="E167">
        <v>51101</v>
      </c>
      <c r="F167">
        <f ca="1">DATEDIF(Table1[[#This Row],[Hire Date]], TODAY(), "Y")</f>
        <v>20</v>
      </c>
      <c r="G167" s="7">
        <f ca="1">YEARFRAC(Table1[[#This Row],[Hire Date]], TODAY())</f>
        <v>20.93888888888889</v>
      </c>
      <c r="H167" s="7">
        <v>38397</v>
      </c>
      <c r="I167">
        <v>30</v>
      </c>
      <c r="J167" t="s">
        <v>43</v>
      </c>
      <c r="K167">
        <v>1</v>
      </c>
      <c r="L167" t="s">
        <v>44</v>
      </c>
      <c r="M167">
        <v>3484.82</v>
      </c>
      <c r="N167" t="s">
        <v>47</v>
      </c>
      <c r="O167" t="s">
        <v>53</v>
      </c>
      <c r="P167">
        <v>30</v>
      </c>
      <c r="Q167" t="s">
        <v>57</v>
      </c>
      <c r="R167" t="s">
        <v>60</v>
      </c>
      <c r="S167">
        <v>16</v>
      </c>
      <c r="T167">
        <v>2023</v>
      </c>
      <c r="U167" t="s">
        <v>66</v>
      </c>
      <c r="V167">
        <v>43</v>
      </c>
      <c r="W167">
        <v>3.5</v>
      </c>
    </row>
    <row r="168" spans="1:23" x14ac:dyDescent="0.35">
      <c r="A168">
        <v>10167</v>
      </c>
      <c r="B168" t="s">
        <v>25</v>
      </c>
      <c r="C168" t="s">
        <v>34</v>
      </c>
      <c r="D168" t="s">
        <v>39</v>
      </c>
      <c r="E168">
        <v>70391</v>
      </c>
      <c r="F168">
        <f ca="1">DATEDIF(Table1[[#This Row],[Hire Date]], TODAY(), "Y")</f>
        <v>13</v>
      </c>
      <c r="G168" s="7">
        <f ca="1">YEARFRAC(Table1[[#This Row],[Hire Date]], TODAY())</f>
        <v>13.488888888888889</v>
      </c>
      <c r="H168" s="7">
        <v>41116</v>
      </c>
      <c r="I168">
        <v>36</v>
      </c>
      <c r="J168" t="s">
        <v>42</v>
      </c>
      <c r="K168">
        <v>5</v>
      </c>
      <c r="L168" t="s">
        <v>44</v>
      </c>
      <c r="M168">
        <v>9797.81</v>
      </c>
      <c r="N168" t="s">
        <v>46</v>
      </c>
      <c r="O168" t="s">
        <v>50</v>
      </c>
      <c r="P168">
        <v>8</v>
      </c>
      <c r="Q168" t="s">
        <v>57</v>
      </c>
      <c r="R168" t="s">
        <v>63</v>
      </c>
      <c r="S168">
        <v>15</v>
      </c>
      <c r="T168">
        <v>2013</v>
      </c>
      <c r="U168" t="s">
        <v>65</v>
      </c>
      <c r="V168">
        <v>146</v>
      </c>
      <c r="W168">
        <v>3.1</v>
      </c>
    </row>
    <row r="169" spans="1:23" x14ac:dyDescent="0.35">
      <c r="A169">
        <v>10168</v>
      </c>
      <c r="B169" t="s">
        <v>21</v>
      </c>
      <c r="C169" t="s">
        <v>35</v>
      </c>
      <c r="D169" t="s">
        <v>36</v>
      </c>
      <c r="E169">
        <v>105863</v>
      </c>
      <c r="F169">
        <f ca="1">DATEDIF(Table1[[#This Row],[Hire Date]], TODAY(), "Y")</f>
        <v>11</v>
      </c>
      <c r="G169" s="7">
        <f ca="1">YEARFRAC(Table1[[#This Row],[Hire Date]], TODAY())</f>
        <v>11.938888888888888</v>
      </c>
      <c r="H169" s="7">
        <v>41684</v>
      </c>
      <c r="I169">
        <v>30</v>
      </c>
      <c r="J169" t="s">
        <v>42</v>
      </c>
      <c r="K169">
        <v>6</v>
      </c>
      <c r="L169" t="s">
        <v>45</v>
      </c>
      <c r="M169">
        <v>7705.97</v>
      </c>
      <c r="N169" t="s">
        <v>47</v>
      </c>
      <c r="O169" t="s">
        <v>52</v>
      </c>
      <c r="P169">
        <v>5</v>
      </c>
      <c r="Q169" t="s">
        <v>56</v>
      </c>
      <c r="R169" t="s">
        <v>61</v>
      </c>
      <c r="S169">
        <v>4</v>
      </c>
      <c r="T169">
        <v>2021</v>
      </c>
      <c r="U169" t="s">
        <v>65</v>
      </c>
      <c r="V169">
        <v>161</v>
      </c>
      <c r="W169">
        <v>1.7</v>
      </c>
    </row>
    <row r="170" spans="1:23" x14ac:dyDescent="0.35">
      <c r="A170">
        <v>10169</v>
      </c>
      <c r="B170" t="s">
        <v>21</v>
      </c>
      <c r="C170" t="s">
        <v>35</v>
      </c>
      <c r="D170" t="s">
        <v>37</v>
      </c>
      <c r="E170">
        <v>102723</v>
      </c>
      <c r="F170">
        <f ca="1">DATEDIF(Table1[[#This Row],[Hire Date]], TODAY(), "Y")</f>
        <v>8</v>
      </c>
      <c r="G170" s="7">
        <f ca="1">YEARFRAC(Table1[[#This Row],[Hire Date]], TODAY())</f>
        <v>8.7944444444444443</v>
      </c>
      <c r="H170" s="7">
        <v>42831</v>
      </c>
      <c r="I170">
        <v>28</v>
      </c>
      <c r="J170" t="s">
        <v>42</v>
      </c>
      <c r="K170">
        <v>1</v>
      </c>
      <c r="L170" t="s">
        <v>45</v>
      </c>
      <c r="M170">
        <v>1048.0899999999999</v>
      </c>
      <c r="N170" t="s">
        <v>46</v>
      </c>
      <c r="O170" t="s">
        <v>50</v>
      </c>
      <c r="P170">
        <v>12</v>
      </c>
      <c r="Q170" t="s">
        <v>57</v>
      </c>
      <c r="R170" t="s">
        <v>60</v>
      </c>
      <c r="S170">
        <v>18</v>
      </c>
      <c r="T170">
        <v>2019</v>
      </c>
      <c r="U170" t="s">
        <v>65</v>
      </c>
      <c r="V170">
        <v>46</v>
      </c>
      <c r="W170">
        <v>2.2999999999999998</v>
      </c>
    </row>
    <row r="171" spans="1:23" x14ac:dyDescent="0.35">
      <c r="A171">
        <v>10170</v>
      </c>
      <c r="B171" t="s">
        <v>27</v>
      </c>
      <c r="C171" t="s">
        <v>35</v>
      </c>
      <c r="D171" t="s">
        <v>36</v>
      </c>
      <c r="E171">
        <v>89405</v>
      </c>
      <c r="F171">
        <f ca="1">DATEDIF(Table1[[#This Row],[Hire Date]], TODAY(), "Y")</f>
        <v>20</v>
      </c>
      <c r="G171" s="7">
        <f ca="1">YEARFRAC(Table1[[#This Row],[Hire Date]], TODAY())</f>
        <v>20.511111111111113</v>
      </c>
      <c r="H171" s="7">
        <v>38551</v>
      </c>
      <c r="I171">
        <v>47</v>
      </c>
      <c r="J171" t="s">
        <v>43</v>
      </c>
      <c r="K171">
        <v>6</v>
      </c>
      <c r="L171" t="s">
        <v>44</v>
      </c>
      <c r="M171">
        <v>5334.29</v>
      </c>
      <c r="N171" t="s">
        <v>49</v>
      </c>
      <c r="O171" t="s">
        <v>51</v>
      </c>
      <c r="P171">
        <v>14</v>
      </c>
      <c r="Q171" t="s">
        <v>55</v>
      </c>
      <c r="R171" t="s">
        <v>59</v>
      </c>
      <c r="S171">
        <v>16</v>
      </c>
      <c r="T171">
        <v>2016</v>
      </c>
      <c r="U171" t="s">
        <v>64</v>
      </c>
      <c r="V171">
        <v>18</v>
      </c>
      <c r="W171">
        <v>3.8</v>
      </c>
    </row>
    <row r="172" spans="1:23" x14ac:dyDescent="0.35">
      <c r="A172">
        <v>10171</v>
      </c>
      <c r="B172" t="s">
        <v>25</v>
      </c>
      <c r="C172" t="s">
        <v>30</v>
      </c>
      <c r="D172" t="s">
        <v>38</v>
      </c>
      <c r="E172">
        <v>64948</v>
      </c>
      <c r="F172">
        <f ca="1">DATEDIF(Table1[[#This Row],[Hire Date]], TODAY(), "Y")</f>
        <v>8</v>
      </c>
      <c r="G172" s="7">
        <f ca="1">YEARFRAC(Table1[[#This Row],[Hire Date]], TODAY())</f>
        <v>8.9111111111111114</v>
      </c>
      <c r="H172" s="7">
        <v>42790</v>
      </c>
      <c r="I172">
        <v>45</v>
      </c>
      <c r="J172" t="s">
        <v>42</v>
      </c>
      <c r="K172">
        <v>5</v>
      </c>
      <c r="L172" t="s">
        <v>45</v>
      </c>
      <c r="M172">
        <v>5844.89</v>
      </c>
      <c r="N172" t="s">
        <v>48</v>
      </c>
      <c r="O172" t="s">
        <v>54</v>
      </c>
      <c r="P172">
        <v>12</v>
      </c>
      <c r="Q172" t="s">
        <v>56</v>
      </c>
      <c r="R172" t="s">
        <v>63</v>
      </c>
      <c r="S172">
        <v>2</v>
      </c>
      <c r="T172">
        <v>2017</v>
      </c>
      <c r="U172" t="s">
        <v>64</v>
      </c>
      <c r="V172">
        <v>120</v>
      </c>
      <c r="W172">
        <v>2.7</v>
      </c>
    </row>
    <row r="173" spans="1:23" x14ac:dyDescent="0.35">
      <c r="A173">
        <v>10172</v>
      </c>
      <c r="B173" t="s">
        <v>23</v>
      </c>
      <c r="C173" t="s">
        <v>29</v>
      </c>
      <c r="D173" t="s">
        <v>36</v>
      </c>
      <c r="E173">
        <v>83031</v>
      </c>
      <c r="F173">
        <f ca="1">DATEDIF(Table1[[#This Row],[Hire Date]], TODAY(), "Y")</f>
        <v>19</v>
      </c>
      <c r="G173" s="7">
        <f ca="1">YEARFRAC(Table1[[#This Row],[Hire Date]], TODAY())</f>
        <v>19.361111111111111</v>
      </c>
      <c r="H173" s="7">
        <v>38972</v>
      </c>
      <c r="I173">
        <v>33</v>
      </c>
      <c r="J173" t="s">
        <v>43</v>
      </c>
      <c r="K173">
        <v>4</v>
      </c>
      <c r="L173" t="s">
        <v>44</v>
      </c>
      <c r="M173">
        <v>7105.38</v>
      </c>
      <c r="N173" t="s">
        <v>49</v>
      </c>
      <c r="O173" t="s">
        <v>54</v>
      </c>
      <c r="P173">
        <v>24</v>
      </c>
      <c r="Q173" t="s">
        <v>57</v>
      </c>
      <c r="R173" t="s">
        <v>63</v>
      </c>
      <c r="S173">
        <v>16</v>
      </c>
      <c r="T173">
        <v>2013</v>
      </c>
      <c r="U173" t="s">
        <v>64</v>
      </c>
      <c r="V173">
        <v>143</v>
      </c>
      <c r="W173">
        <v>2.6</v>
      </c>
    </row>
    <row r="174" spans="1:23" x14ac:dyDescent="0.35">
      <c r="A174">
        <v>10173</v>
      </c>
      <c r="B174" t="s">
        <v>24</v>
      </c>
      <c r="C174" t="s">
        <v>33</v>
      </c>
      <c r="D174" t="s">
        <v>36</v>
      </c>
      <c r="E174">
        <v>67921</v>
      </c>
      <c r="F174">
        <f ca="1">DATEDIF(Table1[[#This Row],[Hire Date]], TODAY(), "Y")</f>
        <v>9</v>
      </c>
      <c r="G174" s="7">
        <f ca="1">YEARFRAC(Table1[[#This Row],[Hire Date]], TODAY())</f>
        <v>9.4083333333333332</v>
      </c>
      <c r="H174" s="7">
        <v>42607</v>
      </c>
      <c r="I174">
        <v>41</v>
      </c>
      <c r="J174" t="s">
        <v>42</v>
      </c>
      <c r="K174">
        <v>5</v>
      </c>
      <c r="L174" t="s">
        <v>44</v>
      </c>
      <c r="M174">
        <v>5229.07</v>
      </c>
      <c r="N174" t="s">
        <v>47</v>
      </c>
      <c r="O174" t="s">
        <v>54</v>
      </c>
      <c r="P174">
        <v>17</v>
      </c>
      <c r="Q174" t="s">
        <v>55</v>
      </c>
      <c r="R174" t="s">
        <v>63</v>
      </c>
      <c r="S174">
        <v>14</v>
      </c>
      <c r="T174">
        <v>2017</v>
      </c>
      <c r="U174" t="s">
        <v>64</v>
      </c>
      <c r="V174">
        <v>79</v>
      </c>
      <c r="W174">
        <v>4</v>
      </c>
    </row>
    <row r="175" spans="1:23" x14ac:dyDescent="0.35">
      <c r="A175">
        <v>10174</v>
      </c>
      <c r="B175" t="s">
        <v>22</v>
      </c>
      <c r="C175" t="s">
        <v>31</v>
      </c>
      <c r="D175" t="s">
        <v>41</v>
      </c>
      <c r="E175">
        <v>102571</v>
      </c>
      <c r="F175">
        <f ca="1">DATEDIF(Table1[[#This Row],[Hire Date]], TODAY(), "Y")</f>
        <v>12</v>
      </c>
      <c r="G175" s="7">
        <f ca="1">YEARFRAC(Table1[[#This Row],[Hire Date]], TODAY())</f>
        <v>12.85</v>
      </c>
      <c r="H175" s="7">
        <v>41349</v>
      </c>
      <c r="I175">
        <v>35</v>
      </c>
      <c r="J175" t="s">
        <v>42</v>
      </c>
      <c r="K175">
        <v>8</v>
      </c>
      <c r="L175" t="s">
        <v>45</v>
      </c>
      <c r="M175">
        <v>5092.71</v>
      </c>
      <c r="N175" t="s">
        <v>49</v>
      </c>
      <c r="O175" t="s">
        <v>52</v>
      </c>
      <c r="P175">
        <v>1</v>
      </c>
      <c r="Q175" t="s">
        <v>55</v>
      </c>
      <c r="R175" t="s">
        <v>62</v>
      </c>
      <c r="S175">
        <v>18</v>
      </c>
      <c r="T175">
        <v>2010</v>
      </c>
      <c r="U175" t="s">
        <v>64</v>
      </c>
      <c r="V175">
        <v>51</v>
      </c>
      <c r="W175">
        <v>1</v>
      </c>
    </row>
    <row r="176" spans="1:23" x14ac:dyDescent="0.35">
      <c r="A176">
        <v>10175</v>
      </c>
      <c r="B176" t="s">
        <v>25</v>
      </c>
      <c r="C176" t="s">
        <v>33</v>
      </c>
      <c r="D176" t="s">
        <v>36</v>
      </c>
      <c r="E176">
        <v>107007</v>
      </c>
      <c r="F176">
        <f ca="1">DATEDIF(Table1[[#This Row],[Hire Date]], TODAY(), "Y")</f>
        <v>24</v>
      </c>
      <c r="G176" s="7">
        <f ca="1">YEARFRAC(Table1[[#This Row],[Hire Date]], TODAY())</f>
        <v>24.522222222222222</v>
      </c>
      <c r="H176" s="7">
        <v>37086</v>
      </c>
      <c r="I176">
        <v>43</v>
      </c>
      <c r="J176" t="s">
        <v>43</v>
      </c>
      <c r="K176">
        <v>9</v>
      </c>
      <c r="L176" t="s">
        <v>44</v>
      </c>
      <c r="M176">
        <v>3995.42</v>
      </c>
      <c r="N176" t="s">
        <v>47</v>
      </c>
      <c r="O176" t="s">
        <v>51</v>
      </c>
      <c r="P176">
        <v>37</v>
      </c>
      <c r="Q176" t="s">
        <v>56</v>
      </c>
      <c r="R176" t="s">
        <v>58</v>
      </c>
      <c r="S176">
        <v>14</v>
      </c>
      <c r="T176">
        <v>2022</v>
      </c>
      <c r="U176" t="s">
        <v>64</v>
      </c>
      <c r="V176">
        <v>108</v>
      </c>
      <c r="W176">
        <v>3.7</v>
      </c>
    </row>
    <row r="177" spans="1:23" x14ac:dyDescent="0.35">
      <c r="A177">
        <v>10176</v>
      </c>
      <c r="B177" t="s">
        <v>27</v>
      </c>
      <c r="C177" t="s">
        <v>30</v>
      </c>
      <c r="D177" t="s">
        <v>40</v>
      </c>
      <c r="E177">
        <v>58460</v>
      </c>
      <c r="F177">
        <f ca="1">DATEDIF(Table1[[#This Row],[Hire Date]], TODAY(), "Y")</f>
        <v>18</v>
      </c>
      <c r="G177" s="7">
        <f ca="1">YEARFRAC(Table1[[#This Row],[Hire Date]], TODAY())</f>
        <v>18.797222222222221</v>
      </c>
      <c r="H177" s="7">
        <v>39177</v>
      </c>
      <c r="I177">
        <v>37</v>
      </c>
      <c r="J177" t="s">
        <v>43</v>
      </c>
      <c r="K177">
        <v>2</v>
      </c>
      <c r="L177" t="s">
        <v>44</v>
      </c>
      <c r="M177">
        <v>3078.88</v>
      </c>
      <c r="N177" t="s">
        <v>46</v>
      </c>
      <c r="O177" t="s">
        <v>54</v>
      </c>
      <c r="P177">
        <v>11</v>
      </c>
      <c r="Q177" t="s">
        <v>57</v>
      </c>
      <c r="R177" t="s">
        <v>63</v>
      </c>
      <c r="S177">
        <v>17</v>
      </c>
      <c r="T177">
        <v>2018</v>
      </c>
      <c r="U177" t="s">
        <v>65</v>
      </c>
      <c r="V177">
        <v>28</v>
      </c>
      <c r="W177">
        <v>3</v>
      </c>
    </row>
    <row r="178" spans="1:23" x14ac:dyDescent="0.35">
      <c r="A178">
        <v>10177</v>
      </c>
      <c r="B178" t="s">
        <v>24</v>
      </c>
      <c r="C178" t="s">
        <v>33</v>
      </c>
      <c r="D178" t="s">
        <v>37</v>
      </c>
      <c r="E178">
        <v>51071</v>
      </c>
      <c r="F178">
        <f ca="1">DATEDIF(Table1[[#This Row],[Hire Date]], TODAY(), "Y")</f>
        <v>11</v>
      </c>
      <c r="G178" s="7">
        <f ca="1">YEARFRAC(Table1[[#This Row],[Hire Date]], TODAY())</f>
        <v>11.686111111111112</v>
      </c>
      <c r="H178" s="7">
        <v>41774</v>
      </c>
      <c r="I178">
        <v>50</v>
      </c>
      <c r="J178" t="s">
        <v>42</v>
      </c>
      <c r="K178">
        <v>6</v>
      </c>
      <c r="L178" t="s">
        <v>45</v>
      </c>
      <c r="M178">
        <v>9488.9</v>
      </c>
      <c r="N178" t="s">
        <v>47</v>
      </c>
      <c r="O178" t="s">
        <v>50</v>
      </c>
      <c r="P178">
        <v>6</v>
      </c>
      <c r="Q178" t="s">
        <v>56</v>
      </c>
      <c r="R178" t="s">
        <v>58</v>
      </c>
      <c r="S178">
        <v>11</v>
      </c>
      <c r="T178">
        <v>2016</v>
      </c>
      <c r="U178" t="s">
        <v>66</v>
      </c>
      <c r="V178">
        <v>154</v>
      </c>
      <c r="W178">
        <v>2.5</v>
      </c>
    </row>
    <row r="179" spans="1:23" x14ac:dyDescent="0.35">
      <c r="A179">
        <v>10178</v>
      </c>
      <c r="B179" t="s">
        <v>24</v>
      </c>
      <c r="C179" t="s">
        <v>30</v>
      </c>
      <c r="D179" t="s">
        <v>41</v>
      </c>
      <c r="E179">
        <v>96118</v>
      </c>
      <c r="F179">
        <f ca="1">DATEDIF(Table1[[#This Row],[Hire Date]], TODAY(), "Y")</f>
        <v>15</v>
      </c>
      <c r="G179" s="7">
        <f ca="1">YEARFRAC(Table1[[#This Row],[Hire Date]], TODAY())</f>
        <v>15.369444444444444</v>
      </c>
      <c r="H179" s="7">
        <v>40430</v>
      </c>
      <c r="I179">
        <v>53</v>
      </c>
      <c r="J179" t="s">
        <v>43</v>
      </c>
      <c r="K179">
        <v>3</v>
      </c>
      <c r="L179" t="s">
        <v>44</v>
      </c>
      <c r="M179">
        <v>3517.17</v>
      </c>
      <c r="N179" t="s">
        <v>48</v>
      </c>
      <c r="O179" t="s">
        <v>54</v>
      </c>
      <c r="P179">
        <v>15</v>
      </c>
      <c r="Q179" t="s">
        <v>55</v>
      </c>
      <c r="R179" t="s">
        <v>63</v>
      </c>
      <c r="S179">
        <v>11</v>
      </c>
      <c r="T179">
        <v>2013</v>
      </c>
      <c r="U179" t="s">
        <v>64</v>
      </c>
      <c r="V179">
        <v>181</v>
      </c>
      <c r="W179">
        <v>2.4</v>
      </c>
    </row>
    <row r="180" spans="1:23" x14ac:dyDescent="0.35">
      <c r="A180">
        <v>10179</v>
      </c>
      <c r="B180" t="s">
        <v>28</v>
      </c>
      <c r="C180" t="s">
        <v>33</v>
      </c>
      <c r="D180" t="s">
        <v>37</v>
      </c>
      <c r="E180">
        <v>78282</v>
      </c>
      <c r="F180">
        <f ca="1">DATEDIF(Table1[[#This Row],[Hire Date]], TODAY(), "Y")</f>
        <v>24</v>
      </c>
      <c r="G180" s="7">
        <f ca="1">YEARFRAC(Table1[[#This Row],[Hire Date]], TODAY())</f>
        <v>24.580555555555556</v>
      </c>
      <c r="H180" s="7">
        <v>37065</v>
      </c>
      <c r="I180">
        <v>40</v>
      </c>
      <c r="J180" t="s">
        <v>43</v>
      </c>
      <c r="K180">
        <v>2</v>
      </c>
      <c r="L180" t="s">
        <v>44</v>
      </c>
      <c r="M180">
        <v>1102.5</v>
      </c>
      <c r="N180" t="s">
        <v>49</v>
      </c>
      <c r="O180" t="s">
        <v>51</v>
      </c>
      <c r="P180">
        <v>23</v>
      </c>
      <c r="Q180" t="s">
        <v>55</v>
      </c>
      <c r="R180" t="s">
        <v>62</v>
      </c>
      <c r="S180">
        <v>2</v>
      </c>
      <c r="T180">
        <v>2017</v>
      </c>
      <c r="U180" t="s">
        <v>64</v>
      </c>
      <c r="V180">
        <v>187</v>
      </c>
      <c r="W180">
        <v>1.7</v>
      </c>
    </row>
    <row r="181" spans="1:23" x14ac:dyDescent="0.35">
      <c r="A181">
        <v>10180</v>
      </c>
      <c r="B181" t="s">
        <v>24</v>
      </c>
      <c r="C181" t="s">
        <v>35</v>
      </c>
      <c r="D181" t="s">
        <v>37</v>
      </c>
      <c r="E181">
        <v>88445</v>
      </c>
      <c r="F181">
        <f ca="1">DATEDIF(Table1[[#This Row],[Hire Date]], TODAY(), "Y")</f>
        <v>8</v>
      </c>
      <c r="G181" s="7">
        <f ca="1">YEARFRAC(Table1[[#This Row],[Hire Date]], TODAY())</f>
        <v>8.2638888888888893</v>
      </c>
      <c r="H181" s="7">
        <v>43025</v>
      </c>
      <c r="I181">
        <v>56</v>
      </c>
      <c r="J181" t="s">
        <v>42</v>
      </c>
      <c r="K181">
        <v>1</v>
      </c>
      <c r="L181" t="s">
        <v>45</v>
      </c>
      <c r="M181">
        <v>2089.21</v>
      </c>
      <c r="N181" t="s">
        <v>47</v>
      </c>
      <c r="O181" t="s">
        <v>50</v>
      </c>
      <c r="P181">
        <v>23</v>
      </c>
      <c r="Q181" t="s">
        <v>56</v>
      </c>
      <c r="R181" t="s">
        <v>59</v>
      </c>
      <c r="S181">
        <v>10</v>
      </c>
      <c r="T181">
        <v>2021</v>
      </c>
      <c r="U181" t="s">
        <v>65</v>
      </c>
      <c r="V181">
        <v>59</v>
      </c>
      <c r="W181">
        <v>2.2999999999999998</v>
      </c>
    </row>
    <row r="182" spans="1:23" x14ac:dyDescent="0.35">
      <c r="A182">
        <v>10181</v>
      </c>
      <c r="B182" t="s">
        <v>23</v>
      </c>
      <c r="C182" t="s">
        <v>32</v>
      </c>
      <c r="D182" t="s">
        <v>38</v>
      </c>
      <c r="E182">
        <v>111067</v>
      </c>
      <c r="F182">
        <f ca="1">DATEDIF(Table1[[#This Row],[Hire Date]], TODAY(), "Y")</f>
        <v>13</v>
      </c>
      <c r="G182" s="7">
        <f ca="1">YEARFRAC(Table1[[#This Row],[Hire Date]], TODAY())</f>
        <v>13.041666666666666</v>
      </c>
      <c r="H182" s="7">
        <v>41281</v>
      </c>
      <c r="I182">
        <v>64</v>
      </c>
      <c r="J182" t="s">
        <v>43</v>
      </c>
      <c r="K182">
        <v>4</v>
      </c>
      <c r="L182" t="s">
        <v>45</v>
      </c>
      <c r="M182">
        <v>8644.1299999999992</v>
      </c>
      <c r="N182" t="s">
        <v>46</v>
      </c>
      <c r="O182" t="s">
        <v>50</v>
      </c>
      <c r="P182">
        <v>38</v>
      </c>
      <c r="Q182" t="s">
        <v>56</v>
      </c>
      <c r="R182" t="s">
        <v>63</v>
      </c>
      <c r="S182">
        <v>9</v>
      </c>
      <c r="T182">
        <v>2019</v>
      </c>
      <c r="U182" t="s">
        <v>64</v>
      </c>
      <c r="V182">
        <v>74</v>
      </c>
      <c r="W182">
        <v>2.6</v>
      </c>
    </row>
    <row r="183" spans="1:23" x14ac:dyDescent="0.35">
      <c r="A183">
        <v>10182</v>
      </c>
      <c r="B183" t="s">
        <v>21</v>
      </c>
      <c r="C183" t="s">
        <v>35</v>
      </c>
      <c r="D183" t="s">
        <v>38</v>
      </c>
      <c r="E183">
        <v>112208</v>
      </c>
      <c r="F183">
        <f ca="1">DATEDIF(Table1[[#This Row],[Hire Date]], TODAY(), "Y")</f>
        <v>8</v>
      </c>
      <c r="G183" s="7">
        <f ca="1">YEARFRAC(Table1[[#This Row],[Hire Date]], TODAY())</f>
        <v>8.0583333333333336</v>
      </c>
      <c r="H183" s="7">
        <v>43101</v>
      </c>
      <c r="I183">
        <v>53</v>
      </c>
      <c r="J183" t="s">
        <v>43</v>
      </c>
      <c r="K183">
        <v>8</v>
      </c>
      <c r="L183" t="s">
        <v>44</v>
      </c>
      <c r="M183">
        <v>6073.02</v>
      </c>
      <c r="N183" t="s">
        <v>49</v>
      </c>
      <c r="O183" t="s">
        <v>52</v>
      </c>
      <c r="P183">
        <v>38</v>
      </c>
      <c r="Q183" t="s">
        <v>57</v>
      </c>
      <c r="R183" t="s">
        <v>61</v>
      </c>
      <c r="S183">
        <v>14</v>
      </c>
      <c r="T183">
        <v>2011</v>
      </c>
      <c r="U183" t="s">
        <v>65</v>
      </c>
      <c r="V183">
        <v>82</v>
      </c>
      <c r="W183">
        <v>2.7</v>
      </c>
    </row>
    <row r="184" spans="1:23" x14ac:dyDescent="0.35">
      <c r="A184">
        <v>10183</v>
      </c>
      <c r="B184" t="s">
        <v>27</v>
      </c>
      <c r="C184" t="s">
        <v>35</v>
      </c>
      <c r="D184" t="s">
        <v>41</v>
      </c>
      <c r="E184">
        <v>84816</v>
      </c>
      <c r="F184">
        <f ca="1">DATEDIF(Table1[[#This Row],[Hire Date]], TODAY(), "Y")</f>
        <v>9</v>
      </c>
      <c r="G184" s="7">
        <f ca="1">YEARFRAC(Table1[[#This Row],[Hire Date]], TODAY())</f>
        <v>9.7416666666666671</v>
      </c>
      <c r="H184" s="7">
        <v>42485</v>
      </c>
      <c r="I184">
        <v>41</v>
      </c>
      <c r="J184" t="s">
        <v>42</v>
      </c>
      <c r="K184">
        <v>3</v>
      </c>
      <c r="L184" t="s">
        <v>44</v>
      </c>
      <c r="M184">
        <v>7898.42</v>
      </c>
      <c r="N184" t="s">
        <v>48</v>
      </c>
      <c r="O184" t="s">
        <v>52</v>
      </c>
      <c r="P184">
        <v>12</v>
      </c>
      <c r="Q184" t="s">
        <v>55</v>
      </c>
      <c r="R184" t="s">
        <v>60</v>
      </c>
      <c r="S184">
        <v>10</v>
      </c>
      <c r="T184">
        <v>2023</v>
      </c>
      <c r="U184" t="s">
        <v>64</v>
      </c>
      <c r="V184">
        <v>77</v>
      </c>
      <c r="W184">
        <v>3.7</v>
      </c>
    </row>
    <row r="185" spans="1:23" x14ac:dyDescent="0.35">
      <c r="A185">
        <v>10184</v>
      </c>
      <c r="B185" t="s">
        <v>24</v>
      </c>
      <c r="C185" t="s">
        <v>34</v>
      </c>
      <c r="D185" t="s">
        <v>39</v>
      </c>
      <c r="E185">
        <v>115779</v>
      </c>
      <c r="F185">
        <f ca="1">DATEDIF(Table1[[#This Row],[Hire Date]], TODAY(), "Y")</f>
        <v>17</v>
      </c>
      <c r="G185" s="7">
        <f ca="1">YEARFRAC(Table1[[#This Row],[Hire Date]], TODAY())</f>
        <v>17.472222222222221</v>
      </c>
      <c r="H185" s="7">
        <v>39662</v>
      </c>
      <c r="I185">
        <v>61</v>
      </c>
      <c r="J185" t="s">
        <v>42</v>
      </c>
      <c r="K185">
        <v>5</v>
      </c>
      <c r="L185" t="s">
        <v>44</v>
      </c>
      <c r="M185">
        <v>8183.42</v>
      </c>
      <c r="N185" t="s">
        <v>47</v>
      </c>
      <c r="O185" t="s">
        <v>53</v>
      </c>
      <c r="P185">
        <v>7</v>
      </c>
      <c r="Q185" t="s">
        <v>56</v>
      </c>
      <c r="R185" t="s">
        <v>63</v>
      </c>
      <c r="S185">
        <v>0</v>
      </c>
      <c r="T185">
        <v>2017</v>
      </c>
      <c r="U185" t="s">
        <v>66</v>
      </c>
      <c r="V185">
        <v>167</v>
      </c>
      <c r="W185">
        <v>2.8</v>
      </c>
    </row>
    <row r="186" spans="1:23" x14ac:dyDescent="0.35">
      <c r="A186">
        <v>10185</v>
      </c>
      <c r="B186" t="s">
        <v>28</v>
      </c>
      <c r="C186" t="s">
        <v>34</v>
      </c>
      <c r="D186" t="s">
        <v>38</v>
      </c>
      <c r="E186">
        <v>33060</v>
      </c>
      <c r="F186">
        <f ca="1">DATEDIF(Table1[[#This Row],[Hire Date]], TODAY(), "Y")</f>
        <v>17</v>
      </c>
      <c r="G186" s="7">
        <f ca="1">YEARFRAC(Table1[[#This Row],[Hire Date]], TODAY())</f>
        <v>17.055555555555557</v>
      </c>
      <c r="H186" s="7">
        <v>39815</v>
      </c>
      <c r="I186">
        <v>41</v>
      </c>
      <c r="J186" t="s">
        <v>43</v>
      </c>
      <c r="K186">
        <v>5</v>
      </c>
      <c r="L186" t="s">
        <v>44</v>
      </c>
      <c r="M186">
        <v>8320.75</v>
      </c>
      <c r="N186" t="s">
        <v>48</v>
      </c>
      <c r="O186" t="s">
        <v>51</v>
      </c>
      <c r="P186">
        <v>37</v>
      </c>
      <c r="Q186" t="s">
        <v>55</v>
      </c>
      <c r="R186" t="s">
        <v>60</v>
      </c>
      <c r="S186">
        <v>19</v>
      </c>
      <c r="T186">
        <v>2019</v>
      </c>
      <c r="U186" t="s">
        <v>64</v>
      </c>
      <c r="V186">
        <v>48</v>
      </c>
      <c r="W186">
        <v>4.2</v>
      </c>
    </row>
    <row r="187" spans="1:23" x14ac:dyDescent="0.35">
      <c r="A187">
        <v>10186</v>
      </c>
      <c r="B187" t="s">
        <v>23</v>
      </c>
      <c r="C187" t="s">
        <v>33</v>
      </c>
      <c r="D187" t="s">
        <v>38</v>
      </c>
      <c r="E187">
        <v>43731</v>
      </c>
      <c r="F187">
        <f ca="1">DATEDIF(Table1[[#This Row],[Hire Date]], TODAY(), "Y")</f>
        <v>18</v>
      </c>
      <c r="G187" s="7">
        <f ca="1">YEARFRAC(Table1[[#This Row],[Hire Date]], TODAY())</f>
        <v>18.913888888888888</v>
      </c>
      <c r="H187" s="7">
        <v>39136</v>
      </c>
      <c r="I187">
        <v>29</v>
      </c>
      <c r="J187" t="s">
        <v>43</v>
      </c>
      <c r="K187">
        <v>5</v>
      </c>
      <c r="L187" t="s">
        <v>44</v>
      </c>
      <c r="M187">
        <v>5730.83</v>
      </c>
      <c r="N187" t="s">
        <v>46</v>
      </c>
      <c r="O187" t="s">
        <v>50</v>
      </c>
      <c r="P187">
        <v>16</v>
      </c>
      <c r="Q187" t="s">
        <v>56</v>
      </c>
      <c r="R187" t="s">
        <v>60</v>
      </c>
      <c r="S187">
        <v>3</v>
      </c>
      <c r="T187">
        <v>2015</v>
      </c>
      <c r="U187" t="s">
        <v>64</v>
      </c>
      <c r="V187">
        <v>168</v>
      </c>
      <c r="W187">
        <v>3.6</v>
      </c>
    </row>
    <row r="188" spans="1:23" x14ac:dyDescent="0.35">
      <c r="A188">
        <v>10187</v>
      </c>
      <c r="B188" t="s">
        <v>26</v>
      </c>
      <c r="C188" t="s">
        <v>30</v>
      </c>
      <c r="D188" t="s">
        <v>38</v>
      </c>
      <c r="E188">
        <v>107830</v>
      </c>
      <c r="F188">
        <f ca="1">DATEDIF(Table1[[#This Row],[Hire Date]], TODAY(), "Y")</f>
        <v>10</v>
      </c>
      <c r="G188" s="7">
        <f ca="1">YEARFRAC(Table1[[#This Row],[Hire Date]], TODAY())</f>
        <v>10.869444444444444</v>
      </c>
      <c r="H188" s="7">
        <v>42072</v>
      </c>
      <c r="I188">
        <v>56</v>
      </c>
      <c r="J188" t="s">
        <v>43</v>
      </c>
      <c r="K188">
        <v>9</v>
      </c>
      <c r="L188" t="s">
        <v>44</v>
      </c>
      <c r="M188">
        <v>2182.65</v>
      </c>
      <c r="N188" t="s">
        <v>49</v>
      </c>
      <c r="O188" t="s">
        <v>51</v>
      </c>
      <c r="P188">
        <v>38</v>
      </c>
      <c r="Q188" t="s">
        <v>57</v>
      </c>
      <c r="R188" t="s">
        <v>62</v>
      </c>
      <c r="S188">
        <v>7</v>
      </c>
      <c r="T188">
        <v>2016</v>
      </c>
      <c r="U188" t="s">
        <v>65</v>
      </c>
      <c r="V188">
        <v>93</v>
      </c>
      <c r="W188">
        <v>1.8</v>
      </c>
    </row>
    <row r="189" spans="1:23" x14ac:dyDescent="0.35">
      <c r="A189">
        <v>10188</v>
      </c>
      <c r="B189" t="s">
        <v>21</v>
      </c>
      <c r="C189" t="s">
        <v>35</v>
      </c>
      <c r="D189" t="s">
        <v>37</v>
      </c>
      <c r="E189">
        <v>50719</v>
      </c>
      <c r="F189">
        <f ca="1">DATEDIF(Table1[[#This Row],[Hire Date]], TODAY(), "Y")</f>
        <v>12</v>
      </c>
      <c r="G189" s="7">
        <f ca="1">YEARFRAC(Table1[[#This Row],[Hire Date]], TODAY())</f>
        <v>12.608333333333333</v>
      </c>
      <c r="H189" s="7">
        <v>41438</v>
      </c>
      <c r="I189">
        <v>63</v>
      </c>
      <c r="J189" t="s">
        <v>42</v>
      </c>
      <c r="K189">
        <v>8</v>
      </c>
      <c r="L189" t="s">
        <v>44</v>
      </c>
      <c r="M189">
        <v>1908.21</v>
      </c>
      <c r="N189" t="s">
        <v>49</v>
      </c>
      <c r="O189" t="s">
        <v>54</v>
      </c>
      <c r="P189">
        <v>35</v>
      </c>
      <c r="Q189" t="s">
        <v>55</v>
      </c>
      <c r="R189" t="s">
        <v>59</v>
      </c>
      <c r="S189">
        <v>19</v>
      </c>
      <c r="T189">
        <v>2016</v>
      </c>
      <c r="U189" t="s">
        <v>64</v>
      </c>
      <c r="V189">
        <v>19</v>
      </c>
      <c r="W189">
        <v>2.1</v>
      </c>
    </row>
    <row r="190" spans="1:23" x14ac:dyDescent="0.35">
      <c r="A190">
        <v>10189</v>
      </c>
      <c r="B190" t="s">
        <v>21</v>
      </c>
      <c r="C190" t="s">
        <v>33</v>
      </c>
      <c r="D190" t="s">
        <v>41</v>
      </c>
      <c r="E190">
        <v>77042</v>
      </c>
      <c r="F190">
        <f ca="1">DATEDIF(Table1[[#This Row],[Hire Date]], TODAY(), "Y")</f>
        <v>20</v>
      </c>
      <c r="G190" s="7">
        <f ca="1">YEARFRAC(Table1[[#This Row],[Hire Date]], TODAY())</f>
        <v>20.733333333333334</v>
      </c>
      <c r="H190" s="7">
        <v>38470</v>
      </c>
      <c r="I190">
        <v>34</v>
      </c>
      <c r="J190" t="s">
        <v>42</v>
      </c>
      <c r="K190">
        <v>8</v>
      </c>
      <c r="L190" t="s">
        <v>45</v>
      </c>
      <c r="M190">
        <v>5952.85</v>
      </c>
      <c r="N190" t="s">
        <v>49</v>
      </c>
      <c r="O190" t="s">
        <v>54</v>
      </c>
      <c r="P190">
        <v>29</v>
      </c>
      <c r="Q190" t="s">
        <v>57</v>
      </c>
      <c r="R190" t="s">
        <v>60</v>
      </c>
      <c r="S190">
        <v>12</v>
      </c>
      <c r="T190">
        <v>2011</v>
      </c>
      <c r="U190" t="s">
        <v>65</v>
      </c>
      <c r="V190">
        <v>49</v>
      </c>
      <c r="W190">
        <v>1.3</v>
      </c>
    </row>
    <row r="191" spans="1:23" x14ac:dyDescent="0.35">
      <c r="A191">
        <v>10190</v>
      </c>
      <c r="B191" t="s">
        <v>27</v>
      </c>
      <c r="C191" t="s">
        <v>34</v>
      </c>
      <c r="D191" t="s">
        <v>37</v>
      </c>
      <c r="E191">
        <v>79116</v>
      </c>
      <c r="F191">
        <f ca="1">DATEDIF(Table1[[#This Row],[Hire Date]], TODAY(), "Y")</f>
        <v>17</v>
      </c>
      <c r="G191" s="7">
        <f ca="1">YEARFRAC(Table1[[#This Row],[Hire Date]], TODAY())</f>
        <v>17.447222222222223</v>
      </c>
      <c r="H191" s="7">
        <v>39671</v>
      </c>
      <c r="I191">
        <v>62</v>
      </c>
      <c r="J191" t="s">
        <v>43</v>
      </c>
      <c r="K191">
        <v>1</v>
      </c>
      <c r="L191" t="s">
        <v>44</v>
      </c>
      <c r="M191">
        <v>3981.89</v>
      </c>
      <c r="N191" t="s">
        <v>46</v>
      </c>
      <c r="O191" t="s">
        <v>53</v>
      </c>
      <c r="P191">
        <v>39</v>
      </c>
      <c r="Q191" t="s">
        <v>57</v>
      </c>
      <c r="R191" t="s">
        <v>62</v>
      </c>
      <c r="S191">
        <v>16</v>
      </c>
      <c r="T191">
        <v>2023</v>
      </c>
      <c r="U191" t="s">
        <v>66</v>
      </c>
      <c r="V191">
        <v>126</v>
      </c>
      <c r="W191">
        <v>4.8</v>
      </c>
    </row>
    <row r="192" spans="1:23" x14ac:dyDescent="0.35">
      <c r="A192">
        <v>10191</v>
      </c>
      <c r="B192" t="s">
        <v>21</v>
      </c>
      <c r="C192" t="s">
        <v>32</v>
      </c>
      <c r="D192" t="s">
        <v>40</v>
      </c>
      <c r="E192">
        <v>56325</v>
      </c>
      <c r="F192">
        <f ca="1">DATEDIF(Table1[[#This Row],[Hire Date]], TODAY(), "Y")</f>
        <v>18</v>
      </c>
      <c r="G192" s="7">
        <f ca="1">YEARFRAC(Table1[[#This Row],[Hire Date]], TODAY())</f>
        <v>18.502777777777776</v>
      </c>
      <c r="H192" s="7">
        <v>39284</v>
      </c>
      <c r="I192">
        <v>27</v>
      </c>
      <c r="J192" t="s">
        <v>43</v>
      </c>
      <c r="K192">
        <v>1</v>
      </c>
      <c r="L192" t="s">
        <v>44</v>
      </c>
      <c r="M192">
        <v>5801.46</v>
      </c>
      <c r="N192" t="s">
        <v>47</v>
      </c>
      <c r="O192" t="s">
        <v>50</v>
      </c>
      <c r="P192">
        <v>17</v>
      </c>
      <c r="Q192" t="s">
        <v>55</v>
      </c>
      <c r="R192" t="s">
        <v>59</v>
      </c>
      <c r="S192">
        <v>14</v>
      </c>
      <c r="T192">
        <v>2020</v>
      </c>
      <c r="U192" t="s">
        <v>64</v>
      </c>
      <c r="V192">
        <v>66</v>
      </c>
      <c r="W192">
        <v>4.5</v>
      </c>
    </row>
    <row r="193" spans="1:23" x14ac:dyDescent="0.35">
      <c r="A193">
        <v>10192</v>
      </c>
      <c r="B193" t="s">
        <v>24</v>
      </c>
      <c r="C193" t="s">
        <v>31</v>
      </c>
      <c r="D193" t="s">
        <v>37</v>
      </c>
      <c r="E193">
        <v>52597</v>
      </c>
      <c r="F193">
        <f ca="1">DATEDIF(Table1[[#This Row],[Hire Date]], TODAY(), "Y")</f>
        <v>11</v>
      </c>
      <c r="G193" s="7">
        <f ca="1">YEARFRAC(Table1[[#This Row],[Hire Date]], TODAY())</f>
        <v>11.513888888888889</v>
      </c>
      <c r="H193" s="7">
        <v>41837</v>
      </c>
      <c r="I193">
        <v>37</v>
      </c>
      <c r="J193" t="s">
        <v>43</v>
      </c>
      <c r="K193">
        <v>2</v>
      </c>
      <c r="L193" t="s">
        <v>45</v>
      </c>
      <c r="M193">
        <v>5235.54</v>
      </c>
      <c r="N193" t="s">
        <v>47</v>
      </c>
      <c r="O193" t="s">
        <v>50</v>
      </c>
      <c r="P193">
        <v>26</v>
      </c>
      <c r="Q193" t="s">
        <v>56</v>
      </c>
      <c r="R193" t="s">
        <v>63</v>
      </c>
      <c r="S193">
        <v>0</v>
      </c>
      <c r="T193">
        <v>2011</v>
      </c>
      <c r="U193" t="s">
        <v>65</v>
      </c>
      <c r="V193">
        <v>96</v>
      </c>
      <c r="W193">
        <v>1.3</v>
      </c>
    </row>
    <row r="194" spans="1:23" x14ac:dyDescent="0.35">
      <c r="A194">
        <v>10193</v>
      </c>
      <c r="B194" t="s">
        <v>28</v>
      </c>
      <c r="C194" t="s">
        <v>33</v>
      </c>
      <c r="D194" t="s">
        <v>40</v>
      </c>
      <c r="E194">
        <v>97439</v>
      </c>
      <c r="F194">
        <f ca="1">DATEDIF(Table1[[#This Row],[Hire Date]], TODAY(), "Y")</f>
        <v>17</v>
      </c>
      <c r="G194" s="7">
        <f ca="1">YEARFRAC(Table1[[#This Row],[Hire Date]], TODAY())</f>
        <v>17.133333333333333</v>
      </c>
      <c r="H194" s="7">
        <v>39786</v>
      </c>
      <c r="I194">
        <v>26</v>
      </c>
      <c r="J194" t="s">
        <v>42</v>
      </c>
      <c r="K194">
        <v>8</v>
      </c>
      <c r="L194" t="s">
        <v>44</v>
      </c>
      <c r="M194">
        <v>6220.88</v>
      </c>
      <c r="N194" t="s">
        <v>47</v>
      </c>
      <c r="O194" t="s">
        <v>53</v>
      </c>
      <c r="P194">
        <v>20</v>
      </c>
      <c r="Q194" t="s">
        <v>57</v>
      </c>
      <c r="R194" t="s">
        <v>58</v>
      </c>
      <c r="S194">
        <v>2</v>
      </c>
      <c r="T194">
        <v>2013</v>
      </c>
      <c r="U194" t="s">
        <v>66</v>
      </c>
      <c r="V194">
        <v>182</v>
      </c>
      <c r="W194">
        <v>3.3</v>
      </c>
    </row>
    <row r="195" spans="1:23" x14ac:dyDescent="0.35">
      <c r="A195">
        <v>10194</v>
      </c>
      <c r="B195" t="s">
        <v>21</v>
      </c>
      <c r="C195" t="s">
        <v>32</v>
      </c>
      <c r="D195" t="s">
        <v>36</v>
      </c>
      <c r="E195">
        <v>44551</v>
      </c>
      <c r="F195">
        <f ca="1">DATEDIF(Table1[[#This Row],[Hire Date]], TODAY(), "Y")</f>
        <v>14</v>
      </c>
      <c r="G195" s="7">
        <f ca="1">YEARFRAC(Table1[[#This Row],[Hire Date]], TODAY())</f>
        <v>14.811111111111112</v>
      </c>
      <c r="H195" s="7">
        <v>40633</v>
      </c>
      <c r="I195">
        <v>55</v>
      </c>
      <c r="J195" t="s">
        <v>42</v>
      </c>
      <c r="K195">
        <v>1</v>
      </c>
      <c r="L195" t="s">
        <v>44</v>
      </c>
      <c r="M195">
        <v>805.06</v>
      </c>
      <c r="N195" t="s">
        <v>48</v>
      </c>
      <c r="O195" t="s">
        <v>54</v>
      </c>
      <c r="P195">
        <v>25</v>
      </c>
      <c r="Q195" t="s">
        <v>57</v>
      </c>
      <c r="R195" t="s">
        <v>62</v>
      </c>
      <c r="S195">
        <v>16</v>
      </c>
      <c r="T195">
        <v>2015</v>
      </c>
      <c r="U195" t="s">
        <v>66</v>
      </c>
      <c r="V195">
        <v>17</v>
      </c>
      <c r="W195">
        <v>4.8</v>
      </c>
    </row>
    <row r="196" spans="1:23" x14ac:dyDescent="0.35">
      <c r="A196">
        <v>10195</v>
      </c>
      <c r="B196" t="s">
        <v>21</v>
      </c>
      <c r="C196" t="s">
        <v>31</v>
      </c>
      <c r="D196" t="s">
        <v>36</v>
      </c>
      <c r="E196">
        <v>54278</v>
      </c>
      <c r="F196">
        <f ca="1">DATEDIF(Table1[[#This Row],[Hire Date]], TODAY(), "Y")</f>
        <v>8</v>
      </c>
      <c r="G196" s="7">
        <f ca="1">YEARFRAC(Table1[[#This Row],[Hire Date]], TODAY())</f>
        <v>8.5833333333333339</v>
      </c>
      <c r="H196" s="7">
        <v>42908</v>
      </c>
      <c r="I196">
        <v>27</v>
      </c>
      <c r="J196" t="s">
        <v>43</v>
      </c>
      <c r="K196">
        <v>4</v>
      </c>
      <c r="L196" t="s">
        <v>45</v>
      </c>
      <c r="M196">
        <v>811.95</v>
      </c>
      <c r="N196" t="s">
        <v>46</v>
      </c>
      <c r="O196" t="s">
        <v>50</v>
      </c>
      <c r="P196">
        <v>38</v>
      </c>
      <c r="Q196" t="s">
        <v>55</v>
      </c>
      <c r="R196" t="s">
        <v>60</v>
      </c>
      <c r="S196">
        <v>3</v>
      </c>
      <c r="T196">
        <v>2013</v>
      </c>
      <c r="U196" t="s">
        <v>65</v>
      </c>
      <c r="V196">
        <v>109</v>
      </c>
      <c r="W196">
        <v>4</v>
      </c>
    </row>
    <row r="197" spans="1:23" x14ac:dyDescent="0.35">
      <c r="A197">
        <v>10196</v>
      </c>
      <c r="B197" t="s">
        <v>26</v>
      </c>
      <c r="C197" t="s">
        <v>29</v>
      </c>
      <c r="D197" t="s">
        <v>40</v>
      </c>
      <c r="E197">
        <v>45141</v>
      </c>
      <c r="F197">
        <f ca="1">DATEDIF(Table1[[#This Row],[Hire Date]], TODAY(), "Y")</f>
        <v>20</v>
      </c>
      <c r="G197" s="7">
        <f ca="1">YEARFRAC(Table1[[#This Row],[Hire Date]], TODAY())</f>
        <v>20.866666666666667</v>
      </c>
      <c r="H197" s="7">
        <v>38421</v>
      </c>
      <c r="I197">
        <v>54</v>
      </c>
      <c r="J197" t="s">
        <v>43</v>
      </c>
      <c r="K197">
        <v>9</v>
      </c>
      <c r="L197" t="s">
        <v>44</v>
      </c>
      <c r="M197">
        <v>7355.15</v>
      </c>
      <c r="N197" t="s">
        <v>49</v>
      </c>
      <c r="O197" t="s">
        <v>51</v>
      </c>
      <c r="P197">
        <v>39</v>
      </c>
      <c r="Q197" t="s">
        <v>55</v>
      </c>
      <c r="R197" t="s">
        <v>60</v>
      </c>
      <c r="S197">
        <v>7</v>
      </c>
      <c r="T197">
        <v>2015</v>
      </c>
      <c r="U197" t="s">
        <v>65</v>
      </c>
      <c r="V197">
        <v>163</v>
      </c>
      <c r="W197">
        <v>3</v>
      </c>
    </row>
    <row r="198" spans="1:23" x14ac:dyDescent="0.35">
      <c r="A198">
        <v>10197</v>
      </c>
      <c r="B198" t="s">
        <v>26</v>
      </c>
      <c r="C198" t="s">
        <v>33</v>
      </c>
      <c r="D198" t="s">
        <v>40</v>
      </c>
      <c r="E198">
        <v>97913</v>
      </c>
      <c r="F198">
        <f ca="1">DATEDIF(Table1[[#This Row],[Hire Date]], TODAY(), "Y")</f>
        <v>19</v>
      </c>
      <c r="G198" s="7">
        <f ca="1">YEARFRAC(Table1[[#This Row],[Hire Date]], TODAY())</f>
        <v>19.213888888888889</v>
      </c>
      <c r="H198" s="7">
        <v>39026</v>
      </c>
      <c r="I198">
        <v>36</v>
      </c>
      <c r="J198" t="s">
        <v>43</v>
      </c>
      <c r="K198">
        <v>2</v>
      </c>
      <c r="L198" t="s">
        <v>45</v>
      </c>
      <c r="M198">
        <v>2334.71</v>
      </c>
      <c r="N198" t="s">
        <v>46</v>
      </c>
      <c r="O198" t="s">
        <v>50</v>
      </c>
      <c r="P198">
        <v>37</v>
      </c>
      <c r="Q198" t="s">
        <v>55</v>
      </c>
      <c r="R198" t="s">
        <v>63</v>
      </c>
      <c r="S198">
        <v>14</v>
      </c>
      <c r="T198">
        <v>2014</v>
      </c>
      <c r="U198" t="s">
        <v>64</v>
      </c>
      <c r="V198">
        <v>9</v>
      </c>
      <c r="W198">
        <v>2</v>
      </c>
    </row>
    <row r="199" spans="1:23" x14ac:dyDescent="0.35">
      <c r="A199">
        <v>10198</v>
      </c>
      <c r="B199" t="s">
        <v>22</v>
      </c>
      <c r="C199" t="s">
        <v>33</v>
      </c>
      <c r="D199" t="s">
        <v>37</v>
      </c>
      <c r="E199">
        <v>63615</v>
      </c>
      <c r="F199">
        <f ca="1">DATEDIF(Table1[[#This Row],[Hire Date]], TODAY(), "Y")</f>
        <v>8</v>
      </c>
      <c r="G199" s="7">
        <f ca="1">YEARFRAC(Table1[[#This Row],[Hire Date]], TODAY())</f>
        <v>8.1916666666666664</v>
      </c>
      <c r="H199" s="7">
        <v>43052</v>
      </c>
      <c r="I199">
        <v>36</v>
      </c>
      <c r="J199" t="s">
        <v>43</v>
      </c>
      <c r="K199">
        <v>3</v>
      </c>
      <c r="L199" t="s">
        <v>45</v>
      </c>
      <c r="M199">
        <v>6695.89</v>
      </c>
      <c r="N199" t="s">
        <v>46</v>
      </c>
      <c r="O199" t="s">
        <v>54</v>
      </c>
      <c r="P199">
        <v>19</v>
      </c>
      <c r="Q199" t="s">
        <v>57</v>
      </c>
      <c r="R199" t="s">
        <v>62</v>
      </c>
      <c r="S199">
        <v>7</v>
      </c>
      <c r="T199">
        <v>2015</v>
      </c>
      <c r="U199" t="s">
        <v>66</v>
      </c>
      <c r="V199">
        <v>87</v>
      </c>
      <c r="W199">
        <v>2.1</v>
      </c>
    </row>
    <row r="200" spans="1:23" x14ac:dyDescent="0.35">
      <c r="A200">
        <v>10199</v>
      </c>
      <c r="B200" t="s">
        <v>23</v>
      </c>
      <c r="C200" t="s">
        <v>29</v>
      </c>
      <c r="D200" t="s">
        <v>40</v>
      </c>
      <c r="E200">
        <v>92751</v>
      </c>
      <c r="F200">
        <f ca="1">DATEDIF(Table1[[#This Row],[Hire Date]], TODAY(), "Y")</f>
        <v>18</v>
      </c>
      <c r="G200" s="7">
        <f ca="1">YEARFRAC(Table1[[#This Row],[Hire Date]], TODAY())</f>
        <v>18.31111111111111</v>
      </c>
      <c r="H200" s="7">
        <v>39355</v>
      </c>
      <c r="I200">
        <v>35</v>
      </c>
      <c r="J200" t="s">
        <v>42</v>
      </c>
      <c r="K200">
        <v>6</v>
      </c>
      <c r="L200" t="s">
        <v>45</v>
      </c>
      <c r="M200">
        <v>5692.47</v>
      </c>
      <c r="N200" t="s">
        <v>46</v>
      </c>
      <c r="O200" t="s">
        <v>50</v>
      </c>
      <c r="P200">
        <v>21</v>
      </c>
      <c r="Q200" t="s">
        <v>56</v>
      </c>
      <c r="R200" t="s">
        <v>63</v>
      </c>
      <c r="S200">
        <v>13</v>
      </c>
      <c r="T200">
        <v>2018</v>
      </c>
      <c r="U200" t="s">
        <v>66</v>
      </c>
      <c r="V200">
        <v>140</v>
      </c>
      <c r="W200">
        <v>3.9</v>
      </c>
    </row>
    <row r="201" spans="1:23" x14ac:dyDescent="0.35">
      <c r="A201">
        <v>10200</v>
      </c>
      <c r="B201" t="s">
        <v>24</v>
      </c>
      <c r="C201" t="s">
        <v>29</v>
      </c>
      <c r="D201" t="s">
        <v>41</v>
      </c>
      <c r="E201">
        <v>57452</v>
      </c>
      <c r="F201">
        <f ca="1">DATEDIF(Table1[[#This Row],[Hire Date]], TODAY(), "Y")</f>
        <v>15</v>
      </c>
      <c r="G201" s="7">
        <f ca="1">YEARFRAC(Table1[[#This Row],[Hire Date]], TODAY())</f>
        <v>15.452777777777778</v>
      </c>
      <c r="H201" s="7">
        <v>40399</v>
      </c>
      <c r="I201">
        <v>60</v>
      </c>
      <c r="J201" t="s">
        <v>43</v>
      </c>
      <c r="K201">
        <v>3</v>
      </c>
      <c r="L201" t="s">
        <v>45</v>
      </c>
      <c r="M201">
        <v>9827.0499999999993</v>
      </c>
      <c r="N201" t="s">
        <v>49</v>
      </c>
      <c r="O201" t="s">
        <v>50</v>
      </c>
      <c r="P201">
        <v>32</v>
      </c>
      <c r="Q201" t="s">
        <v>56</v>
      </c>
      <c r="R201" t="s">
        <v>62</v>
      </c>
      <c r="S201">
        <v>5</v>
      </c>
      <c r="T201">
        <v>2015</v>
      </c>
      <c r="U201" t="s">
        <v>65</v>
      </c>
      <c r="V201">
        <v>145</v>
      </c>
      <c r="W201">
        <v>4.0999999999999996</v>
      </c>
    </row>
    <row r="202" spans="1:23" x14ac:dyDescent="0.35">
      <c r="A202">
        <v>10201</v>
      </c>
      <c r="B202" t="s">
        <v>21</v>
      </c>
      <c r="C202" t="s">
        <v>33</v>
      </c>
      <c r="D202" t="s">
        <v>36</v>
      </c>
      <c r="E202">
        <v>52725</v>
      </c>
      <c r="F202">
        <f ca="1">DATEDIF(Table1[[#This Row],[Hire Date]], TODAY(), "Y")</f>
        <v>25</v>
      </c>
      <c r="G202" s="7">
        <f ca="1">YEARFRAC(Table1[[#This Row],[Hire Date]], TODAY())</f>
        <v>25.930555555555557</v>
      </c>
      <c r="H202" s="7">
        <v>36573</v>
      </c>
      <c r="I202">
        <v>26</v>
      </c>
      <c r="J202" t="s">
        <v>43</v>
      </c>
      <c r="K202">
        <v>4</v>
      </c>
      <c r="L202" t="s">
        <v>45</v>
      </c>
      <c r="M202">
        <v>8436.36</v>
      </c>
      <c r="N202" t="s">
        <v>49</v>
      </c>
      <c r="O202" t="s">
        <v>52</v>
      </c>
      <c r="P202">
        <v>28</v>
      </c>
      <c r="Q202" t="s">
        <v>55</v>
      </c>
      <c r="R202" t="s">
        <v>58</v>
      </c>
      <c r="S202">
        <v>14</v>
      </c>
      <c r="T202">
        <v>2015</v>
      </c>
      <c r="U202" t="s">
        <v>66</v>
      </c>
      <c r="V202">
        <v>173</v>
      </c>
      <c r="W202">
        <v>3.1</v>
      </c>
    </row>
    <row r="203" spans="1:23" x14ac:dyDescent="0.35">
      <c r="A203">
        <v>10202</v>
      </c>
      <c r="B203" t="s">
        <v>25</v>
      </c>
      <c r="C203" t="s">
        <v>29</v>
      </c>
      <c r="D203" t="s">
        <v>36</v>
      </c>
      <c r="E203">
        <v>80391</v>
      </c>
      <c r="F203">
        <f ca="1">DATEDIF(Table1[[#This Row],[Hire Date]], TODAY(), "Y")</f>
        <v>19</v>
      </c>
      <c r="G203" s="7">
        <f ca="1">YEARFRAC(Table1[[#This Row],[Hire Date]], TODAY())</f>
        <v>19.583333333333332</v>
      </c>
      <c r="H203" s="7">
        <v>38890</v>
      </c>
      <c r="I203">
        <v>47</v>
      </c>
      <c r="J203" t="s">
        <v>42</v>
      </c>
      <c r="K203">
        <v>9</v>
      </c>
      <c r="L203" t="s">
        <v>45</v>
      </c>
      <c r="M203">
        <v>4424.78</v>
      </c>
      <c r="N203" t="s">
        <v>48</v>
      </c>
      <c r="O203" t="s">
        <v>50</v>
      </c>
      <c r="P203">
        <v>39</v>
      </c>
      <c r="Q203" t="s">
        <v>57</v>
      </c>
      <c r="R203" t="s">
        <v>61</v>
      </c>
      <c r="S203">
        <v>19</v>
      </c>
      <c r="T203">
        <v>2020</v>
      </c>
      <c r="U203" t="s">
        <v>65</v>
      </c>
      <c r="V203">
        <v>21</v>
      </c>
      <c r="W203">
        <v>1.5</v>
      </c>
    </row>
    <row r="204" spans="1:23" x14ac:dyDescent="0.35">
      <c r="A204">
        <v>10203</v>
      </c>
      <c r="B204" t="s">
        <v>21</v>
      </c>
      <c r="C204" t="s">
        <v>35</v>
      </c>
      <c r="D204" t="s">
        <v>39</v>
      </c>
      <c r="E204">
        <v>105060</v>
      </c>
      <c r="F204">
        <f ca="1">DATEDIF(Table1[[#This Row],[Hire Date]], TODAY(), "Y")</f>
        <v>19</v>
      </c>
      <c r="G204" s="7">
        <f ca="1">YEARFRAC(Table1[[#This Row],[Hire Date]], TODAY())</f>
        <v>19.877777777777776</v>
      </c>
      <c r="H204" s="7">
        <v>38782</v>
      </c>
      <c r="I204">
        <v>38</v>
      </c>
      <c r="J204" t="s">
        <v>43</v>
      </c>
      <c r="K204">
        <v>9</v>
      </c>
      <c r="L204" t="s">
        <v>45</v>
      </c>
      <c r="M204">
        <v>6355.92</v>
      </c>
      <c r="N204" t="s">
        <v>46</v>
      </c>
      <c r="O204" t="s">
        <v>53</v>
      </c>
      <c r="P204">
        <v>12</v>
      </c>
      <c r="Q204" t="s">
        <v>57</v>
      </c>
      <c r="R204" t="s">
        <v>63</v>
      </c>
      <c r="S204">
        <v>8</v>
      </c>
      <c r="T204">
        <v>2020</v>
      </c>
      <c r="U204" t="s">
        <v>64</v>
      </c>
      <c r="V204">
        <v>36</v>
      </c>
      <c r="W204">
        <v>4.7</v>
      </c>
    </row>
    <row r="205" spans="1:23" x14ac:dyDescent="0.35">
      <c r="A205">
        <v>10204</v>
      </c>
      <c r="B205" t="s">
        <v>28</v>
      </c>
      <c r="C205" t="s">
        <v>31</v>
      </c>
      <c r="D205" t="s">
        <v>40</v>
      </c>
      <c r="E205">
        <v>41698</v>
      </c>
      <c r="F205">
        <f ca="1">DATEDIF(Table1[[#This Row],[Hire Date]], TODAY(), "Y")</f>
        <v>10</v>
      </c>
      <c r="G205" s="7">
        <f ca="1">YEARFRAC(Table1[[#This Row],[Hire Date]], TODAY())</f>
        <v>10.541666666666666</v>
      </c>
      <c r="H205" s="7">
        <v>42192</v>
      </c>
      <c r="I205">
        <v>64</v>
      </c>
      <c r="J205" t="s">
        <v>43</v>
      </c>
      <c r="K205">
        <v>5</v>
      </c>
      <c r="L205" t="s">
        <v>44</v>
      </c>
      <c r="M205">
        <v>1614.25</v>
      </c>
      <c r="N205" t="s">
        <v>47</v>
      </c>
      <c r="O205" t="s">
        <v>53</v>
      </c>
      <c r="P205">
        <v>15</v>
      </c>
      <c r="Q205" t="s">
        <v>57</v>
      </c>
      <c r="R205" t="s">
        <v>60</v>
      </c>
      <c r="S205">
        <v>4</v>
      </c>
      <c r="T205">
        <v>2017</v>
      </c>
      <c r="U205" t="s">
        <v>65</v>
      </c>
      <c r="V205">
        <v>9</v>
      </c>
      <c r="W205">
        <v>4.4000000000000004</v>
      </c>
    </row>
    <row r="206" spans="1:23" x14ac:dyDescent="0.35">
      <c r="A206">
        <v>10205</v>
      </c>
      <c r="B206" t="s">
        <v>22</v>
      </c>
      <c r="C206" t="s">
        <v>31</v>
      </c>
      <c r="D206" t="s">
        <v>38</v>
      </c>
      <c r="E206">
        <v>116711</v>
      </c>
      <c r="F206">
        <f ca="1">DATEDIF(Table1[[#This Row],[Hire Date]], TODAY(), "Y")</f>
        <v>6</v>
      </c>
      <c r="G206" s="7">
        <f ca="1">YEARFRAC(Table1[[#This Row],[Hire Date]], TODAY())</f>
        <v>6.1083333333333334</v>
      </c>
      <c r="H206" s="7">
        <v>43812</v>
      </c>
      <c r="I206">
        <v>37</v>
      </c>
      <c r="J206" t="s">
        <v>43</v>
      </c>
      <c r="K206">
        <v>7</v>
      </c>
      <c r="L206" t="s">
        <v>45</v>
      </c>
      <c r="M206">
        <v>4170.67</v>
      </c>
      <c r="N206" t="s">
        <v>48</v>
      </c>
      <c r="O206" t="s">
        <v>51</v>
      </c>
      <c r="P206">
        <v>28</v>
      </c>
      <c r="Q206" t="s">
        <v>55</v>
      </c>
      <c r="R206" t="s">
        <v>63</v>
      </c>
      <c r="S206">
        <v>12</v>
      </c>
      <c r="T206">
        <v>2014</v>
      </c>
      <c r="U206" t="s">
        <v>64</v>
      </c>
      <c r="V206">
        <v>130</v>
      </c>
      <c r="W206">
        <v>1.6</v>
      </c>
    </row>
    <row r="207" spans="1:23" x14ac:dyDescent="0.35">
      <c r="A207">
        <v>10206</v>
      </c>
      <c r="B207" t="s">
        <v>23</v>
      </c>
      <c r="C207" t="s">
        <v>31</v>
      </c>
      <c r="D207" t="s">
        <v>38</v>
      </c>
      <c r="E207">
        <v>107850</v>
      </c>
      <c r="F207">
        <f ca="1">DATEDIF(Table1[[#This Row],[Hire Date]], TODAY(), "Y")</f>
        <v>13</v>
      </c>
      <c r="G207" s="7">
        <f ca="1">YEARFRAC(Table1[[#This Row],[Hire Date]], TODAY())</f>
        <v>13.266666666666667</v>
      </c>
      <c r="H207" s="7">
        <v>41198</v>
      </c>
      <c r="I207">
        <v>56</v>
      </c>
      <c r="J207" t="s">
        <v>43</v>
      </c>
      <c r="K207">
        <v>9</v>
      </c>
      <c r="L207" t="s">
        <v>45</v>
      </c>
      <c r="M207">
        <v>7471.93</v>
      </c>
      <c r="N207" t="s">
        <v>49</v>
      </c>
      <c r="O207" t="s">
        <v>50</v>
      </c>
      <c r="P207">
        <v>21</v>
      </c>
      <c r="Q207" t="s">
        <v>57</v>
      </c>
      <c r="R207" t="s">
        <v>62</v>
      </c>
      <c r="S207">
        <v>6</v>
      </c>
      <c r="T207">
        <v>2014</v>
      </c>
      <c r="U207" t="s">
        <v>65</v>
      </c>
      <c r="V207">
        <v>141</v>
      </c>
      <c r="W207">
        <v>1.2</v>
      </c>
    </row>
    <row r="208" spans="1:23" x14ac:dyDescent="0.35">
      <c r="A208">
        <v>10207</v>
      </c>
      <c r="B208" t="s">
        <v>25</v>
      </c>
      <c r="C208" t="s">
        <v>35</v>
      </c>
      <c r="D208" t="s">
        <v>40</v>
      </c>
      <c r="E208">
        <v>32365</v>
      </c>
      <c r="F208">
        <f ca="1">DATEDIF(Table1[[#This Row],[Hire Date]], TODAY(), "Y")</f>
        <v>8</v>
      </c>
      <c r="G208" s="7">
        <f ca="1">YEARFRAC(Table1[[#This Row],[Hire Date]], TODAY())</f>
        <v>8.3777777777777782</v>
      </c>
      <c r="H208" s="7">
        <v>42984</v>
      </c>
      <c r="I208">
        <v>59</v>
      </c>
      <c r="J208" t="s">
        <v>43</v>
      </c>
      <c r="K208">
        <v>8</v>
      </c>
      <c r="L208" t="s">
        <v>44</v>
      </c>
      <c r="M208">
        <v>6415.38</v>
      </c>
      <c r="N208" t="s">
        <v>49</v>
      </c>
      <c r="O208" t="s">
        <v>51</v>
      </c>
      <c r="P208">
        <v>16</v>
      </c>
      <c r="Q208" t="s">
        <v>57</v>
      </c>
      <c r="R208" t="s">
        <v>63</v>
      </c>
      <c r="S208">
        <v>16</v>
      </c>
      <c r="T208">
        <v>2019</v>
      </c>
      <c r="U208" t="s">
        <v>64</v>
      </c>
      <c r="V208">
        <v>111</v>
      </c>
      <c r="W208">
        <v>3.1</v>
      </c>
    </row>
    <row r="209" spans="1:23" x14ac:dyDescent="0.35">
      <c r="A209">
        <v>10208</v>
      </c>
      <c r="B209" t="s">
        <v>22</v>
      </c>
      <c r="C209" t="s">
        <v>30</v>
      </c>
      <c r="D209" t="s">
        <v>41</v>
      </c>
      <c r="E209">
        <v>73372</v>
      </c>
      <c r="F209">
        <f ca="1">DATEDIF(Table1[[#This Row],[Hire Date]], TODAY(), "Y")</f>
        <v>23</v>
      </c>
      <c r="G209" s="7">
        <f ca="1">YEARFRAC(Table1[[#This Row],[Hire Date]], TODAY())</f>
        <v>23.997222222222224</v>
      </c>
      <c r="H209" s="7">
        <v>37279</v>
      </c>
      <c r="I209">
        <v>44</v>
      </c>
      <c r="J209" t="s">
        <v>43</v>
      </c>
      <c r="K209">
        <v>7</v>
      </c>
      <c r="L209" t="s">
        <v>44</v>
      </c>
      <c r="M209">
        <v>5102.4799999999996</v>
      </c>
      <c r="N209" t="s">
        <v>48</v>
      </c>
      <c r="O209" t="s">
        <v>54</v>
      </c>
      <c r="P209">
        <v>23</v>
      </c>
      <c r="Q209" t="s">
        <v>56</v>
      </c>
      <c r="R209" t="s">
        <v>58</v>
      </c>
      <c r="S209">
        <v>7</v>
      </c>
      <c r="T209">
        <v>2022</v>
      </c>
      <c r="U209" t="s">
        <v>66</v>
      </c>
      <c r="V209">
        <v>166</v>
      </c>
      <c r="W209">
        <v>2.1</v>
      </c>
    </row>
    <row r="210" spans="1:23" x14ac:dyDescent="0.35">
      <c r="A210">
        <v>10209</v>
      </c>
      <c r="B210" t="s">
        <v>27</v>
      </c>
      <c r="C210" t="s">
        <v>29</v>
      </c>
      <c r="D210" t="s">
        <v>38</v>
      </c>
      <c r="E210">
        <v>74134</v>
      </c>
      <c r="F210">
        <f ca="1">DATEDIF(Table1[[#This Row],[Hire Date]], TODAY(), "Y")</f>
        <v>11</v>
      </c>
      <c r="G210" s="7">
        <f ca="1">YEARFRAC(Table1[[#This Row],[Hire Date]], TODAY())</f>
        <v>11.947222222222223</v>
      </c>
      <c r="H210" s="7">
        <v>41681</v>
      </c>
      <c r="I210">
        <v>34</v>
      </c>
      <c r="J210" t="s">
        <v>42</v>
      </c>
      <c r="K210">
        <v>8</v>
      </c>
      <c r="L210" t="s">
        <v>45</v>
      </c>
      <c r="M210">
        <v>2177.0300000000002</v>
      </c>
      <c r="N210" t="s">
        <v>47</v>
      </c>
      <c r="O210" t="s">
        <v>54</v>
      </c>
      <c r="P210">
        <v>26</v>
      </c>
      <c r="Q210" t="s">
        <v>55</v>
      </c>
      <c r="R210" t="s">
        <v>62</v>
      </c>
      <c r="S210">
        <v>4</v>
      </c>
      <c r="T210">
        <v>2020</v>
      </c>
      <c r="U210" t="s">
        <v>65</v>
      </c>
      <c r="V210">
        <v>5</v>
      </c>
      <c r="W210">
        <v>2.1</v>
      </c>
    </row>
    <row r="211" spans="1:23" x14ac:dyDescent="0.35">
      <c r="A211">
        <v>10210</v>
      </c>
      <c r="B211" t="s">
        <v>23</v>
      </c>
      <c r="C211" t="s">
        <v>32</v>
      </c>
      <c r="D211" t="s">
        <v>39</v>
      </c>
      <c r="E211">
        <v>67823</v>
      </c>
      <c r="F211">
        <f ca="1">DATEDIF(Table1[[#This Row],[Hire Date]], TODAY(), "Y")</f>
        <v>6</v>
      </c>
      <c r="G211" s="7">
        <f ca="1">YEARFRAC(Table1[[#This Row],[Hire Date]], TODAY())</f>
        <v>6.7305555555555552</v>
      </c>
      <c r="H211" s="7">
        <v>43584</v>
      </c>
      <c r="I211">
        <v>54</v>
      </c>
      <c r="J211" t="s">
        <v>43</v>
      </c>
      <c r="K211">
        <v>5</v>
      </c>
      <c r="L211" t="s">
        <v>45</v>
      </c>
      <c r="M211">
        <v>8129.89</v>
      </c>
      <c r="N211" t="s">
        <v>46</v>
      </c>
      <c r="O211" t="s">
        <v>52</v>
      </c>
      <c r="P211">
        <v>15</v>
      </c>
      <c r="Q211" t="s">
        <v>55</v>
      </c>
      <c r="R211" t="s">
        <v>59</v>
      </c>
      <c r="S211">
        <v>6</v>
      </c>
      <c r="T211">
        <v>2010</v>
      </c>
      <c r="U211" t="s">
        <v>65</v>
      </c>
      <c r="V211">
        <v>172</v>
      </c>
      <c r="W211">
        <v>1.3</v>
      </c>
    </row>
    <row r="212" spans="1:23" x14ac:dyDescent="0.35">
      <c r="A212">
        <v>10211</v>
      </c>
      <c r="B212" t="s">
        <v>21</v>
      </c>
      <c r="C212" t="s">
        <v>29</v>
      </c>
      <c r="D212" t="s">
        <v>40</v>
      </c>
      <c r="E212">
        <v>101158</v>
      </c>
      <c r="F212">
        <f ca="1">DATEDIF(Table1[[#This Row],[Hire Date]], TODAY(), "Y")</f>
        <v>18</v>
      </c>
      <c r="G212" s="7">
        <f ca="1">YEARFRAC(Table1[[#This Row],[Hire Date]], TODAY())</f>
        <v>18.386111111111113</v>
      </c>
      <c r="H212" s="7">
        <v>39328</v>
      </c>
      <c r="I212">
        <v>50</v>
      </c>
      <c r="J212" t="s">
        <v>42</v>
      </c>
      <c r="K212">
        <v>5</v>
      </c>
      <c r="L212" t="s">
        <v>45</v>
      </c>
      <c r="M212">
        <v>3095.08</v>
      </c>
      <c r="N212" t="s">
        <v>46</v>
      </c>
      <c r="O212" t="s">
        <v>52</v>
      </c>
      <c r="P212">
        <v>37</v>
      </c>
      <c r="Q212" t="s">
        <v>55</v>
      </c>
      <c r="R212" t="s">
        <v>60</v>
      </c>
      <c r="S212">
        <v>7</v>
      </c>
      <c r="T212">
        <v>2015</v>
      </c>
      <c r="U212" t="s">
        <v>65</v>
      </c>
      <c r="V212">
        <v>186</v>
      </c>
      <c r="W212">
        <v>4.8</v>
      </c>
    </row>
    <row r="213" spans="1:23" x14ac:dyDescent="0.35">
      <c r="A213">
        <v>10212</v>
      </c>
      <c r="B213" t="s">
        <v>21</v>
      </c>
      <c r="C213" t="s">
        <v>33</v>
      </c>
      <c r="D213" t="s">
        <v>41</v>
      </c>
      <c r="E213">
        <v>31949</v>
      </c>
      <c r="F213">
        <f ca="1">DATEDIF(Table1[[#This Row],[Hire Date]], TODAY(), "Y")</f>
        <v>13</v>
      </c>
      <c r="G213" s="7">
        <f ca="1">YEARFRAC(Table1[[#This Row],[Hire Date]], TODAY())</f>
        <v>13.330555555555556</v>
      </c>
      <c r="H213" s="7">
        <v>41175</v>
      </c>
      <c r="I213">
        <v>55</v>
      </c>
      <c r="J213" t="s">
        <v>42</v>
      </c>
      <c r="K213">
        <v>5</v>
      </c>
      <c r="L213" t="s">
        <v>45</v>
      </c>
      <c r="M213">
        <v>8294.5499999999993</v>
      </c>
      <c r="N213" t="s">
        <v>47</v>
      </c>
      <c r="O213" t="s">
        <v>50</v>
      </c>
      <c r="P213">
        <v>12</v>
      </c>
      <c r="Q213" t="s">
        <v>57</v>
      </c>
      <c r="R213" t="s">
        <v>60</v>
      </c>
      <c r="S213">
        <v>6</v>
      </c>
      <c r="T213">
        <v>2010</v>
      </c>
      <c r="U213" t="s">
        <v>64</v>
      </c>
      <c r="V213">
        <v>130</v>
      </c>
      <c r="W213">
        <v>4.3</v>
      </c>
    </row>
    <row r="214" spans="1:23" x14ac:dyDescent="0.35">
      <c r="A214">
        <v>10213</v>
      </c>
      <c r="B214" t="s">
        <v>23</v>
      </c>
      <c r="C214" t="s">
        <v>34</v>
      </c>
      <c r="D214" t="s">
        <v>41</v>
      </c>
      <c r="E214">
        <v>79396</v>
      </c>
      <c r="F214">
        <f ca="1">DATEDIF(Table1[[#This Row],[Hire Date]], TODAY(), "Y")</f>
        <v>16</v>
      </c>
      <c r="G214" s="7">
        <f ca="1">YEARFRAC(Table1[[#This Row],[Hire Date]], TODAY())</f>
        <v>16.06111111111111</v>
      </c>
      <c r="H214" s="7">
        <v>40178</v>
      </c>
      <c r="I214">
        <v>55</v>
      </c>
      <c r="J214" t="s">
        <v>42</v>
      </c>
      <c r="K214">
        <v>1</v>
      </c>
      <c r="L214" t="s">
        <v>44</v>
      </c>
      <c r="M214">
        <v>6310.29</v>
      </c>
      <c r="N214" t="s">
        <v>46</v>
      </c>
      <c r="O214" t="s">
        <v>50</v>
      </c>
      <c r="P214">
        <v>4</v>
      </c>
      <c r="Q214" t="s">
        <v>57</v>
      </c>
      <c r="R214" t="s">
        <v>62</v>
      </c>
      <c r="S214">
        <v>11</v>
      </c>
      <c r="T214">
        <v>2020</v>
      </c>
      <c r="U214" t="s">
        <v>65</v>
      </c>
      <c r="V214">
        <v>36</v>
      </c>
      <c r="W214">
        <v>1.5</v>
      </c>
    </row>
    <row r="215" spans="1:23" x14ac:dyDescent="0.35">
      <c r="A215">
        <v>10214</v>
      </c>
      <c r="B215" t="s">
        <v>21</v>
      </c>
      <c r="C215" t="s">
        <v>31</v>
      </c>
      <c r="D215" t="s">
        <v>37</v>
      </c>
      <c r="E215">
        <v>61912</v>
      </c>
      <c r="F215">
        <f ca="1">DATEDIF(Table1[[#This Row],[Hire Date]], TODAY(), "Y")</f>
        <v>24</v>
      </c>
      <c r="G215" s="7">
        <f ca="1">YEARFRAC(Table1[[#This Row],[Hire Date]], TODAY())</f>
        <v>24.961111111111112</v>
      </c>
      <c r="H215" s="7">
        <v>36928</v>
      </c>
      <c r="I215">
        <v>48</v>
      </c>
      <c r="J215" t="s">
        <v>42</v>
      </c>
      <c r="K215">
        <v>6</v>
      </c>
      <c r="L215" t="s">
        <v>44</v>
      </c>
      <c r="M215">
        <v>4040.95</v>
      </c>
      <c r="N215" t="s">
        <v>49</v>
      </c>
      <c r="O215" t="s">
        <v>51</v>
      </c>
      <c r="P215">
        <v>35</v>
      </c>
      <c r="Q215" t="s">
        <v>56</v>
      </c>
      <c r="R215" t="s">
        <v>59</v>
      </c>
      <c r="S215">
        <v>5</v>
      </c>
      <c r="T215">
        <v>2017</v>
      </c>
      <c r="U215" t="s">
        <v>65</v>
      </c>
      <c r="V215">
        <v>130</v>
      </c>
      <c r="W215">
        <v>4.5</v>
      </c>
    </row>
    <row r="216" spans="1:23" x14ac:dyDescent="0.35">
      <c r="A216">
        <v>10215</v>
      </c>
      <c r="B216" t="s">
        <v>24</v>
      </c>
      <c r="C216" t="s">
        <v>29</v>
      </c>
      <c r="D216" t="s">
        <v>41</v>
      </c>
      <c r="E216">
        <v>86947</v>
      </c>
      <c r="F216">
        <f ca="1">DATEDIF(Table1[[#This Row],[Hire Date]], TODAY(), "Y")</f>
        <v>11</v>
      </c>
      <c r="G216" s="7">
        <f ca="1">YEARFRAC(Table1[[#This Row],[Hire Date]], TODAY())</f>
        <v>11.747222222222222</v>
      </c>
      <c r="H216" s="7">
        <v>41752</v>
      </c>
      <c r="I216">
        <v>36</v>
      </c>
      <c r="J216" t="s">
        <v>43</v>
      </c>
      <c r="K216">
        <v>5</v>
      </c>
      <c r="L216" t="s">
        <v>45</v>
      </c>
      <c r="M216">
        <v>885.75</v>
      </c>
      <c r="N216" t="s">
        <v>48</v>
      </c>
      <c r="O216" t="s">
        <v>51</v>
      </c>
      <c r="P216">
        <v>31</v>
      </c>
      <c r="Q216" t="s">
        <v>55</v>
      </c>
      <c r="R216" t="s">
        <v>58</v>
      </c>
      <c r="S216">
        <v>3</v>
      </c>
      <c r="T216">
        <v>2019</v>
      </c>
      <c r="U216" t="s">
        <v>66</v>
      </c>
      <c r="V216">
        <v>103</v>
      </c>
      <c r="W216">
        <v>3.7</v>
      </c>
    </row>
    <row r="217" spans="1:23" x14ac:dyDescent="0.35">
      <c r="A217">
        <v>10216</v>
      </c>
      <c r="B217" t="s">
        <v>23</v>
      </c>
      <c r="C217" t="s">
        <v>32</v>
      </c>
      <c r="D217" t="s">
        <v>38</v>
      </c>
      <c r="E217">
        <v>74387</v>
      </c>
      <c r="F217">
        <f ca="1">DATEDIF(Table1[[#This Row],[Hire Date]], TODAY(), "Y")</f>
        <v>20</v>
      </c>
      <c r="G217" s="7">
        <f ca="1">YEARFRAC(Table1[[#This Row],[Hire Date]], TODAY())</f>
        <v>20.347222222222221</v>
      </c>
      <c r="H217" s="7">
        <v>38612</v>
      </c>
      <c r="I217">
        <v>30</v>
      </c>
      <c r="J217" t="s">
        <v>43</v>
      </c>
      <c r="K217">
        <v>8</v>
      </c>
      <c r="L217" t="s">
        <v>44</v>
      </c>
      <c r="M217">
        <v>2707.98</v>
      </c>
      <c r="N217" t="s">
        <v>47</v>
      </c>
      <c r="O217" t="s">
        <v>50</v>
      </c>
      <c r="P217">
        <v>27</v>
      </c>
      <c r="Q217" t="s">
        <v>57</v>
      </c>
      <c r="R217" t="s">
        <v>63</v>
      </c>
      <c r="S217">
        <v>2</v>
      </c>
      <c r="T217">
        <v>2018</v>
      </c>
      <c r="U217" t="s">
        <v>65</v>
      </c>
      <c r="V217">
        <v>117</v>
      </c>
      <c r="W217">
        <v>2.2999999999999998</v>
      </c>
    </row>
    <row r="218" spans="1:23" x14ac:dyDescent="0.35">
      <c r="A218">
        <v>10217</v>
      </c>
      <c r="B218" t="s">
        <v>22</v>
      </c>
      <c r="C218" t="s">
        <v>33</v>
      </c>
      <c r="D218" t="s">
        <v>38</v>
      </c>
      <c r="E218">
        <v>93965</v>
      </c>
      <c r="F218">
        <f ca="1">DATEDIF(Table1[[#This Row],[Hire Date]], TODAY(), "Y")</f>
        <v>7</v>
      </c>
      <c r="G218" s="7">
        <f ca="1">YEARFRAC(Table1[[#This Row],[Hire Date]], TODAY())</f>
        <v>7.6444444444444448</v>
      </c>
      <c r="H218" s="7">
        <v>43250</v>
      </c>
      <c r="I218">
        <v>47</v>
      </c>
      <c r="J218" t="s">
        <v>43</v>
      </c>
      <c r="K218">
        <v>8</v>
      </c>
      <c r="L218" t="s">
        <v>44</v>
      </c>
      <c r="M218">
        <v>8946.17</v>
      </c>
      <c r="N218" t="s">
        <v>48</v>
      </c>
      <c r="O218" t="s">
        <v>50</v>
      </c>
      <c r="P218">
        <v>32</v>
      </c>
      <c r="Q218" t="s">
        <v>56</v>
      </c>
      <c r="R218" t="s">
        <v>61</v>
      </c>
      <c r="S218">
        <v>4</v>
      </c>
      <c r="T218">
        <v>2015</v>
      </c>
      <c r="U218" t="s">
        <v>65</v>
      </c>
      <c r="V218">
        <v>182</v>
      </c>
      <c r="W218">
        <v>4.5</v>
      </c>
    </row>
    <row r="219" spans="1:23" x14ac:dyDescent="0.35">
      <c r="A219">
        <v>10218</v>
      </c>
      <c r="B219" t="s">
        <v>23</v>
      </c>
      <c r="C219" t="s">
        <v>35</v>
      </c>
      <c r="D219" t="s">
        <v>40</v>
      </c>
      <c r="E219">
        <v>46508</v>
      </c>
      <c r="F219">
        <f ca="1">DATEDIF(Table1[[#This Row],[Hire Date]], TODAY(), "Y")</f>
        <v>19</v>
      </c>
      <c r="G219" s="7">
        <f ca="1">YEARFRAC(Table1[[#This Row],[Hire Date]], TODAY())</f>
        <v>19.963888888888889</v>
      </c>
      <c r="H219" s="7">
        <v>38753</v>
      </c>
      <c r="I219">
        <v>24</v>
      </c>
      <c r="J219" t="s">
        <v>43</v>
      </c>
      <c r="K219">
        <v>2</v>
      </c>
      <c r="L219" t="s">
        <v>44</v>
      </c>
      <c r="M219">
        <v>8270.76</v>
      </c>
      <c r="N219" t="s">
        <v>46</v>
      </c>
      <c r="O219" t="s">
        <v>52</v>
      </c>
      <c r="P219">
        <v>33</v>
      </c>
      <c r="Q219" t="s">
        <v>57</v>
      </c>
      <c r="R219" t="s">
        <v>60</v>
      </c>
      <c r="S219">
        <v>18</v>
      </c>
      <c r="T219">
        <v>2023</v>
      </c>
      <c r="U219" t="s">
        <v>65</v>
      </c>
      <c r="V219">
        <v>191</v>
      </c>
      <c r="W219">
        <v>3.4</v>
      </c>
    </row>
    <row r="220" spans="1:23" x14ac:dyDescent="0.35">
      <c r="A220">
        <v>10219</v>
      </c>
      <c r="B220" t="s">
        <v>25</v>
      </c>
      <c r="C220" t="s">
        <v>30</v>
      </c>
      <c r="D220" t="s">
        <v>40</v>
      </c>
      <c r="E220">
        <v>75592</v>
      </c>
      <c r="F220">
        <f ca="1">DATEDIF(Table1[[#This Row],[Hire Date]], TODAY(), "Y")</f>
        <v>9</v>
      </c>
      <c r="G220" s="7">
        <f ca="1">YEARFRAC(Table1[[#This Row],[Hire Date]], TODAY())</f>
        <v>9.2083333333333339</v>
      </c>
      <c r="H220" s="7">
        <v>42681</v>
      </c>
      <c r="I220">
        <v>57</v>
      </c>
      <c r="J220" t="s">
        <v>42</v>
      </c>
      <c r="K220">
        <v>6</v>
      </c>
      <c r="L220" t="s">
        <v>44</v>
      </c>
      <c r="M220">
        <v>5961.11</v>
      </c>
      <c r="N220" t="s">
        <v>46</v>
      </c>
      <c r="O220" t="s">
        <v>52</v>
      </c>
      <c r="P220">
        <v>13</v>
      </c>
      <c r="Q220" t="s">
        <v>57</v>
      </c>
      <c r="R220" t="s">
        <v>58</v>
      </c>
      <c r="S220">
        <v>7</v>
      </c>
      <c r="T220">
        <v>2018</v>
      </c>
      <c r="U220" t="s">
        <v>65</v>
      </c>
      <c r="V220">
        <v>194</v>
      </c>
      <c r="W220">
        <v>4.4000000000000004</v>
      </c>
    </row>
    <row r="221" spans="1:23" x14ac:dyDescent="0.35">
      <c r="A221">
        <v>10220</v>
      </c>
      <c r="B221" t="s">
        <v>21</v>
      </c>
      <c r="C221" t="s">
        <v>35</v>
      </c>
      <c r="D221" t="s">
        <v>41</v>
      </c>
      <c r="E221">
        <v>31919</v>
      </c>
      <c r="F221">
        <f ca="1">DATEDIF(Table1[[#This Row],[Hire Date]], TODAY(), "Y")</f>
        <v>16</v>
      </c>
      <c r="G221" s="7">
        <f ca="1">YEARFRAC(Table1[[#This Row],[Hire Date]], TODAY())</f>
        <v>16.719444444444445</v>
      </c>
      <c r="H221" s="7">
        <v>39936</v>
      </c>
      <c r="I221">
        <v>26</v>
      </c>
      <c r="J221" t="s">
        <v>42</v>
      </c>
      <c r="K221">
        <v>6</v>
      </c>
      <c r="L221" t="s">
        <v>45</v>
      </c>
      <c r="M221">
        <v>4930.0600000000004</v>
      </c>
      <c r="N221" t="s">
        <v>49</v>
      </c>
      <c r="O221" t="s">
        <v>52</v>
      </c>
      <c r="P221">
        <v>37</v>
      </c>
      <c r="Q221" t="s">
        <v>55</v>
      </c>
      <c r="R221" t="s">
        <v>58</v>
      </c>
      <c r="S221">
        <v>4</v>
      </c>
      <c r="T221">
        <v>2011</v>
      </c>
      <c r="U221" t="s">
        <v>66</v>
      </c>
      <c r="V221">
        <v>15</v>
      </c>
      <c r="W221">
        <v>2.9</v>
      </c>
    </row>
    <row r="222" spans="1:23" x14ac:dyDescent="0.35">
      <c r="A222">
        <v>10221</v>
      </c>
      <c r="B222" t="s">
        <v>24</v>
      </c>
      <c r="C222" t="s">
        <v>32</v>
      </c>
      <c r="D222" t="s">
        <v>39</v>
      </c>
      <c r="E222">
        <v>72595</v>
      </c>
      <c r="F222">
        <f ca="1">DATEDIF(Table1[[#This Row],[Hire Date]], TODAY(), "Y")</f>
        <v>17</v>
      </c>
      <c r="G222" s="7">
        <f ca="1">YEARFRAC(Table1[[#This Row],[Hire Date]], TODAY())</f>
        <v>17.869444444444444</v>
      </c>
      <c r="H222" s="7">
        <v>39516</v>
      </c>
      <c r="I222">
        <v>41</v>
      </c>
      <c r="J222" t="s">
        <v>42</v>
      </c>
      <c r="K222">
        <v>3</v>
      </c>
      <c r="L222" t="s">
        <v>44</v>
      </c>
      <c r="M222">
        <v>6647.86</v>
      </c>
      <c r="N222" t="s">
        <v>49</v>
      </c>
      <c r="O222" t="s">
        <v>50</v>
      </c>
      <c r="P222">
        <v>2</v>
      </c>
      <c r="Q222" t="s">
        <v>55</v>
      </c>
      <c r="R222" t="s">
        <v>58</v>
      </c>
      <c r="S222">
        <v>12</v>
      </c>
      <c r="T222">
        <v>2018</v>
      </c>
      <c r="U222" t="s">
        <v>65</v>
      </c>
      <c r="V222">
        <v>27</v>
      </c>
      <c r="W222">
        <v>3</v>
      </c>
    </row>
    <row r="223" spans="1:23" x14ac:dyDescent="0.35">
      <c r="A223">
        <v>10222</v>
      </c>
      <c r="B223" t="s">
        <v>24</v>
      </c>
      <c r="C223" t="s">
        <v>33</v>
      </c>
      <c r="D223" t="s">
        <v>36</v>
      </c>
      <c r="E223">
        <v>39617</v>
      </c>
      <c r="F223">
        <f ca="1">DATEDIF(Table1[[#This Row],[Hire Date]], TODAY(), "Y")</f>
        <v>13</v>
      </c>
      <c r="G223" s="7">
        <f ca="1">YEARFRAC(Table1[[#This Row],[Hire Date]], TODAY())</f>
        <v>13.347222222222221</v>
      </c>
      <c r="H223" s="7">
        <v>41169</v>
      </c>
      <c r="I223">
        <v>41</v>
      </c>
      <c r="J223" t="s">
        <v>43</v>
      </c>
      <c r="K223">
        <v>1</v>
      </c>
      <c r="L223" t="s">
        <v>44</v>
      </c>
      <c r="M223">
        <v>4929.3599999999997</v>
      </c>
      <c r="N223" t="s">
        <v>46</v>
      </c>
      <c r="O223" t="s">
        <v>51</v>
      </c>
      <c r="P223">
        <v>38</v>
      </c>
      <c r="Q223" t="s">
        <v>57</v>
      </c>
      <c r="R223" t="s">
        <v>63</v>
      </c>
      <c r="S223">
        <v>9</v>
      </c>
      <c r="T223">
        <v>2013</v>
      </c>
      <c r="U223" t="s">
        <v>65</v>
      </c>
      <c r="V223">
        <v>123</v>
      </c>
      <c r="W223">
        <v>2.2000000000000002</v>
      </c>
    </row>
    <row r="224" spans="1:23" x14ac:dyDescent="0.35">
      <c r="A224">
        <v>10223</v>
      </c>
      <c r="B224" t="s">
        <v>27</v>
      </c>
      <c r="C224" t="s">
        <v>31</v>
      </c>
      <c r="D224" t="s">
        <v>37</v>
      </c>
      <c r="E224">
        <v>105268</v>
      </c>
      <c r="F224">
        <f ca="1">DATEDIF(Table1[[#This Row],[Hire Date]], TODAY(), "Y")</f>
        <v>22</v>
      </c>
      <c r="G224" s="7">
        <f ca="1">YEARFRAC(Table1[[#This Row],[Hire Date]], TODAY())</f>
        <v>22.913888888888888</v>
      </c>
      <c r="H224" s="7">
        <v>37675</v>
      </c>
      <c r="I224">
        <v>26</v>
      </c>
      <c r="J224" t="s">
        <v>42</v>
      </c>
      <c r="K224">
        <v>7</v>
      </c>
      <c r="L224" t="s">
        <v>45</v>
      </c>
      <c r="M224">
        <v>6620.9</v>
      </c>
      <c r="N224" t="s">
        <v>46</v>
      </c>
      <c r="O224" t="s">
        <v>53</v>
      </c>
      <c r="P224">
        <v>37</v>
      </c>
      <c r="Q224" t="s">
        <v>57</v>
      </c>
      <c r="R224" t="s">
        <v>58</v>
      </c>
      <c r="S224">
        <v>5</v>
      </c>
      <c r="T224">
        <v>2012</v>
      </c>
      <c r="U224" t="s">
        <v>66</v>
      </c>
      <c r="V224">
        <v>30</v>
      </c>
      <c r="W224">
        <v>2.6</v>
      </c>
    </row>
    <row r="225" spans="1:23" x14ac:dyDescent="0.35">
      <c r="A225">
        <v>10224</v>
      </c>
      <c r="B225" t="s">
        <v>22</v>
      </c>
      <c r="C225" t="s">
        <v>29</v>
      </c>
      <c r="D225" t="s">
        <v>36</v>
      </c>
      <c r="E225">
        <v>63298</v>
      </c>
      <c r="F225">
        <f ca="1">DATEDIF(Table1[[#This Row],[Hire Date]], TODAY(), "Y")</f>
        <v>25</v>
      </c>
      <c r="G225" s="7">
        <f ca="1">YEARFRAC(Table1[[#This Row],[Hire Date]], TODAY())</f>
        <v>25.886111111111113</v>
      </c>
      <c r="H225" s="7">
        <v>36588</v>
      </c>
      <c r="I225">
        <v>31</v>
      </c>
      <c r="J225" t="s">
        <v>43</v>
      </c>
      <c r="K225">
        <v>5</v>
      </c>
      <c r="L225" t="s">
        <v>44</v>
      </c>
      <c r="M225">
        <v>3420.34</v>
      </c>
      <c r="N225" t="s">
        <v>49</v>
      </c>
      <c r="O225" t="s">
        <v>53</v>
      </c>
      <c r="P225">
        <v>5</v>
      </c>
      <c r="Q225" t="s">
        <v>57</v>
      </c>
      <c r="R225" t="s">
        <v>58</v>
      </c>
      <c r="S225">
        <v>0</v>
      </c>
      <c r="T225">
        <v>2010</v>
      </c>
      <c r="U225" t="s">
        <v>64</v>
      </c>
      <c r="V225">
        <v>67</v>
      </c>
      <c r="W225">
        <v>3.3</v>
      </c>
    </row>
    <row r="226" spans="1:23" x14ac:dyDescent="0.35">
      <c r="A226">
        <v>10225</v>
      </c>
      <c r="B226" t="s">
        <v>26</v>
      </c>
      <c r="C226" t="s">
        <v>33</v>
      </c>
      <c r="D226" t="s">
        <v>41</v>
      </c>
      <c r="E226">
        <v>36929</v>
      </c>
      <c r="F226">
        <f ca="1">DATEDIF(Table1[[#This Row],[Hire Date]], TODAY(), "Y")</f>
        <v>12</v>
      </c>
      <c r="G226" s="7">
        <f ca="1">YEARFRAC(Table1[[#This Row],[Hire Date]], TODAY())</f>
        <v>12.533333333333333</v>
      </c>
      <c r="H226" s="7">
        <v>41465</v>
      </c>
      <c r="I226">
        <v>37</v>
      </c>
      <c r="J226" t="s">
        <v>42</v>
      </c>
      <c r="K226">
        <v>5</v>
      </c>
      <c r="L226" t="s">
        <v>45</v>
      </c>
      <c r="M226">
        <v>8465.7199999999993</v>
      </c>
      <c r="N226" t="s">
        <v>49</v>
      </c>
      <c r="O226" t="s">
        <v>51</v>
      </c>
      <c r="P226">
        <v>18</v>
      </c>
      <c r="Q226" t="s">
        <v>57</v>
      </c>
      <c r="R226" t="s">
        <v>62</v>
      </c>
      <c r="S226">
        <v>10</v>
      </c>
      <c r="T226">
        <v>2010</v>
      </c>
      <c r="U226" t="s">
        <v>64</v>
      </c>
      <c r="V226">
        <v>178</v>
      </c>
      <c r="W226">
        <v>4.8</v>
      </c>
    </row>
    <row r="227" spans="1:23" x14ac:dyDescent="0.35">
      <c r="A227">
        <v>10226</v>
      </c>
      <c r="B227" t="s">
        <v>26</v>
      </c>
      <c r="C227" t="s">
        <v>30</v>
      </c>
      <c r="D227" t="s">
        <v>41</v>
      </c>
      <c r="E227">
        <v>44456</v>
      </c>
      <c r="F227">
        <f ca="1">DATEDIF(Table1[[#This Row],[Hire Date]], TODAY(), "Y")</f>
        <v>17</v>
      </c>
      <c r="G227" s="7">
        <f ca="1">YEARFRAC(Table1[[#This Row],[Hire Date]], TODAY())</f>
        <v>17.425000000000001</v>
      </c>
      <c r="H227" s="7">
        <v>39679</v>
      </c>
      <c r="I227">
        <v>46</v>
      </c>
      <c r="J227" t="s">
        <v>43</v>
      </c>
      <c r="K227">
        <v>8</v>
      </c>
      <c r="L227" t="s">
        <v>45</v>
      </c>
      <c r="M227">
        <v>7168.22</v>
      </c>
      <c r="N227" t="s">
        <v>47</v>
      </c>
      <c r="O227" t="s">
        <v>51</v>
      </c>
      <c r="P227">
        <v>17</v>
      </c>
      <c r="Q227" t="s">
        <v>57</v>
      </c>
      <c r="R227" t="s">
        <v>62</v>
      </c>
      <c r="S227">
        <v>19</v>
      </c>
      <c r="T227">
        <v>2017</v>
      </c>
      <c r="U227" t="s">
        <v>66</v>
      </c>
      <c r="V227">
        <v>73</v>
      </c>
      <c r="W227">
        <v>3.4</v>
      </c>
    </row>
    <row r="228" spans="1:23" x14ac:dyDescent="0.35">
      <c r="A228">
        <v>10227</v>
      </c>
      <c r="B228" t="s">
        <v>23</v>
      </c>
      <c r="C228" t="s">
        <v>35</v>
      </c>
      <c r="D228" t="s">
        <v>36</v>
      </c>
      <c r="E228">
        <v>116676</v>
      </c>
      <c r="F228">
        <f ca="1">DATEDIF(Table1[[#This Row],[Hire Date]], TODAY(), "Y")</f>
        <v>23</v>
      </c>
      <c r="G228" s="7">
        <f ca="1">YEARFRAC(Table1[[#This Row],[Hire Date]], TODAY())</f>
        <v>23.297222222222221</v>
      </c>
      <c r="H228" s="7">
        <v>37534</v>
      </c>
      <c r="I228">
        <v>46</v>
      </c>
      <c r="J228" t="s">
        <v>42</v>
      </c>
      <c r="K228">
        <v>5</v>
      </c>
      <c r="L228" t="s">
        <v>44</v>
      </c>
      <c r="M228">
        <v>3634.77</v>
      </c>
      <c r="N228" t="s">
        <v>49</v>
      </c>
      <c r="O228" t="s">
        <v>51</v>
      </c>
      <c r="P228">
        <v>2</v>
      </c>
      <c r="Q228" t="s">
        <v>55</v>
      </c>
      <c r="R228" t="s">
        <v>58</v>
      </c>
      <c r="S228">
        <v>8</v>
      </c>
      <c r="T228">
        <v>2011</v>
      </c>
      <c r="U228" t="s">
        <v>66</v>
      </c>
      <c r="V228">
        <v>94</v>
      </c>
      <c r="W228">
        <v>1.6</v>
      </c>
    </row>
    <row r="229" spans="1:23" x14ac:dyDescent="0.35">
      <c r="A229">
        <v>10228</v>
      </c>
      <c r="B229" t="s">
        <v>27</v>
      </c>
      <c r="C229" t="s">
        <v>30</v>
      </c>
      <c r="D229" t="s">
        <v>37</v>
      </c>
      <c r="E229">
        <v>113721</v>
      </c>
      <c r="F229">
        <f ca="1">DATEDIF(Table1[[#This Row],[Hire Date]], TODAY(), "Y")</f>
        <v>9</v>
      </c>
      <c r="G229" s="7">
        <f ca="1">YEARFRAC(Table1[[#This Row],[Hire Date]], TODAY())</f>
        <v>9.8000000000000007</v>
      </c>
      <c r="H229" s="7">
        <v>42464</v>
      </c>
      <c r="I229">
        <v>51</v>
      </c>
      <c r="J229" t="s">
        <v>42</v>
      </c>
      <c r="K229">
        <v>5</v>
      </c>
      <c r="L229" t="s">
        <v>44</v>
      </c>
      <c r="M229">
        <v>8391.33</v>
      </c>
      <c r="N229" t="s">
        <v>47</v>
      </c>
      <c r="O229" t="s">
        <v>52</v>
      </c>
      <c r="P229">
        <v>35</v>
      </c>
      <c r="Q229" t="s">
        <v>55</v>
      </c>
      <c r="R229" t="s">
        <v>58</v>
      </c>
      <c r="S229">
        <v>15</v>
      </c>
      <c r="T229">
        <v>2010</v>
      </c>
      <c r="U229" t="s">
        <v>64</v>
      </c>
      <c r="V229">
        <v>138</v>
      </c>
      <c r="W229">
        <v>1</v>
      </c>
    </row>
    <row r="230" spans="1:23" x14ac:dyDescent="0.35">
      <c r="A230">
        <v>10229</v>
      </c>
      <c r="B230" t="s">
        <v>28</v>
      </c>
      <c r="C230" t="s">
        <v>30</v>
      </c>
      <c r="D230" t="s">
        <v>36</v>
      </c>
      <c r="E230">
        <v>67924</v>
      </c>
      <c r="F230">
        <f ca="1">DATEDIF(Table1[[#This Row],[Hire Date]], TODAY(), "Y")</f>
        <v>20</v>
      </c>
      <c r="G230" s="7">
        <f ca="1">YEARFRAC(Table1[[#This Row],[Hire Date]], TODAY())</f>
        <v>20.494444444444444</v>
      </c>
      <c r="H230" s="7">
        <v>38557</v>
      </c>
      <c r="I230">
        <v>35</v>
      </c>
      <c r="J230" t="s">
        <v>43</v>
      </c>
      <c r="K230">
        <v>1</v>
      </c>
      <c r="L230" t="s">
        <v>45</v>
      </c>
      <c r="M230">
        <v>5129.75</v>
      </c>
      <c r="N230" t="s">
        <v>47</v>
      </c>
      <c r="O230" t="s">
        <v>54</v>
      </c>
      <c r="P230">
        <v>14</v>
      </c>
      <c r="Q230" t="s">
        <v>57</v>
      </c>
      <c r="R230" t="s">
        <v>62</v>
      </c>
      <c r="S230">
        <v>14</v>
      </c>
      <c r="T230">
        <v>2011</v>
      </c>
      <c r="U230" t="s">
        <v>65</v>
      </c>
      <c r="V230">
        <v>55</v>
      </c>
      <c r="W230">
        <v>4.4000000000000004</v>
      </c>
    </row>
    <row r="231" spans="1:23" x14ac:dyDescent="0.35">
      <c r="A231">
        <v>10230</v>
      </c>
      <c r="B231" t="s">
        <v>23</v>
      </c>
      <c r="C231" t="s">
        <v>32</v>
      </c>
      <c r="D231" t="s">
        <v>40</v>
      </c>
      <c r="E231">
        <v>54240</v>
      </c>
      <c r="F231">
        <f ca="1">DATEDIF(Table1[[#This Row],[Hire Date]], TODAY(), "Y")</f>
        <v>22</v>
      </c>
      <c r="G231" s="7">
        <f ca="1">YEARFRAC(Table1[[#This Row],[Hire Date]], TODAY())</f>
        <v>22.43611111111111</v>
      </c>
      <c r="H231" s="7">
        <v>37848</v>
      </c>
      <c r="I231">
        <v>43</v>
      </c>
      <c r="J231" t="s">
        <v>42</v>
      </c>
      <c r="K231">
        <v>2</v>
      </c>
      <c r="L231" t="s">
        <v>44</v>
      </c>
      <c r="M231">
        <v>2159.0700000000002</v>
      </c>
      <c r="N231" t="s">
        <v>48</v>
      </c>
      <c r="O231" t="s">
        <v>50</v>
      </c>
      <c r="P231">
        <v>12</v>
      </c>
      <c r="Q231" t="s">
        <v>57</v>
      </c>
      <c r="R231" t="s">
        <v>63</v>
      </c>
      <c r="S231">
        <v>4</v>
      </c>
      <c r="T231">
        <v>2012</v>
      </c>
      <c r="U231" t="s">
        <v>64</v>
      </c>
      <c r="V231">
        <v>47</v>
      </c>
      <c r="W231">
        <v>2.5</v>
      </c>
    </row>
    <row r="232" spans="1:23" x14ac:dyDescent="0.35">
      <c r="A232">
        <v>10231</v>
      </c>
      <c r="B232" t="s">
        <v>27</v>
      </c>
      <c r="C232" t="s">
        <v>32</v>
      </c>
      <c r="D232" t="s">
        <v>38</v>
      </c>
      <c r="E232">
        <v>117381</v>
      </c>
      <c r="F232">
        <f ca="1">DATEDIF(Table1[[#This Row],[Hire Date]], TODAY(), "Y")</f>
        <v>20</v>
      </c>
      <c r="G232" s="7">
        <f ca="1">YEARFRAC(Table1[[#This Row],[Hire Date]], TODAY())</f>
        <v>20.361111111111111</v>
      </c>
      <c r="H232" s="7">
        <v>38607</v>
      </c>
      <c r="I232">
        <v>64</v>
      </c>
      <c r="J232" t="s">
        <v>42</v>
      </c>
      <c r="K232">
        <v>5</v>
      </c>
      <c r="L232" t="s">
        <v>45</v>
      </c>
      <c r="M232">
        <v>1238.27</v>
      </c>
      <c r="N232" t="s">
        <v>49</v>
      </c>
      <c r="O232" t="s">
        <v>52</v>
      </c>
      <c r="P232">
        <v>33</v>
      </c>
      <c r="Q232" t="s">
        <v>55</v>
      </c>
      <c r="R232" t="s">
        <v>62</v>
      </c>
      <c r="S232">
        <v>14</v>
      </c>
      <c r="T232">
        <v>2013</v>
      </c>
      <c r="U232" t="s">
        <v>65</v>
      </c>
      <c r="V232">
        <v>174</v>
      </c>
      <c r="W232">
        <v>2.2999999999999998</v>
      </c>
    </row>
    <row r="233" spans="1:23" x14ac:dyDescent="0.35">
      <c r="A233">
        <v>10232</v>
      </c>
      <c r="B233" t="s">
        <v>22</v>
      </c>
      <c r="C233" t="s">
        <v>29</v>
      </c>
      <c r="D233" t="s">
        <v>39</v>
      </c>
      <c r="E233">
        <v>39228</v>
      </c>
      <c r="F233">
        <f ca="1">DATEDIF(Table1[[#This Row],[Hire Date]], TODAY(), "Y")</f>
        <v>24</v>
      </c>
      <c r="G233" s="7">
        <f ca="1">YEARFRAC(Table1[[#This Row],[Hire Date]], TODAY())</f>
        <v>24.002777777777776</v>
      </c>
      <c r="H233" s="7">
        <v>37277</v>
      </c>
      <c r="I233">
        <v>49</v>
      </c>
      <c r="J233" t="s">
        <v>43</v>
      </c>
      <c r="K233">
        <v>7</v>
      </c>
      <c r="L233" t="s">
        <v>45</v>
      </c>
      <c r="M233">
        <v>7146.25</v>
      </c>
      <c r="N233" t="s">
        <v>47</v>
      </c>
      <c r="O233" t="s">
        <v>53</v>
      </c>
      <c r="P233">
        <v>7</v>
      </c>
      <c r="Q233" t="s">
        <v>57</v>
      </c>
      <c r="R233" t="s">
        <v>62</v>
      </c>
      <c r="S233">
        <v>0</v>
      </c>
      <c r="T233">
        <v>2022</v>
      </c>
      <c r="U233" t="s">
        <v>66</v>
      </c>
      <c r="V233">
        <v>145</v>
      </c>
      <c r="W233">
        <v>4.2</v>
      </c>
    </row>
    <row r="234" spans="1:23" x14ac:dyDescent="0.35">
      <c r="A234">
        <v>10233</v>
      </c>
      <c r="B234" t="s">
        <v>22</v>
      </c>
      <c r="C234" t="s">
        <v>32</v>
      </c>
      <c r="D234" t="s">
        <v>40</v>
      </c>
      <c r="E234">
        <v>51686</v>
      </c>
      <c r="F234">
        <f ca="1">DATEDIF(Table1[[#This Row],[Hire Date]], TODAY(), "Y")</f>
        <v>14</v>
      </c>
      <c r="G234" s="7">
        <f ca="1">YEARFRAC(Table1[[#This Row],[Hire Date]], TODAY())</f>
        <v>14.708333333333334</v>
      </c>
      <c r="H234" s="7">
        <v>40670</v>
      </c>
      <c r="I234">
        <v>51</v>
      </c>
      <c r="J234" t="s">
        <v>42</v>
      </c>
      <c r="K234">
        <v>3</v>
      </c>
      <c r="L234" t="s">
        <v>44</v>
      </c>
      <c r="M234">
        <v>8718.65</v>
      </c>
      <c r="N234" t="s">
        <v>48</v>
      </c>
      <c r="O234" t="s">
        <v>50</v>
      </c>
      <c r="P234">
        <v>39</v>
      </c>
      <c r="Q234" t="s">
        <v>55</v>
      </c>
      <c r="R234" t="s">
        <v>62</v>
      </c>
      <c r="S234">
        <v>14</v>
      </c>
      <c r="T234">
        <v>2020</v>
      </c>
      <c r="U234" t="s">
        <v>66</v>
      </c>
      <c r="V234">
        <v>29</v>
      </c>
      <c r="W234">
        <v>4.8</v>
      </c>
    </row>
    <row r="235" spans="1:23" x14ac:dyDescent="0.35">
      <c r="A235">
        <v>10234</v>
      </c>
      <c r="B235" t="s">
        <v>22</v>
      </c>
      <c r="C235" t="s">
        <v>32</v>
      </c>
      <c r="D235" t="s">
        <v>38</v>
      </c>
      <c r="E235">
        <v>41920</v>
      </c>
      <c r="F235">
        <f ca="1">DATEDIF(Table1[[#This Row],[Hire Date]], TODAY(), "Y")</f>
        <v>24</v>
      </c>
      <c r="G235" s="7">
        <f ca="1">YEARFRAC(Table1[[#This Row],[Hire Date]], TODAY())</f>
        <v>24.258333333333333</v>
      </c>
      <c r="H235" s="7">
        <v>37183</v>
      </c>
      <c r="I235">
        <v>40</v>
      </c>
      <c r="J235" t="s">
        <v>42</v>
      </c>
      <c r="K235">
        <v>1</v>
      </c>
      <c r="L235" t="s">
        <v>45</v>
      </c>
      <c r="M235">
        <v>8170.7</v>
      </c>
      <c r="N235" t="s">
        <v>48</v>
      </c>
      <c r="O235" t="s">
        <v>51</v>
      </c>
      <c r="P235">
        <v>9</v>
      </c>
      <c r="Q235" t="s">
        <v>55</v>
      </c>
      <c r="R235" t="s">
        <v>62</v>
      </c>
      <c r="S235">
        <v>3</v>
      </c>
      <c r="T235">
        <v>2018</v>
      </c>
      <c r="U235" t="s">
        <v>66</v>
      </c>
      <c r="V235">
        <v>134</v>
      </c>
      <c r="W235">
        <v>4</v>
      </c>
    </row>
    <row r="236" spans="1:23" x14ac:dyDescent="0.35">
      <c r="A236">
        <v>10235</v>
      </c>
      <c r="B236" t="s">
        <v>22</v>
      </c>
      <c r="C236" t="s">
        <v>33</v>
      </c>
      <c r="D236" t="s">
        <v>39</v>
      </c>
      <c r="E236">
        <v>37432</v>
      </c>
      <c r="F236">
        <f ca="1">DATEDIF(Table1[[#This Row],[Hire Date]], TODAY(), "Y")</f>
        <v>21</v>
      </c>
      <c r="G236" s="7">
        <f ca="1">YEARFRAC(Table1[[#This Row],[Hire Date]], TODAY())</f>
        <v>21.511111111111113</v>
      </c>
      <c r="H236" s="7">
        <v>38186</v>
      </c>
      <c r="I236">
        <v>59</v>
      </c>
      <c r="J236" t="s">
        <v>42</v>
      </c>
      <c r="K236">
        <v>2</v>
      </c>
      <c r="L236" t="s">
        <v>45</v>
      </c>
      <c r="M236">
        <v>6728.68</v>
      </c>
      <c r="N236" t="s">
        <v>49</v>
      </c>
      <c r="O236" t="s">
        <v>53</v>
      </c>
      <c r="P236">
        <v>5</v>
      </c>
      <c r="Q236" t="s">
        <v>55</v>
      </c>
      <c r="R236" t="s">
        <v>61</v>
      </c>
      <c r="S236">
        <v>15</v>
      </c>
      <c r="T236">
        <v>2016</v>
      </c>
      <c r="U236" t="s">
        <v>64</v>
      </c>
      <c r="V236">
        <v>18</v>
      </c>
      <c r="W236">
        <v>1.7</v>
      </c>
    </row>
    <row r="237" spans="1:23" x14ac:dyDescent="0.35">
      <c r="A237">
        <v>10236</v>
      </c>
      <c r="B237" t="s">
        <v>22</v>
      </c>
      <c r="C237" t="s">
        <v>31</v>
      </c>
      <c r="D237" t="s">
        <v>39</v>
      </c>
      <c r="E237">
        <v>93575</v>
      </c>
      <c r="F237">
        <f ca="1">DATEDIF(Table1[[#This Row],[Hire Date]], TODAY(), "Y")</f>
        <v>24</v>
      </c>
      <c r="G237" s="7">
        <f ca="1">YEARFRAC(Table1[[#This Row],[Hire Date]], TODAY())</f>
        <v>24.141666666666666</v>
      </c>
      <c r="H237" s="7">
        <v>37226</v>
      </c>
      <c r="I237">
        <v>63</v>
      </c>
      <c r="J237" t="s">
        <v>42</v>
      </c>
      <c r="K237">
        <v>3</v>
      </c>
      <c r="L237" t="s">
        <v>44</v>
      </c>
      <c r="M237">
        <v>1843.06</v>
      </c>
      <c r="N237" t="s">
        <v>49</v>
      </c>
      <c r="O237" t="s">
        <v>51</v>
      </c>
      <c r="P237">
        <v>4</v>
      </c>
      <c r="Q237" t="s">
        <v>55</v>
      </c>
      <c r="R237" t="s">
        <v>60</v>
      </c>
      <c r="S237">
        <v>6</v>
      </c>
      <c r="T237">
        <v>2021</v>
      </c>
      <c r="U237" t="s">
        <v>66</v>
      </c>
      <c r="V237">
        <v>149</v>
      </c>
      <c r="W237">
        <v>2.6</v>
      </c>
    </row>
    <row r="238" spans="1:23" x14ac:dyDescent="0.35">
      <c r="A238">
        <v>10237</v>
      </c>
      <c r="B238" t="s">
        <v>27</v>
      </c>
      <c r="C238" t="s">
        <v>29</v>
      </c>
      <c r="D238" t="s">
        <v>39</v>
      </c>
      <c r="E238">
        <v>101725</v>
      </c>
      <c r="F238">
        <f ca="1">DATEDIF(Table1[[#This Row],[Hire Date]], TODAY(), "Y")</f>
        <v>23</v>
      </c>
      <c r="G238" s="7">
        <f ca="1">YEARFRAC(Table1[[#This Row],[Hire Date]], TODAY())</f>
        <v>23.1</v>
      </c>
      <c r="H238" s="7">
        <v>37606</v>
      </c>
      <c r="I238">
        <v>41</v>
      </c>
      <c r="J238" t="s">
        <v>43</v>
      </c>
      <c r="K238">
        <v>9</v>
      </c>
      <c r="L238" t="s">
        <v>44</v>
      </c>
      <c r="M238">
        <v>1393.42</v>
      </c>
      <c r="N238" t="s">
        <v>48</v>
      </c>
      <c r="O238" t="s">
        <v>51</v>
      </c>
      <c r="P238">
        <v>32</v>
      </c>
      <c r="Q238" t="s">
        <v>56</v>
      </c>
      <c r="R238" t="s">
        <v>63</v>
      </c>
      <c r="S238">
        <v>7</v>
      </c>
      <c r="T238">
        <v>2014</v>
      </c>
      <c r="U238" t="s">
        <v>64</v>
      </c>
      <c r="V238">
        <v>109</v>
      </c>
      <c r="W238">
        <v>4</v>
      </c>
    </row>
    <row r="239" spans="1:23" x14ac:dyDescent="0.35">
      <c r="A239">
        <v>10238</v>
      </c>
      <c r="B239" t="s">
        <v>27</v>
      </c>
      <c r="C239" t="s">
        <v>33</v>
      </c>
      <c r="D239" t="s">
        <v>41</v>
      </c>
      <c r="E239">
        <v>63910</v>
      </c>
      <c r="F239">
        <f ca="1">DATEDIF(Table1[[#This Row],[Hire Date]], TODAY(), "Y")</f>
        <v>20</v>
      </c>
      <c r="G239" s="7">
        <f ca="1">YEARFRAC(Table1[[#This Row],[Hire Date]], TODAY())</f>
        <v>20.155555555555555</v>
      </c>
      <c r="H239" s="7">
        <v>38682</v>
      </c>
      <c r="I239">
        <v>56</v>
      </c>
      <c r="J239" t="s">
        <v>43</v>
      </c>
      <c r="K239">
        <v>8</v>
      </c>
      <c r="L239" t="s">
        <v>45</v>
      </c>
      <c r="M239">
        <v>3777.78</v>
      </c>
      <c r="N239" t="s">
        <v>47</v>
      </c>
      <c r="O239" t="s">
        <v>51</v>
      </c>
      <c r="P239">
        <v>5</v>
      </c>
      <c r="Q239" t="s">
        <v>57</v>
      </c>
      <c r="R239" t="s">
        <v>59</v>
      </c>
      <c r="S239">
        <v>1</v>
      </c>
      <c r="T239">
        <v>2014</v>
      </c>
      <c r="U239" t="s">
        <v>65</v>
      </c>
      <c r="V239">
        <v>108</v>
      </c>
      <c r="W239">
        <v>4.5999999999999996</v>
      </c>
    </row>
    <row r="240" spans="1:23" x14ac:dyDescent="0.35">
      <c r="A240">
        <v>10239</v>
      </c>
      <c r="B240" t="s">
        <v>24</v>
      </c>
      <c r="C240" t="s">
        <v>31</v>
      </c>
      <c r="D240" t="s">
        <v>39</v>
      </c>
      <c r="E240">
        <v>60226</v>
      </c>
      <c r="F240">
        <f ca="1">DATEDIF(Table1[[#This Row],[Hire Date]], TODAY(), "Y")</f>
        <v>21</v>
      </c>
      <c r="G240" s="7">
        <f ca="1">YEARFRAC(Table1[[#This Row],[Hire Date]], TODAY())</f>
        <v>21.838888888888889</v>
      </c>
      <c r="H240" s="7">
        <v>38066</v>
      </c>
      <c r="I240">
        <v>43</v>
      </c>
      <c r="J240" t="s">
        <v>42</v>
      </c>
      <c r="K240">
        <v>4</v>
      </c>
      <c r="L240" t="s">
        <v>44</v>
      </c>
      <c r="M240">
        <v>8621.65</v>
      </c>
      <c r="N240" t="s">
        <v>49</v>
      </c>
      <c r="O240" t="s">
        <v>50</v>
      </c>
      <c r="P240">
        <v>8</v>
      </c>
      <c r="Q240" t="s">
        <v>57</v>
      </c>
      <c r="R240" t="s">
        <v>63</v>
      </c>
      <c r="S240">
        <v>11</v>
      </c>
      <c r="T240">
        <v>2023</v>
      </c>
      <c r="U240" t="s">
        <v>65</v>
      </c>
      <c r="V240">
        <v>172</v>
      </c>
      <c r="W240">
        <v>5</v>
      </c>
    </row>
    <row r="241" spans="1:23" x14ac:dyDescent="0.35">
      <c r="A241">
        <v>10240</v>
      </c>
      <c r="B241" t="s">
        <v>25</v>
      </c>
      <c r="C241" t="s">
        <v>30</v>
      </c>
      <c r="D241" t="s">
        <v>37</v>
      </c>
      <c r="E241">
        <v>103150</v>
      </c>
      <c r="F241">
        <f ca="1">DATEDIF(Table1[[#This Row],[Hire Date]], TODAY(), "Y")</f>
        <v>17</v>
      </c>
      <c r="G241" s="7">
        <f ca="1">YEARFRAC(Table1[[#This Row],[Hire Date]], TODAY())</f>
        <v>17.755555555555556</v>
      </c>
      <c r="H241" s="7">
        <v>39558</v>
      </c>
      <c r="I241">
        <v>36</v>
      </c>
      <c r="J241" t="s">
        <v>43</v>
      </c>
      <c r="K241">
        <v>8</v>
      </c>
      <c r="L241" t="s">
        <v>45</v>
      </c>
      <c r="M241">
        <v>9636.49</v>
      </c>
      <c r="N241" t="s">
        <v>48</v>
      </c>
      <c r="O241" t="s">
        <v>53</v>
      </c>
      <c r="P241">
        <v>13</v>
      </c>
      <c r="Q241" t="s">
        <v>57</v>
      </c>
      <c r="R241" t="s">
        <v>58</v>
      </c>
      <c r="S241">
        <v>1</v>
      </c>
      <c r="T241">
        <v>2015</v>
      </c>
      <c r="U241" t="s">
        <v>65</v>
      </c>
      <c r="V241">
        <v>43</v>
      </c>
      <c r="W241">
        <v>3</v>
      </c>
    </row>
    <row r="242" spans="1:23" x14ac:dyDescent="0.35">
      <c r="A242">
        <v>10241</v>
      </c>
      <c r="B242" t="s">
        <v>26</v>
      </c>
      <c r="C242" t="s">
        <v>33</v>
      </c>
      <c r="D242" t="s">
        <v>36</v>
      </c>
      <c r="E242">
        <v>89099</v>
      </c>
      <c r="F242">
        <f ca="1">DATEDIF(Table1[[#This Row],[Hire Date]], TODAY(), "Y")</f>
        <v>9</v>
      </c>
      <c r="G242" s="7">
        <f ca="1">YEARFRAC(Table1[[#This Row],[Hire Date]], TODAY())</f>
        <v>9.1750000000000007</v>
      </c>
      <c r="H242" s="7">
        <v>42693</v>
      </c>
      <c r="I242">
        <v>32</v>
      </c>
      <c r="J242" t="s">
        <v>42</v>
      </c>
      <c r="K242">
        <v>9</v>
      </c>
      <c r="L242" t="s">
        <v>44</v>
      </c>
      <c r="M242">
        <v>2792.93</v>
      </c>
      <c r="N242" t="s">
        <v>48</v>
      </c>
      <c r="O242" t="s">
        <v>53</v>
      </c>
      <c r="P242">
        <v>4</v>
      </c>
      <c r="Q242" t="s">
        <v>55</v>
      </c>
      <c r="R242" t="s">
        <v>61</v>
      </c>
      <c r="S242">
        <v>13</v>
      </c>
      <c r="T242">
        <v>2010</v>
      </c>
      <c r="U242" t="s">
        <v>66</v>
      </c>
      <c r="V242">
        <v>157</v>
      </c>
      <c r="W242">
        <v>4.3</v>
      </c>
    </row>
    <row r="243" spans="1:23" x14ac:dyDescent="0.35">
      <c r="A243">
        <v>10242</v>
      </c>
      <c r="B243" t="s">
        <v>21</v>
      </c>
      <c r="C243" t="s">
        <v>34</v>
      </c>
      <c r="D243" t="s">
        <v>37</v>
      </c>
      <c r="E243">
        <v>116760</v>
      </c>
      <c r="F243">
        <f ca="1">DATEDIF(Table1[[#This Row],[Hire Date]], TODAY(), "Y")</f>
        <v>8</v>
      </c>
      <c r="G243" s="7">
        <f ca="1">YEARFRAC(Table1[[#This Row],[Hire Date]], TODAY())</f>
        <v>8.6333333333333329</v>
      </c>
      <c r="H243" s="7">
        <v>42890</v>
      </c>
      <c r="I243">
        <v>55</v>
      </c>
      <c r="J243" t="s">
        <v>43</v>
      </c>
      <c r="K243">
        <v>3</v>
      </c>
      <c r="L243" t="s">
        <v>45</v>
      </c>
      <c r="M243">
        <v>7739.91</v>
      </c>
      <c r="N243" t="s">
        <v>47</v>
      </c>
      <c r="O243" t="s">
        <v>51</v>
      </c>
      <c r="P243">
        <v>11</v>
      </c>
      <c r="Q243" t="s">
        <v>55</v>
      </c>
      <c r="R243" t="s">
        <v>58</v>
      </c>
      <c r="S243">
        <v>18</v>
      </c>
      <c r="T243">
        <v>2015</v>
      </c>
      <c r="U243" t="s">
        <v>65</v>
      </c>
      <c r="V243">
        <v>52</v>
      </c>
      <c r="W243">
        <v>1.2</v>
      </c>
    </row>
    <row r="244" spans="1:23" x14ac:dyDescent="0.35">
      <c r="A244">
        <v>10243</v>
      </c>
      <c r="B244" t="s">
        <v>22</v>
      </c>
      <c r="C244" t="s">
        <v>33</v>
      </c>
      <c r="D244" t="s">
        <v>36</v>
      </c>
      <c r="E244">
        <v>48013</v>
      </c>
      <c r="F244">
        <f ca="1">DATEDIF(Table1[[#This Row],[Hire Date]], TODAY(), "Y")</f>
        <v>20</v>
      </c>
      <c r="G244" s="7">
        <f ca="1">YEARFRAC(Table1[[#This Row],[Hire Date]], TODAY())</f>
        <v>20.627777777777776</v>
      </c>
      <c r="H244" s="7">
        <v>38509</v>
      </c>
      <c r="I244">
        <v>45</v>
      </c>
      <c r="J244" t="s">
        <v>42</v>
      </c>
      <c r="K244">
        <v>6</v>
      </c>
      <c r="L244" t="s">
        <v>44</v>
      </c>
      <c r="M244">
        <v>5951.76</v>
      </c>
      <c r="N244" t="s">
        <v>46</v>
      </c>
      <c r="O244" t="s">
        <v>52</v>
      </c>
      <c r="P244">
        <v>15</v>
      </c>
      <c r="Q244" t="s">
        <v>55</v>
      </c>
      <c r="R244" t="s">
        <v>63</v>
      </c>
      <c r="S244">
        <v>19</v>
      </c>
      <c r="T244">
        <v>2022</v>
      </c>
      <c r="U244" t="s">
        <v>66</v>
      </c>
      <c r="V244">
        <v>119</v>
      </c>
      <c r="W244">
        <v>2.1</v>
      </c>
    </row>
    <row r="245" spans="1:23" x14ac:dyDescent="0.35">
      <c r="A245">
        <v>10244</v>
      </c>
      <c r="B245" t="s">
        <v>28</v>
      </c>
      <c r="C245" t="s">
        <v>32</v>
      </c>
      <c r="D245" t="s">
        <v>40</v>
      </c>
      <c r="E245">
        <v>51446</v>
      </c>
      <c r="F245">
        <f ca="1">DATEDIF(Table1[[#This Row],[Hire Date]], TODAY(), "Y")</f>
        <v>25</v>
      </c>
      <c r="G245" s="7">
        <f ca="1">YEARFRAC(Table1[[#This Row],[Hire Date]], TODAY())</f>
        <v>25.2</v>
      </c>
      <c r="H245" s="7">
        <v>36840</v>
      </c>
      <c r="I245">
        <v>27</v>
      </c>
      <c r="J245" t="s">
        <v>42</v>
      </c>
      <c r="K245">
        <v>8</v>
      </c>
      <c r="L245" t="s">
        <v>44</v>
      </c>
      <c r="M245">
        <v>802.17</v>
      </c>
      <c r="N245" t="s">
        <v>47</v>
      </c>
      <c r="O245" t="s">
        <v>54</v>
      </c>
      <c r="P245">
        <v>18</v>
      </c>
      <c r="Q245" t="s">
        <v>57</v>
      </c>
      <c r="R245" t="s">
        <v>63</v>
      </c>
      <c r="S245">
        <v>5</v>
      </c>
      <c r="T245">
        <v>2022</v>
      </c>
      <c r="U245" t="s">
        <v>64</v>
      </c>
      <c r="V245">
        <v>53</v>
      </c>
      <c r="W245">
        <v>2.5</v>
      </c>
    </row>
    <row r="246" spans="1:23" x14ac:dyDescent="0.35">
      <c r="A246">
        <v>10245</v>
      </c>
      <c r="B246" t="s">
        <v>21</v>
      </c>
      <c r="C246" t="s">
        <v>31</v>
      </c>
      <c r="D246" t="s">
        <v>40</v>
      </c>
      <c r="E246">
        <v>100375</v>
      </c>
      <c r="F246">
        <f ca="1">DATEDIF(Table1[[#This Row],[Hire Date]], TODAY(), "Y")</f>
        <v>8</v>
      </c>
      <c r="G246" s="7">
        <f ca="1">YEARFRAC(Table1[[#This Row],[Hire Date]], TODAY())</f>
        <v>8.4333333333333336</v>
      </c>
      <c r="H246" s="7">
        <v>42963</v>
      </c>
      <c r="I246">
        <v>38</v>
      </c>
      <c r="J246" t="s">
        <v>43</v>
      </c>
      <c r="K246">
        <v>7</v>
      </c>
      <c r="L246" t="s">
        <v>44</v>
      </c>
      <c r="M246">
        <v>5657.71</v>
      </c>
      <c r="N246" t="s">
        <v>48</v>
      </c>
      <c r="O246" t="s">
        <v>52</v>
      </c>
      <c r="P246">
        <v>20</v>
      </c>
      <c r="Q246" t="s">
        <v>55</v>
      </c>
      <c r="R246" t="s">
        <v>59</v>
      </c>
      <c r="S246">
        <v>18</v>
      </c>
      <c r="T246">
        <v>2020</v>
      </c>
      <c r="U246" t="s">
        <v>66</v>
      </c>
      <c r="V246">
        <v>165</v>
      </c>
      <c r="W246">
        <v>4.9000000000000004</v>
      </c>
    </row>
    <row r="247" spans="1:23" x14ac:dyDescent="0.35">
      <c r="A247">
        <v>10246</v>
      </c>
      <c r="B247" t="s">
        <v>27</v>
      </c>
      <c r="C247" t="s">
        <v>29</v>
      </c>
      <c r="D247" t="s">
        <v>36</v>
      </c>
      <c r="E247">
        <v>92509</v>
      </c>
      <c r="F247">
        <f ca="1">DATEDIF(Table1[[#This Row],[Hire Date]], TODAY(), "Y")</f>
        <v>17</v>
      </c>
      <c r="G247" s="7">
        <f ca="1">YEARFRAC(Table1[[#This Row],[Hire Date]], TODAY())</f>
        <v>17.622222222222224</v>
      </c>
      <c r="H247" s="7">
        <v>39607</v>
      </c>
      <c r="I247">
        <v>49</v>
      </c>
      <c r="J247" t="s">
        <v>42</v>
      </c>
      <c r="K247">
        <v>9</v>
      </c>
      <c r="L247" t="s">
        <v>44</v>
      </c>
      <c r="M247">
        <v>8156.43</v>
      </c>
      <c r="N247" t="s">
        <v>47</v>
      </c>
      <c r="O247" t="s">
        <v>50</v>
      </c>
      <c r="P247">
        <v>1</v>
      </c>
      <c r="Q247" t="s">
        <v>56</v>
      </c>
      <c r="R247" t="s">
        <v>59</v>
      </c>
      <c r="S247">
        <v>16</v>
      </c>
      <c r="T247">
        <v>2015</v>
      </c>
      <c r="U247" t="s">
        <v>65</v>
      </c>
      <c r="V247">
        <v>31</v>
      </c>
      <c r="W247">
        <v>1</v>
      </c>
    </row>
    <row r="248" spans="1:23" x14ac:dyDescent="0.35">
      <c r="A248">
        <v>10247</v>
      </c>
      <c r="B248" t="s">
        <v>28</v>
      </c>
      <c r="C248" t="s">
        <v>29</v>
      </c>
      <c r="D248" t="s">
        <v>37</v>
      </c>
      <c r="E248">
        <v>30557</v>
      </c>
      <c r="F248">
        <f ca="1">DATEDIF(Table1[[#This Row],[Hire Date]], TODAY(), "Y")</f>
        <v>10</v>
      </c>
      <c r="G248" s="7">
        <f ca="1">YEARFRAC(Table1[[#This Row],[Hire Date]], TODAY())</f>
        <v>10.188888888888888</v>
      </c>
      <c r="H248" s="7">
        <v>42322</v>
      </c>
      <c r="I248">
        <v>52</v>
      </c>
      <c r="J248" t="s">
        <v>42</v>
      </c>
      <c r="K248">
        <v>7</v>
      </c>
      <c r="L248" t="s">
        <v>44</v>
      </c>
      <c r="M248">
        <v>3123.17</v>
      </c>
      <c r="N248" t="s">
        <v>49</v>
      </c>
      <c r="O248" t="s">
        <v>54</v>
      </c>
      <c r="P248">
        <v>1</v>
      </c>
      <c r="Q248" t="s">
        <v>57</v>
      </c>
      <c r="R248" t="s">
        <v>58</v>
      </c>
      <c r="S248">
        <v>2</v>
      </c>
      <c r="T248">
        <v>2023</v>
      </c>
      <c r="U248" t="s">
        <v>66</v>
      </c>
      <c r="V248">
        <v>49</v>
      </c>
      <c r="W248">
        <v>2.2000000000000002</v>
      </c>
    </row>
    <row r="249" spans="1:23" x14ac:dyDescent="0.35">
      <c r="A249">
        <v>10248</v>
      </c>
      <c r="B249" t="s">
        <v>28</v>
      </c>
      <c r="C249" t="s">
        <v>31</v>
      </c>
      <c r="D249" t="s">
        <v>36</v>
      </c>
      <c r="E249">
        <v>60666</v>
      </c>
      <c r="F249">
        <f ca="1">DATEDIF(Table1[[#This Row],[Hire Date]], TODAY(), "Y")</f>
        <v>6</v>
      </c>
      <c r="G249" s="7">
        <f ca="1">YEARFRAC(Table1[[#This Row],[Hire Date]], TODAY())</f>
        <v>6.4444444444444446</v>
      </c>
      <c r="H249" s="7">
        <v>43689</v>
      </c>
      <c r="I249">
        <v>57</v>
      </c>
      <c r="J249" t="s">
        <v>42</v>
      </c>
      <c r="K249">
        <v>1</v>
      </c>
      <c r="L249" t="s">
        <v>45</v>
      </c>
      <c r="M249">
        <v>9024.94</v>
      </c>
      <c r="N249" t="s">
        <v>48</v>
      </c>
      <c r="O249" t="s">
        <v>52</v>
      </c>
      <c r="P249">
        <v>11</v>
      </c>
      <c r="Q249" t="s">
        <v>56</v>
      </c>
      <c r="R249" t="s">
        <v>60</v>
      </c>
      <c r="S249">
        <v>19</v>
      </c>
      <c r="T249">
        <v>2020</v>
      </c>
      <c r="U249" t="s">
        <v>66</v>
      </c>
      <c r="V249">
        <v>35</v>
      </c>
      <c r="W249">
        <v>4.7</v>
      </c>
    </row>
    <row r="250" spans="1:23" x14ac:dyDescent="0.35">
      <c r="A250">
        <v>10249</v>
      </c>
      <c r="B250" t="s">
        <v>28</v>
      </c>
      <c r="C250" t="s">
        <v>32</v>
      </c>
      <c r="D250" t="s">
        <v>39</v>
      </c>
      <c r="E250">
        <v>67389</v>
      </c>
      <c r="F250">
        <f ca="1">DATEDIF(Table1[[#This Row],[Hire Date]], TODAY(), "Y")</f>
        <v>12</v>
      </c>
      <c r="G250" s="7">
        <f ca="1">YEARFRAC(Table1[[#This Row],[Hire Date]], TODAY())</f>
        <v>12.061111111111112</v>
      </c>
      <c r="H250" s="7">
        <v>41639</v>
      </c>
      <c r="I250">
        <v>30</v>
      </c>
      <c r="J250" t="s">
        <v>42</v>
      </c>
      <c r="K250">
        <v>9</v>
      </c>
      <c r="L250" t="s">
        <v>45</v>
      </c>
      <c r="M250">
        <v>2744.47</v>
      </c>
      <c r="N250" t="s">
        <v>47</v>
      </c>
      <c r="O250" t="s">
        <v>53</v>
      </c>
      <c r="P250">
        <v>29</v>
      </c>
      <c r="Q250" t="s">
        <v>56</v>
      </c>
      <c r="R250" t="s">
        <v>58</v>
      </c>
      <c r="S250">
        <v>9</v>
      </c>
      <c r="T250">
        <v>2014</v>
      </c>
      <c r="U250" t="s">
        <v>64</v>
      </c>
      <c r="V250">
        <v>67</v>
      </c>
      <c r="W250">
        <v>2.2000000000000002</v>
      </c>
    </row>
    <row r="251" spans="1:23" x14ac:dyDescent="0.35">
      <c r="A251">
        <v>10250</v>
      </c>
      <c r="B251" t="s">
        <v>24</v>
      </c>
      <c r="C251" t="s">
        <v>35</v>
      </c>
      <c r="D251" t="s">
        <v>41</v>
      </c>
      <c r="E251">
        <v>77700</v>
      </c>
      <c r="F251">
        <f ca="1">DATEDIF(Table1[[#This Row],[Hire Date]], TODAY(), "Y")</f>
        <v>13</v>
      </c>
      <c r="G251" s="7">
        <f ca="1">YEARFRAC(Table1[[#This Row],[Hire Date]], TODAY())</f>
        <v>13.1</v>
      </c>
      <c r="H251" s="7">
        <v>41259</v>
      </c>
      <c r="I251">
        <v>31</v>
      </c>
      <c r="J251" t="s">
        <v>43</v>
      </c>
      <c r="K251">
        <v>5</v>
      </c>
      <c r="L251" t="s">
        <v>44</v>
      </c>
      <c r="M251">
        <v>1226.49</v>
      </c>
      <c r="N251" t="s">
        <v>47</v>
      </c>
      <c r="O251" t="s">
        <v>52</v>
      </c>
      <c r="P251">
        <v>29</v>
      </c>
      <c r="Q251" t="s">
        <v>57</v>
      </c>
      <c r="R251" t="s">
        <v>60</v>
      </c>
      <c r="S251">
        <v>12</v>
      </c>
      <c r="T251">
        <v>2019</v>
      </c>
      <c r="U251" t="s">
        <v>66</v>
      </c>
      <c r="V251">
        <v>116</v>
      </c>
      <c r="W251">
        <v>1.9</v>
      </c>
    </row>
    <row r="252" spans="1:23" x14ac:dyDescent="0.35">
      <c r="A252">
        <v>10251</v>
      </c>
      <c r="B252" t="s">
        <v>27</v>
      </c>
      <c r="C252" t="s">
        <v>33</v>
      </c>
      <c r="D252" t="s">
        <v>40</v>
      </c>
      <c r="E252">
        <v>54578</v>
      </c>
      <c r="F252">
        <f ca="1">DATEDIF(Table1[[#This Row],[Hire Date]], TODAY(), "Y")</f>
        <v>19</v>
      </c>
      <c r="G252" s="7">
        <f ca="1">YEARFRAC(Table1[[#This Row],[Hire Date]], TODAY())</f>
        <v>19.719444444444445</v>
      </c>
      <c r="H252" s="7">
        <v>38840</v>
      </c>
      <c r="I252">
        <v>42</v>
      </c>
      <c r="J252" t="s">
        <v>43</v>
      </c>
      <c r="K252">
        <v>6</v>
      </c>
      <c r="L252" t="s">
        <v>45</v>
      </c>
      <c r="M252">
        <v>2019.42</v>
      </c>
      <c r="N252" t="s">
        <v>47</v>
      </c>
      <c r="O252" t="s">
        <v>51</v>
      </c>
      <c r="P252">
        <v>24</v>
      </c>
      <c r="Q252" t="s">
        <v>56</v>
      </c>
      <c r="R252" t="s">
        <v>60</v>
      </c>
      <c r="S252">
        <v>19</v>
      </c>
      <c r="T252">
        <v>2018</v>
      </c>
      <c r="U252" t="s">
        <v>65</v>
      </c>
      <c r="V252">
        <v>170</v>
      </c>
      <c r="W252">
        <v>3.9</v>
      </c>
    </row>
    <row r="253" spans="1:23" x14ac:dyDescent="0.35">
      <c r="A253">
        <v>10252</v>
      </c>
      <c r="B253" t="s">
        <v>28</v>
      </c>
      <c r="C253" t="s">
        <v>32</v>
      </c>
      <c r="D253" t="s">
        <v>41</v>
      </c>
      <c r="E253">
        <v>104779</v>
      </c>
      <c r="F253">
        <f ca="1">DATEDIF(Table1[[#This Row],[Hire Date]], TODAY(), "Y")</f>
        <v>20</v>
      </c>
      <c r="G253" s="7">
        <f ca="1">YEARFRAC(Table1[[#This Row],[Hire Date]], TODAY())</f>
        <v>20.213888888888889</v>
      </c>
      <c r="H253" s="7">
        <v>38661</v>
      </c>
      <c r="I253">
        <v>55</v>
      </c>
      <c r="J253" t="s">
        <v>43</v>
      </c>
      <c r="K253">
        <v>2</v>
      </c>
      <c r="L253" t="s">
        <v>44</v>
      </c>
      <c r="M253">
        <v>8451.5300000000007</v>
      </c>
      <c r="N253" t="s">
        <v>47</v>
      </c>
      <c r="O253" t="s">
        <v>50</v>
      </c>
      <c r="P253">
        <v>20</v>
      </c>
      <c r="Q253" t="s">
        <v>56</v>
      </c>
      <c r="R253" t="s">
        <v>62</v>
      </c>
      <c r="S253">
        <v>17</v>
      </c>
      <c r="T253">
        <v>2019</v>
      </c>
      <c r="U253" t="s">
        <v>66</v>
      </c>
      <c r="V253">
        <v>112</v>
      </c>
      <c r="W253">
        <v>4</v>
      </c>
    </row>
    <row r="254" spans="1:23" x14ac:dyDescent="0.35">
      <c r="A254">
        <v>10253</v>
      </c>
      <c r="B254" t="s">
        <v>22</v>
      </c>
      <c r="C254" t="s">
        <v>34</v>
      </c>
      <c r="D254" t="s">
        <v>39</v>
      </c>
      <c r="E254">
        <v>39596</v>
      </c>
      <c r="F254">
        <f ca="1">DATEDIF(Table1[[#This Row],[Hire Date]], TODAY(), "Y")</f>
        <v>7</v>
      </c>
      <c r="G254" s="7">
        <f ca="1">YEARFRAC(Table1[[#This Row],[Hire Date]], TODAY())</f>
        <v>7.9944444444444445</v>
      </c>
      <c r="H254" s="7">
        <v>43124</v>
      </c>
      <c r="I254">
        <v>52</v>
      </c>
      <c r="J254" t="s">
        <v>43</v>
      </c>
      <c r="K254">
        <v>2</v>
      </c>
      <c r="L254" t="s">
        <v>45</v>
      </c>
      <c r="M254">
        <v>4464.41</v>
      </c>
      <c r="N254" t="s">
        <v>48</v>
      </c>
      <c r="O254" t="s">
        <v>52</v>
      </c>
      <c r="P254">
        <v>30</v>
      </c>
      <c r="Q254" t="s">
        <v>55</v>
      </c>
      <c r="R254" t="s">
        <v>63</v>
      </c>
      <c r="S254">
        <v>18</v>
      </c>
      <c r="T254">
        <v>2019</v>
      </c>
      <c r="U254" t="s">
        <v>66</v>
      </c>
      <c r="V254">
        <v>172</v>
      </c>
      <c r="W254">
        <v>2.9</v>
      </c>
    </row>
    <row r="255" spans="1:23" x14ac:dyDescent="0.35">
      <c r="A255">
        <v>10254</v>
      </c>
      <c r="B255" t="s">
        <v>23</v>
      </c>
      <c r="C255" t="s">
        <v>30</v>
      </c>
      <c r="D255" t="s">
        <v>39</v>
      </c>
      <c r="E255">
        <v>87500</v>
      </c>
      <c r="F255">
        <f ca="1">DATEDIF(Table1[[#This Row],[Hire Date]], TODAY(), "Y")</f>
        <v>21</v>
      </c>
      <c r="G255" s="7">
        <f ca="1">YEARFRAC(Table1[[#This Row],[Hire Date]], TODAY())</f>
        <v>21.541666666666668</v>
      </c>
      <c r="H255" s="7">
        <v>38175</v>
      </c>
      <c r="I255">
        <v>50</v>
      </c>
      <c r="J255" t="s">
        <v>42</v>
      </c>
      <c r="K255">
        <v>4</v>
      </c>
      <c r="L255" t="s">
        <v>45</v>
      </c>
      <c r="M255">
        <v>8070.98</v>
      </c>
      <c r="N255" t="s">
        <v>47</v>
      </c>
      <c r="O255" t="s">
        <v>52</v>
      </c>
      <c r="P255">
        <v>38</v>
      </c>
      <c r="Q255" t="s">
        <v>56</v>
      </c>
      <c r="R255" t="s">
        <v>62</v>
      </c>
      <c r="S255">
        <v>16</v>
      </c>
      <c r="T255">
        <v>2014</v>
      </c>
      <c r="U255" t="s">
        <v>65</v>
      </c>
      <c r="V255">
        <v>190</v>
      </c>
      <c r="W255">
        <v>4.8</v>
      </c>
    </row>
    <row r="256" spans="1:23" x14ac:dyDescent="0.35">
      <c r="A256">
        <v>10255</v>
      </c>
      <c r="B256" t="s">
        <v>28</v>
      </c>
      <c r="C256" t="s">
        <v>31</v>
      </c>
      <c r="D256" t="s">
        <v>40</v>
      </c>
      <c r="E256">
        <v>102534</v>
      </c>
      <c r="F256">
        <f ca="1">DATEDIF(Table1[[#This Row],[Hire Date]], TODAY(), "Y")</f>
        <v>17</v>
      </c>
      <c r="G256" s="7">
        <f ca="1">YEARFRAC(Table1[[#This Row],[Hire Date]], TODAY())</f>
        <v>17.244444444444444</v>
      </c>
      <c r="H256" s="7">
        <v>39745</v>
      </c>
      <c r="I256">
        <v>64</v>
      </c>
      <c r="J256" t="s">
        <v>42</v>
      </c>
      <c r="K256">
        <v>4</v>
      </c>
      <c r="L256" t="s">
        <v>45</v>
      </c>
      <c r="M256">
        <v>5546.71</v>
      </c>
      <c r="N256" t="s">
        <v>49</v>
      </c>
      <c r="O256" t="s">
        <v>54</v>
      </c>
      <c r="P256">
        <v>5</v>
      </c>
      <c r="Q256" t="s">
        <v>55</v>
      </c>
      <c r="R256" t="s">
        <v>63</v>
      </c>
      <c r="S256">
        <v>7</v>
      </c>
      <c r="T256">
        <v>2018</v>
      </c>
      <c r="U256" t="s">
        <v>66</v>
      </c>
      <c r="V256">
        <v>69</v>
      </c>
      <c r="W256">
        <v>1.8</v>
      </c>
    </row>
    <row r="257" spans="1:23" x14ac:dyDescent="0.35">
      <c r="A257">
        <v>10256</v>
      </c>
      <c r="B257" t="s">
        <v>24</v>
      </c>
      <c r="C257" t="s">
        <v>33</v>
      </c>
      <c r="D257" t="s">
        <v>40</v>
      </c>
      <c r="E257">
        <v>40129</v>
      </c>
      <c r="F257">
        <f ca="1">DATEDIF(Table1[[#This Row],[Hire Date]], TODAY(), "Y")</f>
        <v>7</v>
      </c>
      <c r="G257" s="7">
        <f ca="1">YEARFRAC(Table1[[#This Row],[Hire Date]], TODAY())</f>
        <v>7.166666666666667</v>
      </c>
      <c r="H257" s="7">
        <v>43426</v>
      </c>
      <c r="I257">
        <v>64</v>
      </c>
      <c r="J257" t="s">
        <v>42</v>
      </c>
      <c r="K257">
        <v>5</v>
      </c>
      <c r="L257" t="s">
        <v>44</v>
      </c>
      <c r="M257">
        <v>5065.3100000000004</v>
      </c>
      <c r="N257" t="s">
        <v>46</v>
      </c>
      <c r="O257" t="s">
        <v>51</v>
      </c>
      <c r="P257">
        <v>10</v>
      </c>
      <c r="Q257" t="s">
        <v>56</v>
      </c>
      <c r="R257" t="s">
        <v>62</v>
      </c>
      <c r="S257">
        <v>17</v>
      </c>
      <c r="T257">
        <v>2019</v>
      </c>
      <c r="U257" t="s">
        <v>64</v>
      </c>
      <c r="V257">
        <v>15</v>
      </c>
      <c r="W257">
        <v>4.7</v>
      </c>
    </row>
    <row r="258" spans="1:23" x14ac:dyDescent="0.35">
      <c r="A258">
        <v>10257</v>
      </c>
      <c r="B258" t="s">
        <v>21</v>
      </c>
      <c r="C258" t="s">
        <v>29</v>
      </c>
      <c r="D258" t="s">
        <v>39</v>
      </c>
      <c r="E258">
        <v>93394</v>
      </c>
      <c r="F258">
        <f ca="1">DATEDIF(Table1[[#This Row],[Hire Date]], TODAY(), "Y")</f>
        <v>15</v>
      </c>
      <c r="G258" s="7">
        <f ca="1">YEARFRAC(Table1[[#This Row],[Hire Date]], TODAY())</f>
        <v>15.65</v>
      </c>
      <c r="H258" s="7">
        <v>40326</v>
      </c>
      <c r="I258">
        <v>32</v>
      </c>
      <c r="J258" t="s">
        <v>42</v>
      </c>
      <c r="K258">
        <v>7</v>
      </c>
      <c r="L258" t="s">
        <v>44</v>
      </c>
      <c r="M258">
        <v>8165.67</v>
      </c>
      <c r="N258" t="s">
        <v>46</v>
      </c>
      <c r="O258" t="s">
        <v>54</v>
      </c>
      <c r="P258">
        <v>6</v>
      </c>
      <c r="Q258" t="s">
        <v>57</v>
      </c>
      <c r="R258" t="s">
        <v>60</v>
      </c>
      <c r="S258">
        <v>6</v>
      </c>
      <c r="T258">
        <v>2016</v>
      </c>
      <c r="U258" t="s">
        <v>65</v>
      </c>
      <c r="V258">
        <v>147</v>
      </c>
      <c r="W258">
        <v>4</v>
      </c>
    </row>
    <row r="259" spans="1:23" x14ac:dyDescent="0.35">
      <c r="A259">
        <v>10258</v>
      </c>
      <c r="B259" t="s">
        <v>27</v>
      </c>
      <c r="C259" t="s">
        <v>30</v>
      </c>
      <c r="D259" t="s">
        <v>38</v>
      </c>
      <c r="E259">
        <v>96046</v>
      </c>
      <c r="F259">
        <f ca="1">DATEDIF(Table1[[#This Row],[Hire Date]], TODAY(), "Y")</f>
        <v>19</v>
      </c>
      <c r="G259" s="7">
        <f ca="1">YEARFRAC(Table1[[#This Row],[Hire Date]], TODAY())</f>
        <v>19.272222222222222</v>
      </c>
      <c r="H259" s="7">
        <v>39004</v>
      </c>
      <c r="I259">
        <v>54</v>
      </c>
      <c r="J259" t="s">
        <v>43</v>
      </c>
      <c r="K259">
        <v>1</v>
      </c>
      <c r="L259" t="s">
        <v>45</v>
      </c>
      <c r="M259">
        <v>4523.13</v>
      </c>
      <c r="N259" t="s">
        <v>46</v>
      </c>
      <c r="O259" t="s">
        <v>50</v>
      </c>
      <c r="P259">
        <v>4</v>
      </c>
      <c r="Q259" t="s">
        <v>57</v>
      </c>
      <c r="R259" t="s">
        <v>62</v>
      </c>
      <c r="S259">
        <v>10</v>
      </c>
      <c r="T259">
        <v>2012</v>
      </c>
      <c r="U259" t="s">
        <v>65</v>
      </c>
      <c r="V259">
        <v>101</v>
      </c>
      <c r="W259">
        <v>2.5</v>
      </c>
    </row>
    <row r="260" spans="1:23" x14ac:dyDescent="0.35">
      <c r="A260">
        <v>10259</v>
      </c>
      <c r="B260" t="s">
        <v>25</v>
      </c>
      <c r="C260" t="s">
        <v>35</v>
      </c>
      <c r="D260" t="s">
        <v>41</v>
      </c>
      <c r="E260">
        <v>41596</v>
      </c>
      <c r="F260">
        <f ca="1">DATEDIF(Table1[[#This Row],[Hire Date]], TODAY(), "Y")</f>
        <v>14</v>
      </c>
      <c r="G260" s="7">
        <f ca="1">YEARFRAC(Table1[[#This Row],[Hire Date]], TODAY())</f>
        <v>14.925000000000001</v>
      </c>
      <c r="H260" s="7">
        <v>40593</v>
      </c>
      <c r="I260">
        <v>22</v>
      </c>
      <c r="J260" t="s">
        <v>43</v>
      </c>
      <c r="K260">
        <v>4</v>
      </c>
      <c r="L260" t="s">
        <v>45</v>
      </c>
      <c r="M260">
        <v>8119.31</v>
      </c>
      <c r="N260" t="s">
        <v>49</v>
      </c>
      <c r="O260" t="s">
        <v>50</v>
      </c>
      <c r="P260">
        <v>4</v>
      </c>
      <c r="Q260" t="s">
        <v>57</v>
      </c>
      <c r="R260" t="s">
        <v>61</v>
      </c>
      <c r="S260">
        <v>2</v>
      </c>
      <c r="T260">
        <v>2020</v>
      </c>
      <c r="U260" t="s">
        <v>66</v>
      </c>
      <c r="V260">
        <v>189</v>
      </c>
      <c r="W260">
        <v>4.2</v>
      </c>
    </row>
    <row r="261" spans="1:23" x14ac:dyDescent="0.35">
      <c r="A261">
        <v>10260</v>
      </c>
      <c r="B261" t="s">
        <v>24</v>
      </c>
      <c r="C261" t="s">
        <v>34</v>
      </c>
      <c r="D261" t="s">
        <v>41</v>
      </c>
      <c r="E261">
        <v>95355</v>
      </c>
      <c r="F261">
        <f ca="1">DATEDIF(Table1[[#This Row],[Hire Date]], TODAY(), "Y")</f>
        <v>21</v>
      </c>
      <c r="G261" s="7">
        <f ca="1">YEARFRAC(Table1[[#This Row],[Hire Date]], TODAY())</f>
        <v>21.2</v>
      </c>
      <c r="H261" s="7">
        <v>38301</v>
      </c>
      <c r="I261">
        <v>42</v>
      </c>
      <c r="J261" t="s">
        <v>43</v>
      </c>
      <c r="K261">
        <v>9</v>
      </c>
      <c r="L261" t="s">
        <v>45</v>
      </c>
      <c r="M261">
        <v>1456.29</v>
      </c>
      <c r="N261" t="s">
        <v>46</v>
      </c>
      <c r="O261" t="s">
        <v>51</v>
      </c>
      <c r="P261">
        <v>7</v>
      </c>
      <c r="Q261" t="s">
        <v>57</v>
      </c>
      <c r="R261" t="s">
        <v>62</v>
      </c>
      <c r="S261">
        <v>1</v>
      </c>
      <c r="T261">
        <v>2018</v>
      </c>
      <c r="U261" t="s">
        <v>64</v>
      </c>
      <c r="V261">
        <v>116</v>
      </c>
      <c r="W261">
        <v>1.5</v>
      </c>
    </row>
    <row r="262" spans="1:23" x14ac:dyDescent="0.35">
      <c r="A262">
        <v>10261</v>
      </c>
      <c r="B262" t="s">
        <v>28</v>
      </c>
      <c r="C262" t="s">
        <v>29</v>
      </c>
      <c r="D262" t="s">
        <v>38</v>
      </c>
      <c r="E262">
        <v>42974</v>
      </c>
      <c r="F262">
        <f ca="1">DATEDIF(Table1[[#This Row],[Hire Date]], TODAY(), "Y")</f>
        <v>20</v>
      </c>
      <c r="G262" s="7">
        <f ca="1">YEARFRAC(Table1[[#This Row],[Hire Date]], TODAY())</f>
        <v>20.672222222222221</v>
      </c>
      <c r="H262" s="7">
        <v>38492</v>
      </c>
      <c r="I262">
        <v>44</v>
      </c>
      <c r="J262" t="s">
        <v>42</v>
      </c>
      <c r="K262">
        <v>8</v>
      </c>
      <c r="L262" t="s">
        <v>45</v>
      </c>
      <c r="M262">
        <v>6544.95</v>
      </c>
      <c r="N262" t="s">
        <v>48</v>
      </c>
      <c r="O262" t="s">
        <v>54</v>
      </c>
      <c r="P262">
        <v>33</v>
      </c>
      <c r="Q262" t="s">
        <v>55</v>
      </c>
      <c r="R262" t="s">
        <v>59</v>
      </c>
      <c r="S262">
        <v>18</v>
      </c>
      <c r="T262">
        <v>2019</v>
      </c>
      <c r="U262" t="s">
        <v>64</v>
      </c>
      <c r="V262">
        <v>157</v>
      </c>
      <c r="W262">
        <v>1.5</v>
      </c>
    </row>
    <row r="263" spans="1:23" x14ac:dyDescent="0.35">
      <c r="A263">
        <v>10262</v>
      </c>
      <c r="B263" t="s">
        <v>27</v>
      </c>
      <c r="C263" t="s">
        <v>31</v>
      </c>
      <c r="D263" t="s">
        <v>37</v>
      </c>
      <c r="E263">
        <v>96673</v>
      </c>
      <c r="F263">
        <f ca="1">DATEDIF(Table1[[#This Row],[Hire Date]], TODAY(), "Y")</f>
        <v>6</v>
      </c>
      <c r="G263" s="7">
        <f ca="1">YEARFRAC(Table1[[#This Row],[Hire Date]], TODAY())</f>
        <v>6.7416666666666663</v>
      </c>
      <c r="H263" s="7">
        <v>43580</v>
      </c>
      <c r="I263">
        <v>30</v>
      </c>
      <c r="J263" t="s">
        <v>42</v>
      </c>
      <c r="K263">
        <v>3</v>
      </c>
      <c r="L263" t="s">
        <v>44</v>
      </c>
      <c r="M263">
        <v>7174.58</v>
      </c>
      <c r="N263" t="s">
        <v>48</v>
      </c>
      <c r="O263" t="s">
        <v>51</v>
      </c>
      <c r="P263">
        <v>9</v>
      </c>
      <c r="Q263" t="s">
        <v>56</v>
      </c>
      <c r="R263" t="s">
        <v>59</v>
      </c>
      <c r="S263">
        <v>10</v>
      </c>
      <c r="T263">
        <v>2016</v>
      </c>
      <c r="U263" t="s">
        <v>65</v>
      </c>
      <c r="V263">
        <v>171</v>
      </c>
      <c r="W263">
        <v>4.7</v>
      </c>
    </row>
    <row r="264" spans="1:23" x14ac:dyDescent="0.35">
      <c r="A264">
        <v>10263</v>
      </c>
      <c r="B264" t="s">
        <v>23</v>
      </c>
      <c r="C264" t="s">
        <v>33</v>
      </c>
      <c r="D264" t="s">
        <v>41</v>
      </c>
      <c r="E264">
        <v>100202</v>
      </c>
      <c r="F264">
        <f ca="1">DATEDIF(Table1[[#This Row],[Hire Date]], TODAY(), "Y")</f>
        <v>9</v>
      </c>
      <c r="G264" s="7">
        <f ca="1">YEARFRAC(Table1[[#This Row],[Hire Date]], TODAY())</f>
        <v>9.469444444444445</v>
      </c>
      <c r="H264" s="7">
        <v>42585</v>
      </c>
      <c r="I264">
        <v>22</v>
      </c>
      <c r="J264" t="s">
        <v>42</v>
      </c>
      <c r="K264">
        <v>6</v>
      </c>
      <c r="L264" t="s">
        <v>44</v>
      </c>
      <c r="M264">
        <v>9041.43</v>
      </c>
      <c r="N264" t="s">
        <v>49</v>
      </c>
      <c r="O264" t="s">
        <v>54</v>
      </c>
      <c r="P264">
        <v>26</v>
      </c>
      <c r="Q264" t="s">
        <v>56</v>
      </c>
      <c r="R264" t="s">
        <v>62</v>
      </c>
      <c r="S264">
        <v>7</v>
      </c>
      <c r="T264">
        <v>2013</v>
      </c>
      <c r="U264" t="s">
        <v>65</v>
      </c>
      <c r="V264">
        <v>37</v>
      </c>
      <c r="W264">
        <v>1.4</v>
      </c>
    </row>
    <row r="265" spans="1:23" x14ac:dyDescent="0.35">
      <c r="A265">
        <v>10264</v>
      </c>
      <c r="B265" t="s">
        <v>28</v>
      </c>
      <c r="C265" t="s">
        <v>31</v>
      </c>
      <c r="D265" t="s">
        <v>36</v>
      </c>
      <c r="E265">
        <v>104442</v>
      </c>
      <c r="F265">
        <f ca="1">DATEDIF(Table1[[#This Row],[Hire Date]], TODAY(), "Y")</f>
        <v>21</v>
      </c>
      <c r="G265" s="7">
        <f ca="1">YEARFRAC(Table1[[#This Row],[Hire Date]], TODAY())</f>
        <v>21.222222222222221</v>
      </c>
      <c r="H265" s="7">
        <v>38293</v>
      </c>
      <c r="I265">
        <v>42</v>
      </c>
      <c r="J265" t="s">
        <v>42</v>
      </c>
      <c r="K265">
        <v>9</v>
      </c>
      <c r="L265" t="s">
        <v>45</v>
      </c>
      <c r="M265">
        <v>2631.08</v>
      </c>
      <c r="N265" t="s">
        <v>49</v>
      </c>
      <c r="O265" t="s">
        <v>53</v>
      </c>
      <c r="P265">
        <v>21</v>
      </c>
      <c r="Q265" t="s">
        <v>57</v>
      </c>
      <c r="R265" t="s">
        <v>62</v>
      </c>
      <c r="S265">
        <v>10</v>
      </c>
      <c r="T265">
        <v>2023</v>
      </c>
      <c r="U265" t="s">
        <v>66</v>
      </c>
      <c r="V265">
        <v>33</v>
      </c>
      <c r="W265">
        <v>1</v>
      </c>
    </row>
    <row r="266" spans="1:23" x14ac:dyDescent="0.35">
      <c r="A266">
        <v>10265</v>
      </c>
      <c r="B266" t="s">
        <v>24</v>
      </c>
      <c r="C266" t="s">
        <v>30</v>
      </c>
      <c r="D266" t="s">
        <v>39</v>
      </c>
      <c r="E266">
        <v>51818</v>
      </c>
      <c r="F266">
        <f ca="1">DATEDIF(Table1[[#This Row],[Hire Date]], TODAY(), "Y")</f>
        <v>15</v>
      </c>
      <c r="G266" s="7">
        <f ca="1">YEARFRAC(Table1[[#This Row],[Hire Date]], TODAY())</f>
        <v>15.611111111111111</v>
      </c>
      <c r="H266" s="7">
        <v>40341</v>
      </c>
      <c r="I266">
        <v>43</v>
      </c>
      <c r="J266" t="s">
        <v>43</v>
      </c>
      <c r="K266">
        <v>8</v>
      </c>
      <c r="L266" t="s">
        <v>44</v>
      </c>
      <c r="M266">
        <v>6240.09</v>
      </c>
      <c r="N266" t="s">
        <v>48</v>
      </c>
      <c r="O266" t="s">
        <v>51</v>
      </c>
      <c r="P266">
        <v>22</v>
      </c>
      <c r="Q266" t="s">
        <v>55</v>
      </c>
      <c r="R266" t="s">
        <v>61</v>
      </c>
      <c r="S266">
        <v>1</v>
      </c>
      <c r="T266">
        <v>2021</v>
      </c>
      <c r="U266" t="s">
        <v>65</v>
      </c>
      <c r="V266">
        <v>190</v>
      </c>
      <c r="W266">
        <v>2.6</v>
      </c>
    </row>
    <row r="267" spans="1:23" x14ac:dyDescent="0.35">
      <c r="A267">
        <v>10266</v>
      </c>
      <c r="B267" t="s">
        <v>26</v>
      </c>
      <c r="C267" t="s">
        <v>33</v>
      </c>
      <c r="D267" t="s">
        <v>39</v>
      </c>
      <c r="E267">
        <v>73246</v>
      </c>
      <c r="F267">
        <f ca="1">DATEDIF(Table1[[#This Row],[Hire Date]], TODAY(), "Y")</f>
        <v>25</v>
      </c>
      <c r="G267" s="7">
        <f ca="1">YEARFRAC(Table1[[#This Row],[Hire Date]], TODAY())</f>
        <v>25.397222222222222</v>
      </c>
      <c r="H267" s="7">
        <v>36767</v>
      </c>
      <c r="I267">
        <v>25</v>
      </c>
      <c r="J267" t="s">
        <v>43</v>
      </c>
      <c r="K267">
        <v>7</v>
      </c>
      <c r="L267" t="s">
        <v>45</v>
      </c>
      <c r="M267">
        <v>4615.9399999999996</v>
      </c>
      <c r="N267" t="s">
        <v>49</v>
      </c>
      <c r="O267" t="s">
        <v>50</v>
      </c>
      <c r="P267">
        <v>33</v>
      </c>
      <c r="Q267" t="s">
        <v>55</v>
      </c>
      <c r="R267" t="s">
        <v>63</v>
      </c>
      <c r="S267">
        <v>11</v>
      </c>
      <c r="T267">
        <v>2018</v>
      </c>
      <c r="U267" t="s">
        <v>64</v>
      </c>
      <c r="V267">
        <v>15</v>
      </c>
      <c r="W267">
        <v>1.4</v>
      </c>
    </row>
    <row r="268" spans="1:23" x14ac:dyDescent="0.35">
      <c r="A268">
        <v>10267</v>
      </c>
      <c r="B268" t="s">
        <v>22</v>
      </c>
      <c r="C268" t="s">
        <v>32</v>
      </c>
      <c r="D268" t="s">
        <v>38</v>
      </c>
      <c r="E268">
        <v>85598</v>
      </c>
      <c r="F268">
        <f ca="1">DATEDIF(Table1[[#This Row],[Hire Date]], TODAY(), "Y")</f>
        <v>12</v>
      </c>
      <c r="G268" s="7">
        <f ca="1">YEARFRAC(Table1[[#This Row],[Hire Date]], TODAY())</f>
        <v>12.927777777777777</v>
      </c>
      <c r="H268" s="7">
        <v>41323</v>
      </c>
      <c r="I268">
        <v>22</v>
      </c>
      <c r="J268" t="s">
        <v>43</v>
      </c>
      <c r="K268">
        <v>7</v>
      </c>
      <c r="L268" t="s">
        <v>44</v>
      </c>
      <c r="M268">
        <v>4136.33</v>
      </c>
      <c r="N268" t="s">
        <v>49</v>
      </c>
      <c r="O268" t="s">
        <v>54</v>
      </c>
      <c r="P268">
        <v>33</v>
      </c>
      <c r="Q268" t="s">
        <v>57</v>
      </c>
      <c r="R268" t="s">
        <v>62</v>
      </c>
      <c r="S268">
        <v>8</v>
      </c>
      <c r="T268">
        <v>2015</v>
      </c>
      <c r="U268" t="s">
        <v>66</v>
      </c>
      <c r="V268">
        <v>145</v>
      </c>
      <c r="W268">
        <v>4.5</v>
      </c>
    </row>
    <row r="269" spans="1:23" x14ac:dyDescent="0.35">
      <c r="A269">
        <v>10268</v>
      </c>
      <c r="B269" t="s">
        <v>25</v>
      </c>
      <c r="C269" t="s">
        <v>35</v>
      </c>
      <c r="D269" t="s">
        <v>41</v>
      </c>
      <c r="E269">
        <v>32654</v>
      </c>
      <c r="F269">
        <f ca="1">DATEDIF(Table1[[#This Row],[Hire Date]], TODAY(), "Y")</f>
        <v>17</v>
      </c>
      <c r="G269" s="7">
        <f ca="1">YEARFRAC(Table1[[#This Row],[Hire Date]], TODAY())</f>
        <v>17.983333333333334</v>
      </c>
      <c r="H269" s="7">
        <v>39475</v>
      </c>
      <c r="I269">
        <v>31</v>
      </c>
      <c r="J269" t="s">
        <v>42</v>
      </c>
      <c r="K269">
        <v>1</v>
      </c>
      <c r="L269" t="s">
        <v>45</v>
      </c>
      <c r="M269">
        <v>1513.78</v>
      </c>
      <c r="N269" t="s">
        <v>48</v>
      </c>
      <c r="O269" t="s">
        <v>53</v>
      </c>
      <c r="P269">
        <v>5</v>
      </c>
      <c r="Q269" t="s">
        <v>56</v>
      </c>
      <c r="R269" t="s">
        <v>63</v>
      </c>
      <c r="S269">
        <v>5</v>
      </c>
      <c r="T269">
        <v>2018</v>
      </c>
      <c r="U269" t="s">
        <v>66</v>
      </c>
      <c r="V269">
        <v>73</v>
      </c>
      <c r="W269">
        <v>4.7</v>
      </c>
    </row>
    <row r="270" spans="1:23" x14ac:dyDescent="0.35">
      <c r="A270">
        <v>10269</v>
      </c>
      <c r="B270" t="s">
        <v>21</v>
      </c>
      <c r="C270" t="s">
        <v>32</v>
      </c>
      <c r="D270" t="s">
        <v>37</v>
      </c>
      <c r="E270">
        <v>63758</v>
      </c>
      <c r="F270">
        <f ca="1">DATEDIF(Table1[[#This Row],[Hire Date]], TODAY(), "Y")</f>
        <v>12</v>
      </c>
      <c r="G270" s="7">
        <f ca="1">YEARFRAC(Table1[[#This Row],[Hire Date]], TODAY())</f>
        <v>12.813888888888888</v>
      </c>
      <c r="H270" s="7">
        <v>41362</v>
      </c>
      <c r="I270">
        <v>36</v>
      </c>
      <c r="J270" t="s">
        <v>43</v>
      </c>
      <c r="K270">
        <v>5</v>
      </c>
      <c r="L270" t="s">
        <v>44</v>
      </c>
      <c r="M270">
        <v>1775.22</v>
      </c>
      <c r="N270" t="s">
        <v>48</v>
      </c>
      <c r="O270" t="s">
        <v>50</v>
      </c>
      <c r="P270">
        <v>21</v>
      </c>
      <c r="Q270" t="s">
        <v>57</v>
      </c>
      <c r="R270" t="s">
        <v>59</v>
      </c>
      <c r="S270">
        <v>11</v>
      </c>
      <c r="T270">
        <v>2013</v>
      </c>
      <c r="U270" t="s">
        <v>64</v>
      </c>
      <c r="V270">
        <v>25</v>
      </c>
      <c r="W270">
        <v>2.9</v>
      </c>
    </row>
    <row r="271" spans="1:23" x14ac:dyDescent="0.35">
      <c r="A271">
        <v>10270</v>
      </c>
      <c r="B271" t="s">
        <v>24</v>
      </c>
      <c r="C271" t="s">
        <v>32</v>
      </c>
      <c r="D271" t="s">
        <v>41</v>
      </c>
      <c r="E271">
        <v>54204</v>
      </c>
      <c r="F271">
        <f ca="1">DATEDIF(Table1[[#This Row],[Hire Date]], TODAY(), "Y")</f>
        <v>9</v>
      </c>
      <c r="G271" s="7">
        <f ca="1">YEARFRAC(Table1[[#This Row],[Hire Date]], TODAY())</f>
        <v>9.0611111111111118</v>
      </c>
      <c r="H271" s="7">
        <v>42735</v>
      </c>
      <c r="I271">
        <v>57</v>
      </c>
      <c r="J271" t="s">
        <v>42</v>
      </c>
      <c r="K271">
        <v>7</v>
      </c>
      <c r="L271" t="s">
        <v>45</v>
      </c>
      <c r="M271">
        <v>8451.39</v>
      </c>
      <c r="N271" t="s">
        <v>47</v>
      </c>
      <c r="O271" t="s">
        <v>54</v>
      </c>
      <c r="P271">
        <v>27</v>
      </c>
      <c r="Q271" t="s">
        <v>56</v>
      </c>
      <c r="R271" t="s">
        <v>58</v>
      </c>
      <c r="S271">
        <v>17</v>
      </c>
      <c r="T271">
        <v>2019</v>
      </c>
      <c r="U271" t="s">
        <v>64</v>
      </c>
      <c r="V271">
        <v>7</v>
      </c>
      <c r="W271">
        <v>2.7</v>
      </c>
    </row>
    <row r="272" spans="1:23" x14ac:dyDescent="0.35">
      <c r="A272">
        <v>10271</v>
      </c>
      <c r="B272" t="s">
        <v>27</v>
      </c>
      <c r="C272" t="s">
        <v>31</v>
      </c>
      <c r="D272" t="s">
        <v>39</v>
      </c>
      <c r="E272">
        <v>64928</v>
      </c>
      <c r="F272">
        <f ca="1">DATEDIF(Table1[[#This Row],[Hire Date]], TODAY(), "Y")</f>
        <v>6</v>
      </c>
      <c r="G272" s="7">
        <f ca="1">YEARFRAC(Table1[[#This Row],[Hire Date]], TODAY())</f>
        <v>6.5750000000000002</v>
      </c>
      <c r="H272" s="7">
        <v>43641</v>
      </c>
      <c r="I272">
        <v>50</v>
      </c>
      <c r="J272" t="s">
        <v>43</v>
      </c>
      <c r="K272">
        <v>2</v>
      </c>
      <c r="L272" t="s">
        <v>44</v>
      </c>
      <c r="M272">
        <v>7622.66</v>
      </c>
      <c r="N272" t="s">
        <v>47</v>
      </c>
      <c r="O272" t="s">
        <v>53</v>
      </c>
      <c r="P272">
        <v>1</v>
      </c>
      <c r="Q272" t="s">
        <v>57</v>
      </c>
      <c r="R272" t="s">
        <v>60</v>
      </c>
      <c r="S272">
        <v>4</v>
      </c>
      <c r="T272">
        <v>2011</v>
      </c>
      <c r="U272" t="s">
        <v>65</v>
      </c>
      <c r="V272">
        <v>158</v>
      </c>
      <c r="W272">
        <v>3.2</v>
      </c>
    </row>
    <row r="273" spans="1:23" x14ac:dyDescent="0.35">
      <c r="A273">
        <v>10272</v>
      </c>
      <c r="B273" t="s">
        <v>25</v>
      </c>
      <c r="C273" t="s">
        <v>30</v>
      </c>
      <c r="D273" t="s">
        <v>40</v>
      </c>
      <c r="E273">
        <v>83609</v>
      </c>
      <c r="F273">
        <f ca="1">DATEDIF(Table1[[#This Row],[Hire Date]], TODAY(), "Y")</f>
        <v>8</v>
      </c>
      <c r="G273" s="7">
        <f ca="1">YEARFRAC(Table1[[#This Row],[Hire Date]], TODAY())</f>
        <v>8.2055555555555557</v>
      </c>
      <c r="H273" s="7">
        <v>43047</v>
      </c>
      <c r="I273">
        <v>26</v>
      </c>
      <c r="J273" t="s">
        <v>43</v>
      </c>
      <c r="K273">
        <v>6</v>
      </c>
      <c r="L273" t="s">
        <v>45</v>
      </c>
      <c r="M273">
        <v>4132.24</v>
      </c>
      <c r="N273" t="s">
        <v>46</v>
      </c>
      <c r="O273" t="s">
        <v>50</v>
      </c>
      <c r="P273">
        <v>16</v>
      </c>
      <c r="Q273" t="s">
        <v>56</v>
      </c>
      <c r="R273" t="s">
        <v>58</v>
      </c>
      <c r="S273">
        <v>16</v>
      </c>
      <c r="T273">
        <v>2022</v>
      </c>
      <c r="U273" t="s">
        <v>64</v>
      </c>
      <c r="V273">
        <v>165</v>
      </c>
      <c r="W273">
        <v>1.9</v>
      </c>
    </row>
    <row r="274" spans="1:23" x14ac:dyDescent="0.35">
      <c r="A274">
        <v>10273</v>
      </c>
      <c r="B274" t="s">
        <v>25</v>
      </c>
      <c r="C274" t="s">
        <v>35</v>
      </c>
      <c r="D274" t="s">
        <v>36</v>
      </c>
      <c r="E274">
        <v>60552</v>
      </c>
      <c r="F274">
        <f ca="1">DATEDIF(Table1[[#This Row],[Hire Date]], TODAY(), "Y")</f>
        <v>8</v>
      </c>
      <c r="G274" s="7">
        <f ca="1">YEARFRAC(Table1[[#This Row],[Hire Date]], TODAY())</f>
        <v>8.1777777777777771</v>
      </c>
      <c r="H274" s="7">
        <v>43057</v>
      </c>
      <c r="I274">
        <v>50</v>
      </c>
      <c r="J274" t="s">
        <v>42</v>
      </c>
      <c r="K274">
        <v>2</v>
      </c>
      <c r="L274" t="s">
        <v>44</v>
      </c>
      <c r="M274">
        <v>8370.6200000000008</v>
      </c>
      <c r="N274" t="s">
        <v>49</v>
      </c>
      <c r="O274" t="s">
        <v>50</v>
      </c>
      <c r="P274">
        <v>35</v>
      </c>
      <c r="Q274" t="s">
        <v>55</v>
      </c>
      <c r="R274" t="s">
        <v>61</v>
      </c>
      <c r="S274">
        <v>15</v>
      </c>
      <c r="T274">
        <v>2023</v>
      </c>
      <c r="U274" t="s">
        <v>66</v>
      </c>
      <c r="V274">
        <v>98</v>
      </c>
      <c r="W274">
        <v>2.2000000000000002</v>
      </c>
    </row>
    <row r="275" spans="1:23" x14ac:dyDescent="0.35">
      <c r="A275">
        <v>10274</v>
      </c>
      <c r="B275" t="s">
        <v>25</v>
      </c>
      <c r="C275" t="s">
        <v>33</v>
      </c>
      <c r="D275" t="s">
        <v>38</v>
      </c>
      <c r="E275">
        <v>40336</v>
      </c>
      <c r="F275">
        <f ca="1">DATEDIF(Table1[[#This Row],[Hire Date]], TODAY(), "Y")</f>
        <v>9</v>
      </c>
      <c r="G275" s="7">
        <f ca="1">YEARFRAC(Table1[[#This Row],[Hire Date]], TODAY())</f>
        <v>9.875</v>
      </c>
      <c r="H275" s="7">
        <v>42436</v>
      </c>
      <c r="I275">
        <v>48</v>
      </c>
      <c r="J275" t="s">
        <v>42</v>
      </c>
      <c r="K275">
        <v>3</v>
      </c>
      <c r="L275" t="s">
        <v>45</v>
      </c>
      <c r="M275">
        <v>1267.28</v>
      </c>
      <c r="N275" t="s">
        <v>48</v>
      </c>
      <c r="O275" t="s">
        <v>53</v>
      </c>
      <c r="P275">
        <v>36</v>
      </c>
      <c r="Q275" t="s">
        <v>57</v>
      </c>
      <c r="R275" t="s">
        <v>61</v>
      </c>
      <c r="S275">
        <v>11</v>
      </c>
      <c r="T275">
        <v>2018</v>
      </c>
      <c r="U275" t="s">
        <v>66</v>
      </c>
      <c r="V275">
        <v>26</v>
      </c>
      <c r="W275">
        <v>1.4</v>
      </c>
    </row>
    <row r="276" spans="1:23" x14ac:dyDescent="0.35">
      <c r="A276">
        <v>10275</v>
      </c>
      <c r="B276" t="s">
        <v>28</v>
      </c>
      <c r="C276" t="s">
        <v>33</v>
      </c>
      <c r="D276" t="s">
        <v>40</v>
      </c>
      <c r="E276">
        <v>77037</v>
      </c>
      <c r="F276">
        <f ca="1">DATEDIF(Table1[[#This Row],[Hire Date]], TODAY(), "Y")</f>
        <v>12</v>
      </c>
      <c r="G276" s="7">
        <f ca="1">YEARFRAC(Table1[[#This Row],[Hire Date]], TODAY())</f>
        <v>12.705555555555556</v>
      </c>
      <c r="H276" s="7">
        <v>41402</v>
      </c>
      <c r="I276">
        <v>46</v>
      </c>
      <c r="J276" t="s">
        <v>42</v>
      </c>
      <c r="K276">
        <v>1</v>
      </c>
      <c r="L276" t="s">
        <v>45</v>
      </c>
      <c r="M276">
        <v>6435.35</v>
      </c>
      <c r="N276" t="s">
        <v>46</v>
      </c>
      <c r="O276" t="s">
        <v>50</v>
      </c>
      <c r="P276">
        <v>32</v>
      </c>
      <c r="Q276" t="s">
        <v>56</v>
      </c>
      <c r="R276" t="s">
        <v>63</v>
      </c>
      <c r="S276">
        <v>1</v>
      </c>
      <c r="T276">
        <v>2019</v>
      </c>
      <c r="U276" t="s">
        <v>64</v>
      </c>
      <c r="V276">
        <v>66</v>
      </c>
      <c r="W276">
        <v>2.8</v>
      </c>
    </row>
    <row r="277" spans="1:23" x14ac:dyDescent="0.35">
      <c r="A277">
        <v>10276</v>
      </c>
      <c r="B277" t="s">
        <v>22</v>
      </c>
      <c r="C277" t="s">
        <v>34</v>
      </c>
      <c r="D277" t="s">
        <v>37</v>
      </c>
      <c r="E277">
        <v>46206</v>
      </c>
      <c r="F277">
        <f ca="1">DATEDIF(Table1[[#This Row],[Hire Date]], TODAY(), "Y")</f>
        <v>19</v>
      </c>
      <c r="G277" s="7">
        <f ca="1">YEARFRAC(Table1[[#This Row],[Hire Date]], TODAY())</f>
        <v>19.877777777777776</v>
      </c>
      <c r="H277" s="7">
        <v>38782</v>
      </c>
      <c r="I277">
        <v>37</v>
      </c>
      <c r="J277" t="s">
        <v>43</v>
      </c>
      <c r="K277">
        <v>3</v>
      </c>
      <c r="L277" t="s">
        <v>44</v>
      </c>
      <c r="M277">
        <v>8747.67</v>
      </c>
      <c r="N277" t="s">
        <v>47</v>
      </c>
      <c r="O277" t="s">
        <v>54</v>
      </c>
      <c r="P277">
        <v>29</v>
      </c>
      <c r="Q277" t="s">
        <v>56</v>
      </c>
      <c r="R277" t="s">
        <v>63</v>
      </c>
      <c r="S277">
        <v>15</v>
      </c>
      <c r="T277">
        <v>2021</v>
      </c>
      <c r="U277" t="s">
        <v>65</v>
      </c>
      <c r="V277">
        <v>9</v>
      </c>
      <c r="W277">
        <v>3.4</v>
      </c>
    </row>
    <row r="278" spans="1:23" x14ac:dyDescent="0.35">
      <c r="A278">
        <v>10277</v>
      </c>
      <c r="B278" t="s">
        <v>28</v>
      </c>
      <c r="C278" t="s">
        <v>29</v>
      </c>
      <c r="D278" t="s">
        <v>40</v>
      </c>
      <c r="E278">
        <v>64831</v>
      </c>
      <c r="F278">
        <f ca="1">DATEDIF(Table1[[#This Row],[Hire Date]], TODAY(), "Y")</f>
        <v>14</v>
      </c>
      <c r="G278" s="7">
        <f ca="1">YEARFRAC(Table1[[#This Row],[Hire Date]], TODAY())</f>
        <v>14.8</v>
      </c>
      <c r="H278" s="7">
        <v>40637</v>
      </c>
      <c r="I278">
        <v>37</v>
      </c>
      <c r="J278" t="s">
        <v>43</v>
      </c>
      <c r="K278">
        <v>7</v>
      </c>
      <c r="L278" t="s">
        <v>44</v>
      </c>
      <c r="M278">
        <v>8469.2099999999991</v>
      </c>
      <c r="N278" t="s">
        <v>49</v>
      </c>
      <c r="O278" t="s">
        <v>54</v>
      </c>
      <c r="P278">
        <v>39</v>
      </c>
      <c r="Q278" t="s">
        <v>56</v>
      </c>
      <c r="R278" t="s">
        <v>62</v>
      </c>
      <c r="S278">
        <v>0</v>
      </c>
      <c r="T278">
        <v>2023</v>
      </c>
      <c r="U278" t="s">
        <v>66</v>
      </c>
      <c r="V278">
        <v>151</v>
      </c>
      <c r="W278">
        <v>4.7</v>
      </c>
    </row>
    <row r="279" spans="1:23" x14ac:dyDescent="0.35">
      <c r="A279">
        <v>10278</v>
      </c>
      <c r="B279" t="s">
        <v>27</v>
      </c>
      <c r="C279" t="s">
        <v>34</v>
      </c>
      <c r="D279" t="s">
        <v>40</v>
      </c>
      <c r="E279">
        <v>73563</v>
      </c>
      <c r="F279">
        <f ca="1">DATEDIF(Table1[[#This Row],[Hire Date]], TODAY(), "Y")</f>
        <v>16</v>
      </c>
      <c r="G279" s="7">
        <f ca="1">YEARFRAC(Table1[[#This Row],[Hire Date]], TODAY())</f>
        <v>16.833333333333332</v>
      </c>
      <c r="H279" s="7">
        <v>39894</v>
      </c>
      <c r="I279">
        <v>57</v>
      </c>
      <c r="J279" t="s">
        <v>43</v>
      </c>
      <c r="K279">
        <v>5</v>
      </c>
      <c r="L279" t="s">
        <v>44</v>
      </c>
      <c r="M279">
        <v>4041.44</v>
      </c>
      <c r="N279" t="s">
        <v>46</v>
      </c>
      <c r="O279" t="s">
        <v>50</v>
      </c>
      <c r="P279">
        <v>23</v>
      </c>
      <c r="Q279" t="s">
        <v>56</v>
      </c>
      <c r="R279" t="s">
        <v>58</v>
      </c>
      <c r="S279">
        <v>19</v>
      </c>
      <c r="T279">
        <v>2013</v>
      </c>
      <c r="U279" t="s">
        <v>65</v>
      </c>
      <c r="V279">
        <v>13</v>
      </c>
      <c r="W279">
        <v>4</v>
      </c>
    </row>
    <row r="280" spans="1:23" x14ac:dyDescent="0.35">
      <c r="A280">
        <v>10279</v>
      </c>
      <c r="B280" t="s">
        <v>28</v>
      </c>
      <c r="C280" t="s">
        <v>34</v>
      </c>
      <c r="D280" t="s">
        <v>37</v>
      </c>
      <c r="E280">
        <v>48361</v>
      </c>
      <c r="F280">
        <f ca="1">DATEDIF(Table1[[#This Row],[Hire Date]], TODAY(), "Y")</f>
        <v>12</v>
      </c>
      <c r="G280" s="7">
        <f ca="1">YEARFRAC(Table1[[#This Row],[Hire Date]], TODAY())</f>
        <v>12.147222222222222</v>
      </c>
      <c r="H280" s="7">
        <v>41607</v>
      </c>
      <c r="I280">
        <v>46</v>
      </c>
      <c r="J280" t="s">
        <v>43</v>
      </c>
      <c r="K280">
        <v>4</v>
      </c>
      <c r="L280" t="s">
        <v>45</v>
      </c>
      <c r="M280">
        <v>7579.72</v>
      </c>
      <c r="N280" t="s">
        <v>49</v>
      </c>
      <c r="O280" t="s">
        <v>52</v>
      </c>
      <c r="P280">
        <v>15</v>
      </c>
      <c r="Q280" t="s">
        <v>55</v>
      </c>
      <c r="R280" t="s">
        <v>63</v>
      </c>
      <c r="S280">
        <v>1</v>
      </c>
      <c r="T280">
        <v>2020</v>
      </c>
      <c r="U280" t="s">
        <v>64</v>
      </c>
      <c r="V280">
        <v>62</v>
      </c>
      <c r="W280">
        <v>3.9</v>
      </c>
    </row>
    <row r="281" spans="1:23" x14ac:dyDescent="0.35">
      <c r="A281">
        <v>10280</v>
      </c>
      <c r="B281" t="s">
        <v>26</v>
      </c>
      <c r="C281" t="s">
        <v>33</v>
      </c>
      <c r="D281" t="s">
        <v>40</v>
      </c>
      <c r="E281">
        <v>71335</v>
      </c>
      <c r="F281">
        <f ca="1">DATEDIF(Table1[[#This Row],[Hire Date]], TODAY(), "Y")</f>
        <v>25</v>
      </c>
      <c r="G281" s="7">
        <f ca="1">YEARFRAC(Table1[[#This Row],[Hire Date]], TODAY())</f>
        <v>25.058333333333334</v>
      </c>
      <c r="H281" s="7">
        <v>36892</v>
      </c>
      <c r="I281">
        <v>62</v>
      </c>
      <c r="J281" t="s">
        <v>42</v>
      </c>
      <c r="K281">
        <v>8</v>
      </c>
      <c r="L281" t="s">
        <v>45</v>
      </c>
      <c r="M281">
        <v>4560.95</v>
      </c>
      <c r="N281" t="s">
        <v>46</v>
      </c>
      <c r="O281" t="s">
        <v>53</v>
      </c>
      <c r="P281">
        <v>26</v>
      </c>
      <c r="Q281" t="s">
        <v>56</v>
      </c>
      <c r="R281" t="s">
        <v>59</v>
      </c>
      <c r="S281">
        <v>12</v>
      </c>
      <c r="T281">
        <v>2011</v>
      </c>
      <c r="U281" t="s">
        <v>65</v>
      </c>
      <c r="V281">
        <v>28</v>
      </c>
      <c r="W281">
        <v>2.2000000000000002</v>
      </c>
    </row>
    <row r="282" spans="1:23" x14ac:dyDescent="0.35">
      <c r="A282">
        <v>10281</v>
      </c>
      <c r="B282" t="s">
        <v>22</v>
      </c>
      <c r="C282" t="s">
        <v>31</v>
      </c>
      <c r="D282" t="s">
        <v>38</v>
      </c>
      <c r="E282">
        <v>104469</v>
      </c>
      <c r="F282">
        <f ca="1">DATEDIF(Table1[[#This Row],[Hire Date]], TODAY(), "Y")</f>
        <v>18</v>
      </c>
      <c r="G282" s="7">
        <f ca="1">YEARFRAC(Table1[[#This Row],[Hire Date]], TODAY())</f>
        <v>18.316666666666666</v>
      </c>
      <c r="H282" s="7">
        <v>39353</v>
      </c>
      <c r="I282">
        <v>22</v>
      </c>
      <c r="J282" t="s">
        <v>43</v>
      </c>
      <c r="K282">
        <v>8</v>
      </c>
      <c r="L282" t="s">
        <v>45</v>
      </c>
      <c r="M282">
        <v>8481.31</v>
      </c>
      <c r="N282" t="s">
        <v>49</v>
      </c>
      <c r="O282" t="s">
        <v>52</v>
      </c>
      <c r="P282">
        <v>37</v>
      </c>
      <c r="Q282" t="s">
        <v>55</v>
      </c>
      <c r="R282" t="s">
        <v>63</v>
      </c>
      <c r="S282">
        <v>15</v>
      </c>
      <c r="T282">
        <v>2016</v>
      </c>
      <c r="U282" t="s">
        <v>66</v>
      </c>
      <c r="V282">
        <v>171</v>
      </c>
      <c r="W282">
        <v>4.5999999999999996</v>
      </c>
    </row>
    <row r="283" spans="1:23" x14ac:dyDescent="0.35">
      <c r="A283">
        <v>10282</v>
      </c>
      <c r="B283" t="s">
        <v>22</v>
      </c>
      <c r="C283" t="s">
        <v>32</v>
      </c>
      <c r="D283" t="s">
        <v>39</v>
      </c>
      <c r="E283">
        <v>55816</v>
      </c>
      <c r="F283">
        <f ca="1">DATEDIF(Table1[[#This Row],[Hire Date]], TODAY(), "Y")</f>
        <v>22</v>
      </c>
      <c r="G283" s="7">
        <f ca="1">YEARFRAC(Table1[[#This Row],[Hire Date]], TODAY())</f>
        <v>22.627777777777776</v>
      </c>
      <c r="H283" s="7">
        <v>37778</v>
      </c>
      <c r="I283">
        <v>26</v>
      </c>
      <c r="J283" t="s">
        <v>42</v>
      </c>
      <c r="K283">
        <v>1</v>
      </c>
      <c r="L283" t="s">
        <v>44</v>
      </c>
      <c r="M283">
        <v>5542.24</v>
      </c>
      <c r="N283" t="s">
        <v>49</v>
      </c>
      <c r="O283" t="s">
        <v>54</v>
      </c>
      <c r="P283">
        <v>25</v>
      </c>
      <c r="Q283" t="s">
        <v>56</v>
      </c>
      <c r="R283" t="s">
        <v>59</v>
      </c>
      <c r="S283">
        <v>0</v>
      </c>
      <c r="T283">
        <v>2016</v>
      </c>
      <c r="U283" t="s">
        <v>64</v>
      </c>
      <c r="V283">
        <v>65</v>
      </c>
      <c r="W283">
        <v>4.8</v>
      </c>
    </row>
    <row r="284" spans="1:23" x14ac:dyDescent="0.35">
      <c r="A284">
        <v>10283</v>
      </c>
      <c r="B284" t="s">
        <v>27</v>
      </c>
      <c r="C284" t="s">
        <v>30</v>
      </c>
      <c r="D284" t="s">
        <v>41</v>
      </c>
      <c r="E284">
        <v>45619</v>
      </c>
      <c r="F284">
        <f ca="1">DATEDIF(Table1[[#This Row],[Hire Date]], TODAY(), "Y")</f>
        <v>19</v>
      </c>
      <c r="G284" s="7">
        <f ca="1">YEARFRAC(Table1[[#This Row],[Hire Date]], TODAY())</f>
        <v>19.247222222222224</v>
      </c>
      <c r="H284" s="7">
        <v>39013</v>
      </c>
      <c r="I284">
        <v>62</v>
      </c>
      <c r="J284" t="s">
        <v>43</v>
      </c>
      <c r="K284">
        <v>9</v>
      </c>
      <c r="L284" t="s">
        <v>45</v>
      </c>
      <c r="M284">
        <v>7766.14</v>
      </c>
      <c r="N284" t="s">
        <v>48</v>
      </c>
      <c r="O284" t="s">
        <v>50</v>
      </c>
      <c r="P284">
        <v>2</v>
      </c>
      <c r="Q284" t="s">
        <v>55</v>
      </c>
      <c r="R284" t="s">
        <v>63</v>
      </c>
      <c r="S284">
        <v>18</v>
      </c>
      <c r="T284">
        <v>2014</v>
      </c>
      <c r="U284" t="s">
        <v>66</v>
      </c>
      <c r="V284">
        <v>131</v>
      </c>
      <c r="W284">
        <v>4.7</v>
      </c>
    </row>
    <row r="285" spans="1:23" x14ac:dyDescent="0.35">
      <c r="A285">
        <v>10284</v>
      </c>
      <c r="B285" t="s">
        <v>21</v>
      </c>
      <c r="C285" t="s">
        <v>32</v>
      </c>
      <c r="D285" t="s">
        <v>40</v>
      </c>
      <c r="E285">
        <v>56819</v>
      </c>
      <c r="F285">
        <f ca="1">DATEDIF(Table1[[#This Row],[Hire Date]], TODAY(), "Y")</f>
        <v>12</v>
      </c>
      <c r="G285" s="7">
        <f ca="1">YEARFRAC(Table1[[#This Row],[Hire Date]], TODAY())</f>
        <v>12.96111111111111</v>
      </c>
      <c r="H285" s="7">
        <v>41311</v>
      </c>
      <c r="I285">
        <v>41</v>
      </c>
      <c r="J285" t="s">
        <v>42</v>
      </c>
      <c r="K285">
        <v>9</v>
      </c>
      <c r="L285" t="s">
        <v>44</v>
      </c>
      <c r="M285">
        <v>1246.43</v>
      </c>
      <c r="N285" t="s">
        <v>49</v>
      </c>
      <c r="O285" t="s">
        <v>51</v>
      </c>
      <c r="P285">
        <v>12</v>
      </c>
      <c r="Q285" t="s">
        <v>55</v>
      </c>
      <c r="R285" t="s">
        <v>60</v>
      </c>
      <c r="S285">
        <v>3</v>
      </c>
      <c r="T285">
        <v>2014</v>
      </c>
      <c r="U285" t="s">
        <v>66</v>
      </c>
      <c r="V285">
        <v>52</v>
      </c>
      <c r="W285">
        <v>1.2</v>
      </c>
    </row>
    <row r="286" spans="1:23" x14ac:dyDescent="0.35">
      <c r="A286">
        <v>10285</v>
      </c>
      <c r="B286" t="s">
        <v>26</v>
      </c>
      <c r="C286" t="s">
        <v>32</v>
      </c>
      <c r="D286" t="s">
        <v>38</v>
      </c>
      <c r="E286">
        <v>41741</v>
      </c>
      <c r="F286">
        <f ca="1">DATEDIF(Table1[[#This Row],[Hire Date]], TODAY(), "Y")</f>
        <v>16</v>
      </c>
      <c r="G286" s="7">
        <f ca="1">YEARFRAC(Table1[[#This Row],[Hire Date]], TODAY())</f>
        <v>16.194444444444443</v>
      </c>
      <c r="H286" s="7">
        <v>40129</v>
      </c>
      <c r="I286">
        <v>26</v>
      </c>
      <c r="J286" t="s">
        <v>42</v>
      </c>
      <c r="K286">
        <v>2</v>
      </c>
      <c r="L286" t="s">
        <v>45</v>
      </c>
      <c r="M286">
        <v>6105.25</v>
      </c>
      <c r="N286" t="s">
        <v>47</v>
      </c>
      <c r="O286" t="s">
        <v>51</v>
      </c>
      <c r="P286">
        <v>19</v>
      </c>
      <c r="Q286" t="s">
        <v>56</v>
      </c>
      <c r="R286" t="s">
        <v>63</v>
      </c>
      <c r="S286">
        <v>19</v>
      </c>
      <c r="T286">
        <v>2017</v>
      </c>
      <c r="U286" t="s">
        <v>64</v>
      </c>
      <c r="V286">
        <v>182</v>
      </c>
      <c r="W286">
        <v>3.4</v>
      </c>
    </row>
    <row r="287" spans="1:23" x14ac:dyDescent="0.35">
      <c r="A287">
        <v>10286</v>
      </c>
      <c r="B287" t="s">
        <v>24</v>
      </c>
      <c r="C287" t="s">
        <v>35</v>
      </c>
      <c r="D287" t="s">
        <v>41</v>
      </c>
      <c r="E287">
        <v>38798</v>
      </c>
      <c r="F287">
        <f ca="1">DATEDIF(Table1[[#This Row],[Hire Date]], TODAY(), "Y")</f>
        <v>16</v>
      </c>
      <c r="G287" s="7">
        <f ca="1">YEARFRAC(Table1[[#This Row],[Hire Date]], TODAY())</f>
        <v>16.416666666666668</v>
      </c>
      <c r="H287" s="7">
        <v>40047</v>
      </c>
      <c r="I287">
        <v>57</v>
      </c>
      <c r="J287" t="s">
        <v>43</v>
      </c>
      <c r="K287">
        <v>2</v>
      </c>
      <c r="L287" t="s">
        <v>45</v>
      </c>
      <c r="M287">
        <v>5727.7</v>
      </c>
      <c r="N287" t="s">
        <v>48</v>
      </c>
      <c r="O287" t="s">
        <v>52</v>
      </c>
      <c r="P287">
        <v>32</v>
      </c>
      <c r="Q287" t="s">
        <v>55</v>
      </c>
      <c r="R287" t="s">
        <v>60</v>
      </c>
      <c r="S287">
        <v>2</v>
      </c>
      <c r="T287">
        <v>2015</v>
      </c>
      <c r="U287" t="s">
        <v>65</v>
      </c>
      <c r="V287">
        <v>66</v>
      </c>
      <c r="W287">
        <v>3.6</v>
      </c>
    </row>
    <row r="288" spans="1:23" x14ac:dyDescent="0.35">
      <c r="A288">
        <v>10287</v>
      </c>
      <c r="B288" t="s">
        <v>28</v>
      </c>
      <c r="C288" t="s">
        <v>33</v>
      </c>
      <c r="D288" t="s">
        <v>41</v>
      </c>
      <c r="E288">
        <v>55143</v>
      </c>
      <c r="F288">
        <f ca="1">DATEDIF(Table1[[#This Row],[Hire Date]], TODAY(), "Y")</f>
        <v>11</v>
      </c>
      <c r="G288" s="7">
        <f ca="1">YEARFRAC(Table1[[#This Row],[Hire Date]], TODAY())</f>
        <v>11.947222222222223</v>
      </c>
      <c r="H288" s="7">
        <v>41681</v>
      </c>
      <c r="I288">
        <v>50</v>
      </c>
      <c r="J288" t="s">
        <v>43</v>
      </c>
      <c r="K288">
        <v>8</v>
      </c>
      <c r="L288" t="s">
        <v>45</v>
      </c>
      <c r="M288">
        <v>6294.78</v>
      </c>
      <c r="N288" t="s">
        <v>49</v>
      </c>
      <c r="O288" t="s">
        <v>52</v>
      </c>
      <c r="P288">
        <v>23</v>
      </c>
      <c r="Q288" t="s">
        <v>57</v>
      </c>
      <c r="R288" t="s">
        <v>61</v>
      </c>
      <c r="S288">
        <v>1</v>
      </c>
      <c r="T288">
        <v>2010</v>
      </c>
      <c r="U288" t="s">
        <v>64</v>
      </c>
      <c r="V288">
        <v>185</v>
      </c>
      <c r="W288">
        <v>2.2000000000000002</v>
      </c>
    </row>
    <row r="289" spans="1:23" x14ac:dyDescent="0.35">
      <c r="A289">
        <v>10288</v>
      </c>
      <c r="B289" t="s">
        <v>23</v>
      </c>
      <c r="C289" t="s">
        <v>30</v>
      </c>
      <c r="D289" t="s">
        <v>40</v>
      </c>
      <c r="E289">
        <v>79695</v>
      </c>
      <c r="F289">
        <f ca="1">DATEDIF(Table1[[#This Row],[Hire Date]], TODAY(), "Y")</f>
        <v>12</v>
      </c>
      <c r="G289" s="7">
        <f ca="1">YEARFRAC(Table1[[#This Row],[Hire Date]], TODAY())</f>
        <v>12.525</v>
      </c>
      <c r="H289" s="7">
        <v>41468</v>
      </c>
      <c r="I289">
        <v>55</v>
      </c>
      <c r="J289" t="s">
        <v>42</v>
      </c>
      <c r="K289">
        <v>6</v>
      </c>
      <c r="L289" t="s">
        <v>44</v>
      </c>
      <c r="M289">
        <v>7108.6</v>
      </c>
      <c r="N289" t="s">
        <v>47</v>
      </c>
      <c r="O289" t="s">
        <v>52</v>
      </c>
      <c r="P289">
        <v>5</v>
      </c>
      <c r="Q289" t="s">
        <v>56</v>
      </c>
      <c r="R289" t="s">
        <v>62</v>
      </c>
      <c r="S289">
        <v>11</v>
      </c>
      <c r="T289">
        <v>2020</v>
      </c>
      <c r="U289" t="s">
        <v>66</v>
      </c>
      <c r="V289">
        <v>153</v>
      </c>
      <c r="W289">
        <v>5</v>
      </c>
    </row>
    <row r="290" spans="1:23" x14ac:dyDescent="0.35">
      <c r="A290">
        <v>10289</v>
      </c>
      <c r="B290" t="s">
        <v>28</v>
      </c>
      <c r="C290" t="s">
        <v>31</v>
      </c>
      <c r="D290" t="s">
        <v>38</v>
      </c>
      <c r="E290">
        <v>62747</v>
      </c>
      <c r="F290">
        <f ca="1">DATEDIF(Table1[[#This Row],[Hire Date]], TODAY(), "Y")</f>
        <v>13</v>
      </c>
      <c r="G290" s="7">
        <f ca="1">YEARFRAC(Table1[[#This Row],[Hire Date]], TODAY())</f>
        <v>13.688888888888888</v>
      </c>
      <c r="H290" s="7">
        <v>41043</v>
      </c>
      <c r="I290">
        <v>39</v>
      </c>
      <c r="J290" t="s">
        <v>43</v>
      </c>
      <c r="K290">
        <v>3</v>
      </c>
      <c r="L290" t="s">
        <v>45</v>
      </c>
      <c r="M290">
        <v>9222.0400000000009</v>
      </c>
      <c r="N290" t="s">
        <v>47</v>
      </c>
      <c r="O290" t="s">
        <v>54</v>
      </c>
      <c r="P290">
        <v>25</v>
      </c>
      <c r="Q290" t="s">
        <v>57</v>
      </c>
      <c r="R290" t="s">
        <v>58</v>
      </c>
      <c r="S290">
        <v>12</v>
      </c>
      <c r="T290">
        <v>2023</v>
      </c>
      <c r="U290" t="s">
        <v>66</v>
      </c>
      <c r="V290">
        <v>42</v>
      </c>
      <c r="W290">
        <v>2.2000000000000002</v>
      </c>
    </row>
    <row r="291" spans="1:23" x14ac:dyDescent="0.35">
      <c r="A291">
        <v>10290</v>
      </c>
      <c r="B291" t="s">
        <v>25</v>
      </c>
      <c r="C291" t="s">
        <v>35</v>
      </c>
      <c r="D291" t="s">
        <v>39</v>
      </c>
      <c r="E291">
        <v>51182</v>
      </c>
      <c r="F291">
        <f ca="1">DATEDIF(Table1[[#This Row],[Hire Date]], TODAY(), "Y")</f>
        <v>21</v>
      </c>
      <c r="G291" s="7">
        <f ca="1">YEARFRAC(Table1[[#This Row],[Hire Date]], TODAY())</f>
        <v>21.558333333333334</v>
      </c>
      <c r="H291" s="7">
        <v>38169</v>
      </c>
      <c r="I291">
        <v>23</v>
      </c>
      <c r="J291" t="s">
        <v>42</v>
      </c>
      <c r="K291">
        <v>2</v>
      </c>
      <c r="L291" t="s">
        <v>45</v>
      </c>
      <c r="M291">
        <v>7963.98</v>
      </c>
      <c r="N291" t="s">
        <v>46</v>
      </c>
      <c r="O291" t="s">
        <v>54</v>
      </c>
      <c r="P291">
        <v>35</v>
      </c>
      <c r="Q291" t="s">
        <v>55</v>
      </c>
      <c r="R291" t="s">
        <v>63</v>
      </c>
      <c r="S291">
        <v>17</v>
      </c>
      <c r="T291">
        <v>2021</v>
      </c>
      <c r="U291" t="s">
        <v>66</v>
      </c>
      <c r="V291">
        <v>122</v>
      </c>
      <c r="W291">
        <v>1.9</v>
      </c>
    </row>
    <row r="292" spans="1:23" x14ac:dyDescent="0.35">
      <c r="A292">
        <v>10291</v>
      </c>
      <c r="B292" t="s">
        <v>28</v>
      </c>
      <c r="C292" t="s">
        <v>29</v>
      </c>
      <c r="D292" t="s">
        <v>40</v>
      </c>
      <c r="E292">
        <v>39415</v>
      </c>
      <c r="F292">
        <f ca="1">DATEDIF(Table1[[#This Row],[Hire Date]], TODAY(), "Y")</f>
        <v>22</v>
      </c>
      <c r="G292" s="7">
        <f ca="1">YEARFRAC(Table1[[#This Row],[Hire Date]], TODAY())</f>
        <v>22.736111111111111</v>
      </c>
      <c r="H292" s="7">
        <v>37738</v>
      </c>
      <c r="I292">
        <v>37</v>
      </c>
      <c r="J292" t="s">
        <v>43</v>
      </c>
      <c r="K292">
        <v>5</v>
      </c>
      <c r="L292" t="s">
        <v>44</v>
      </c>
      <c r="M292">
        <v>2586.56</v>
      </c>
      <c r="N292" t="s">
        <v>48</v>
      </c>
      <c r="O292" t="s">
        <v>50</v>
      </c>
      <c r="P292">
        <v>29</v>
      </c>
      <c r="Q292" t="s">
        <v>55</v>
      </c>
      <c r="R292" t="s">
        <v>60</v>
      </c>
      <c r="S292">
        <v>4</v>
      </c>
      <c r="T292">
        <v>2013</v>
      </c>
      <c r="U292" t="s">
        <v>64</v>
      </c>
      <c r="V292">
        <v>63</v>
      </c>
      <c r="W292">
        <v>2.9</v>
      </c>
    </row>
    <row r="293" spans="1:23" x14ac:dyDescent="0.35">
      <c r="A293">
        <v>10292</v>
      </c>
      <c r="B293" t="s">
        <v>24</v>
      </c>
      <c r="C293" t="s">
        <v>31</v>
      </c>
      <c r="D293" t="s">
        <v>37</v>
      </c>
      <c r="E293">
        <v>41085</v>
      </c>
      <c r="F293">
        <f ca="1">DATEDIF(Table1[[#This Row],[Hire Date]], TODAY(), "Y")</f>
        <v>13</v>
      </c>
      <c r="G293" s="7">
        <f ca="1">YEARFRAC(Table1[[#This Row],[Hire Date]], TODAY())</f>
        <v>13.183333333333334</v>
      </c>
      <c r="H293" s="7">
        <v>41229</v>
      </c>
      <c r="I293">
        <v>50</v>
      </c>
      <c r="J293" t="s">
        <v>43</v>
      </c>
      <c r="K293">
        <v>8</v>
      </c>
      <c r="L293" t="s">
        <v>45</v>
      </c>
      <c r="M293">
        <v>8346.01</v>
      </c>
      <c r="N293" t="s">
        <v>48</v>
      </c>
      <c r="O293" t="s">
        <v>54</v>
      </c>
      <c r="P293">
        <v>38</v>
      </c>
      <c r="Q293" t="s">
        <v>57</v>
      </c>
      <c r="R293" t="s">
        <v>63</v>
      </c>
      <c r="S293">
        <v>11</v>
      </c>
      <c r="T293">
        <v>2010</v>
      </c>
      <c r="U293" t="s">
        <v>64</v>
      </c>
      <c r="V293">
        <v>101</v>
      </c>
      <c r="W293">
        <v>2.2999999999999998</v>
      </c>
    </row>
    <row r="294" spans="1:23" x14ac:dyDescent="0.35">
      <c r="A294">
        <v>10293</v>
      </c>
      <c r="B294" t="s">
        <v>28</v>
      </c>
      <c r="C294" t="s">
        <v>34</v>
      </c>
      <c r="D294" t="s">
        <v>41</v>
      </c>
      <c r="E294">
        <v>45008</v>
      </c>
      <c r="F294">
        <f ca="1">DATEDIF(Table1[[#This Row],[Hire Date]], TODAY(), "Y")</f>
        <v>11</v>
      </c>
      <c r="G294" s="7">
        <f ca="1">YEARFRAC(Table1[[#This Row],[Hire Date]], TODAY())</f>
        <v>11.180555555555555</v>
      </c>
      <c r="H294" s="7">
        <v>41960</v>
      </c>
      <c r="I294">
        <v>54</v>
      </c>
      <c r="J294" t="s">
        <v>43</v>
      </c>
      <c r="K294">
        <v>6</v>
      </c>
      <c r="L294" t="s">
        <v>44</v>
      </c>
      <c r="M294">
        <v>1659.76</v>
      </c>
      <c r="N294" t="s">
        <v>46</v>
      </c>
      <c r="O294" t="s">
        <v>50</v>
      </c>
      <c r="P294">
        <v>20</v>
      </c>
      <c r="Q294" t="s">
        <v>56</v>
      </c>
      <c r="R294" t="s">
        <v>63</v>
      </c>
      <c r="S294">
        <v>18</v>
      </c>
      <c r="T294">
        <v>2014</v>
      </c>
      <c r="U294" t="s">
        <v>64</v>
      </c>
      <c r="V294">
        <v>175</v>
      </c>
      <c r="W294">
        <v>4.7</v>
      </c>
    </row>
    <row r="295" spans="1:23" x14ac:dyDescent="0.35">
      <c r="A295">
        <v>10294</v>
      </c>
      <c r="B295" t="s">
        <v>26</v>
      </c>
      <c r="C295" t="s">
        <v>31</v>
      </c>
      <c r="D295" t="s">
        <v>40</v>
      </c>
      <c r="E295">
        <v>117638</v>
      </c>
      <c r="F295">
        <f ca="1">DATEDIF(Table1[[#This Row],[Hire Date]], TODAY(), "Y")</f>
        <v>26</v>
      </c>
      <c r="G295" s="7">
        <f ca="1">YEARFRAC(Table1[[#This Row],[Hire Date]], TODAY())</f>
        <v>26.005555555555556</v>
      </c>
      <c r="H295" s="7">
        <v>36545</v>
      </c>
      <c r="I295">
        <v>37</v>
      </c>
      <c r="J295" t="s">
        <v>43</v>
      </c>
      <c r="K295">
        <v>3</v>
      </c>
      <c r="L295" t="s">
        <v>45</v>
      </c>
      <c r="M295">
        <v>6410.89</v>
      </c>
      <c r="N295" t="s">
        <v>46</v>
      </c>
      <c r="O295" t="s">
        <v>50</v>
      </c>
      <c r="P295">
        <v>36</v>
      </c>
      <c r="Q295" t="s">
        <v>57</v>
      </c>
      <c r="R295" t="s">
        <v>60</v>
      </c>
      <c r="S295">
        <v>0</v>
      </c>
      <c r="T295">
        <v>2014</v>
      </c>
      <c r="U295" t="s">
        <v>64</v>
      </c>
      <c r="V295">
        <v>21</v>
      </c>
      <c r="W295">
        <v>2.8</v>
      </c>
    </row>
    <row r="296" spans="1:23" x14ac:dyDescent="0.35">
      <c r="A296">
        <v>10295</v>
      </c>
      <c r="B296" t="s">
        <v>26</v>
      </c>
      <c r="C296" t="s">
        <v>31</v>
      </c>
      <c r="D296" t="s">
        <v>41</v>
      </c>
      <c r="E296">
        <v>48452</v>
      </c>
      <c r="F296">
        <f ca="1">DATEDIF(Table1[[#This Row],[Hire Date]], TODAY(), "Y")</f>
        <v>24</v>
      </c>
      <c r="G296" s="7">
        <f ca="1">YEARFRAC(Table1[[#This Row],[Hire Date]], TODAY())</f>
        <v>24.211111111111112</v>
      </c>
      <c r="H296" s="7">
        <v>37201</v>
      </c>
      <c r="I296">
        <v>56</v>
      </c>
      <c r="J296" t="s">
        <v>43</v>
      </c>
      <c r="K296">
        <v>9</v>
      </c>
      <c r="L296" t="s">
        <v>45</v>
      </c>
      <c r="M296">
        <v>8886.16</v>
      </c>
      <c r="N296" t="s">
        <v>46</v>
      </c>
      <c r="O296" t="s">
        <v>52</v>
      </c>
      <c r="P296">
        <v>7</v>
      </c>
      <c r="Q296" t="s">
        <v>55</v>
      </c>
      <c r="R296" t="s">
        <v>63</v>
      </c>
      <c r="S296">
        <v>8</v>
      </c>
      <c r="T296">
        <v>2013</v>
      </c>
      <c r="U296" t="s">
        <v>65</v>
      </c>
      <c r="V296">
        <v>73</v>
      </c>
      <c r="W296">
        <v>2.6</v>
      </c>
    </row>
    <row r="297" spans="1:23" x14ac:dyDescent="0.35">
      <c r="A297">
        <v>10296</v>
      </c>
      <c r="B297" t="s">
        <v>22</v>
      </c>
      <c r="C297" t="s">
        <v>32</v>
      </c>
      <c r="D297" t="s">
        <v>38</v>
      </c>
      <c r="E297">
        <v>94075</v>
      </c>
      <c r="F297">
        <f ca="1">DATEDIF(Table1[[#This Row],[Hire Date]], TODAY(), "Y")</f>
        <v>13</v>
      </c>
      <c r="G297" s="7">
        <f ca="1">YEARFRAC(Table1[[#This Row],[Hire Date]], TODAY())</f>
        <v>13.8</v>
      </c>
      <c r="H297" s="7">
        <v>41003</v>
      </c>
      <c r="I297">
        <v>64</v>
      </c>
      <c r="J297" t="s">
        <v>42</v>
      </c>
      <c r="K297">
        <v>8</v>
      </c>
      <c r="L297" t="s">
        <v>44</v>
      </c>
      <c r="M297">
        <v>1460.66</v>
      </c>
      <c r="N297" t="s">
        <v>48</v>
      </c>
      <c r="O297" t="s">
        <v>51</v>
      </c>
      <c r="P297">
        <v>22</v>
      </c>
      <c r="Q297" t="s">
        <v>56</v>
      </c>
      <c r="R297" t="s">
        <v>58</v>
      </c>
      <c r="S297">
        <v>0</v>
      </c>
      <c r="T297">
        <v>2018</v>
      </c>
      <c r="U297" t="s">
        <v>66</v>
      </c>
      <c r="V297">
        <v>176</v>
      </c>
      <c r="W297">
        <v>3.5</v>
      </c>
    </row>
    <row r="298" spans="1:23" x14ac:dyDescent="0.35">
      <c r="A298">
        <v>10297</v>
      </c>
      <c r="B298" t="s">
        <v>27</v>
      </c>
      <c r="C298" t="s">
        <v>31</v>
      </c>
      <c r="D298" t="s">
        <v>36</v>
      </c>
      <c r="E298">
        <v>38120</v>
      </c>
      <c r="F298">
        <f ca="1">DATEDIF(Table1[[#This Row],[Hire Date]], TODAY(), "Y")</f>
        <v>24</v>
      </c>
      <c r="G298" s="7">
        <f ca="1">YEARFRAC(Table1[[#This Row],[Hire Date]], TODAY())</f>
        <v>24.394444444444446</v>
      </c>
      <c r="H298" s="7">
        <v>37134</v>
      </c>
      <c r="I298">
        <v>63</v>
      </c>
      <c r="J298" t="s">
        <v>43</v>
      </c>
      <c r="K298">
        <v>6</v>
      </c>
      <c r="L298" t="s">
        <v>45</v>
      </c>
      <c r="M298">
        <v>8572.08</v>
      </c>
      <c r="N298" t="s">
        <v>47</v>
      </c>
      <c r="O298" t="s">
        <v>52</v>
      </c>
      <c r="P298">
        <v>18</v>
      </c>
      <c r="Q298" t="s">
        <v>57</v>
      </c>
      <c r="R298" t="s">
        <v>59</v>
      </c>
      <c r="S298">
        <v>17</v>
      </c>
      <c r="T298">
        <v>2017</v>
      </c>
      <c r="U298" t="s">
        <v>65</v>
      </c>
      <c r="V298">
        <v>195</v>
      </c>
      <c r="W298">
        <v>1.3</v>
      </c>
    </row>
    <row r="299" spans="1:23" x14ac:dyDescent="0.35">
      <c r="A299">
        <v>10298</v>
      </c>
      <c r="B299" t="s">
        <v>21</v>
      </c>
      <c r="C299" t="s">
        <v>34</v>
      </c>
      <c r="D299" t="s">
        <v>40</v>
      </c>
      <c r="E299">
        <v>94385</v>
      </c>
      <c r="F299">
        <f ca="1">DATEDIF(Table1[[#This Row],[Hire Date]], TODAY(), "Y")</f>
        <v>8</v>
      </c>
      <c r="G299" s="7">
        <f ca="1">YEARFRAC(Table1[[#This Row],[Hire Date]], TODAY())</f>
        <v>8.844444444444445</v>
      </c>
      <c r="H299" s="7">
        <v>42812</v>
      </c>
      <c r="I299">
        <v>38</v>
      </c>
      <c r="J299" t="s">
        <v>42</v>
      </c>
      <c r="K299">
        <v>1</v>
      </c>
      <c r="L299" t="s">
        <v>44</v>
      </c>
      <c r="M299">
        <v>8086.9</v>
      </c>
      <c r="N299" t="s">
        <v>47</v>
      </c>
      <c r="O299" t="s">
        <v>54</v>
      </c>
      <c r="P299">
        <v>21</v>
      </c>
      <c r="Q299" t="s">
        <v>57</v>
      </c>
      <c r="R299" t="s">
        <v>59</v>
      </c>
      <c r="S299">
        <v>2</v>
      </c>
      <c r="T299">
        <v>2023</v>
      </c>
      <c r="U299" t="s">
        <v>66</v>
      </c>
      <c r="V299">
        <v>27</v>
      </c>
      <c r="W299">
        <v>4</v>
      </c>
    </row>
    <row r="300" spans="1:23" x14ac:dyDescent="0.35">
      <c r="A300">
        <v>10299</v>
      </c>
      <c r="B300" t="s">
        <v>23</v>
      </c>
      <c r="C300" t="s">
        <v>34</v>
      </c>
      <c r="D300" t="s">
        <v>39</v>
      </c>
      <c r="E300">
        <v>103356</v>
      </c>
      <c r="F300">
        <f ca="1">DATEDIF(Table1[[#This Row],[Hire Date]], TODAY(), "Y")</f>
        <v>25</v>
      </c>
      <c r="G300" s="7">
        <f ca="1">YEARFRAC(Table1[[#This Row],[Hire Date]], TODAY())</f>
        <v>25.888888888888889</v>
      </c>
      <c r="H300" s="7">
        <v>36587</v>
      </c>
      <c r="I300">
        <v>25</v>
      </c>
      <c r="J300" t="s">
        <v>42</v>
      </c>
      <c r="K300">
        <v>2</v>
      </c>
      <c r="L300" t="s">
        <v>44</v>
      </c>
      <c r="M300">
        <v>5285.87</v>
      </c>
      <c r="N300" t="s">
        <v>49</v>
      </c>
      <c r="O300" t="s">
        <v>53</v>
      </c>
      <c r="P300">
        <v>22</v>
      </c>
      <c r="Q300" t="s">
        <v>56</v>
      </c>
      <c r="R300" t="s">
        <v>59</v>
      </c>
      <c r="S300">
        <v>5</v>
      </c>
      <c r="T300">
        <v>2019</v>
      </c>
      <c r="U300" t="s">
        <v>66</v>
      </c>
      <c r="V300">
        <v>107</v>
      </c>
      <c r="W300">
        <v>4.0999999999999996</v>
      </c>
    </row>
    <row r="301" spans="1:23" x14ac:dyDescent="0.35">
      <c r="A301">
        <v>10300</v>
      </c>
      <c r="B301" t="s">
        <v>25</v>
      </c>
      <c r="C301" t="s">
        <v>33</v>
      </c>
      <c r="D301" t="s">
        <v>40</v>
      </c>
      <c r="E301">
        <v>48170</v>
      </c>
      <c r="F301">
        <f ca="1">DATEDIF(Table1[[#This Row],[Hire Date]], TODAY(), "Y")</f>
        <v>22</v>
      </c>
      <c r="G301" s="7">
        <f ca="1">YEARFRAC(Table1[[#This Row],[Hire Date]], TODAY())</f>
        <v>22.591666666666665</v>
      </c>
      <c r="H301" s="7">
        <v>37791</v>
      </c>
      <c r="I301">
        <v>25</v>
      </c>
      <c r="J301" t="s">
        <v>42</v>
      </c>
      <c r="K301">
        <v>4</v>
      </c>
      <c r="L301" t="s">
        <v>45</v>
      </c>
      <c r="M301">
        <v>3434.53</v>
      </c>
      <c r="N301" t="s">
        <v>48</v>
      </c>
      <c r="O301" t="s">
        <v>54</v>
      </c>
      <c r="P301">
        <v>39</v>
      </c>
      <c r="Q301" t="s">
        <v>57</v>
      </c>
      <c r="R301" t="s">
        <v>59</v>
      </c>
      <c r="S301">
        <v>3</v>
      </c>
      <c r="T301">
        <v>2023</v>
      </c>
      <c r="U301" t="s">
        <v>65</v>
      </c>
      <c r="V301">
        <v>158</v>
      </c>
      <c r="W301">
        <v>2.9</v>
      </c>
    </row>
    <row r="302" spans="1:23" x14ac:dyDescent="0.35">
      <c r="A302">
        <v>10301</v>
      </c>
      <c r="B302" t="s">
        <v>28</v>
      </c>
      <c r="C302" t="s">
        <v>31</v>
      </c>
      <c r="D302" t="s">
        <v>41</v>
      </c>
      <c r="E302">
        <v>46259</v>
      </c>
      <c r="F302">
        <f ca="1">DATEDIF(Table1[[#This Row],[Hire Date]], TODAY(), "Y")</f>
        <v>19</v>
      </c>
      <c r="G302" s="7">
        <f ca="1">YEARFRAC(Table1[[#This Row],[Hire Date]], TODAY())</f>
        <v>19.8</v>
      </c>
      <c r="H302" s="7">
        <v>38811</v>
      </c>
      <c r="I302">
        <v>46</v>
      </c>
      <c r="J302" t="s">
        <v>43</v>
      </c>
      <c r="K302">
        <v>2</v>
      </c>
      <c r="L302" t="s">
        <v>45</v>
      </c>
      <c r="M302">
        <v>4351.66</v>
      </c>
      <c r="N302" t="s">
        <v>48</v>
      </c>
      <c r="O302" t="s">
        <v>51</v>
      </c>
      <c r="P302">
        <v>12</v>
      </c>
      <c r="Q302" t="s">
        <v>56</v>
      </c>
      <c r="R302" t="s">
        <v>61</v>
      </c>
      <c r="S302">
        <v>11</v>
      </c>
      <c r="T302">
        <v>2012</v>
      </c>
      <c r="U302" t="s">
        <v>64</v>
      </c>
      <c r="V302">
        <v>98</v>
      </c>
      <c r="W302">
        <v>4.8</v>
      </c>
    </row>
    <row r="303" spans="1:23" x14ac:dyDescent="0.35">
      <c r="A303">
        <v>10302</v>
      </c>
      <c r="B303" t="s">
        <v>28</v>
      </c>
      <c r="C303" t="s">
        <v>32</v>
      </c>
      <c r="D303" t="s">
        <v>38</v>
      </c>
      <c r="E303">
        <v>52099</v>
      </c>
      <c r="F303">
        <f ca="1">DATEDIF(Table1[[#This Row],[Hire Date]], TODAY(), "Y")</f>
        <v>22</v>
      </c>
      <c r="G303" s="7">
        <f ca="1">YEARFRAC(Table1[[#This Row],[Hire Date]], TODAY())</f>
        <v>22.894444444444446</v>
      </c>
      <c r="H303" s="7">
        <v>37680</v>
      </c>
      <c r="I303">
        <v>54</v>
      </c>
      <c r="J303" t="s">
        <v>42</v>
      </c>
      <c r="K303">
        <v>3</v>
      </c>
      <c r="L303" t="s">
        <v>45</v>
      </c>
      <c r="M303">
        <v>9702.25</v>
      </c>
      <c r="N303" t="s">
        <v>46</v>
      </c>
      <c r="O303" t="s">
        <v>54</v>
      </c>
      <c r="P303">
        <v>11</v>
      </c>
      <c r="Q303" t="s">
        <v>56</v>
      </c>
      <c r="R303" t="s">
        <v>62</v>
      </c>
      <c r="S303">
        <v>11</v>
      </c>
      <c r="T303">
        <v>2014</v>
      </c>
      <c r="U303" t="s">
        <v>66</v>
      </c>
      <c r="V303">
        <v>180</v>
      </c>
      <c r="W303">
        <v>3.3</v>
      </c>
    </row>
    <row r="304" spans="1:23" x14ac:dyDescent="0.35">
      <c r="A304">
        <v>10303</v>
      </c>
      <c r="B304" t="s">
        <v>24</v>
      </c>
      <c r="C304" t="s">
        <v>31</v>
      </c>
      <c r="D304" t="s">
        <v>37</v>
      </c>
      <c r="E304">
        <v>39649</v>
      </c>
      <c r="F304">
        <f ca="1">DATEDIF(Table1[[#This Row],[Hire Date]], TODAY(), "Y")</f>
        <v>21</v>
      </c>
      <c r="G304" s="7">
        <f ca="1">YEARFRAC(Table1[[#This Row],[Hire Date]], TODAY())</f>
        <v>21.6</v>
      </c>
      <c r="H304" s="7">
        <v>38154</v>
      </c>
      <c r="I304">
        <v>35</v>
      </c>
      <c r="J304" t="s">
        <v>42</v>
      </c>
      <c r="K304">
        <v>8</v>
      </c>
      <c r="L304" t="s">
        <v>45</v>
      </c>
      <c r="M304">
        <v>2416.13</v>
      </c>
      <c r="N304" t="s">
        <v>48</v>
      </c>
      <c r="O304" t="s">
        <v>51</v>
      </c>
      <c r="P304">
        <v>12</v>
      </c>
      <c r="Q304" t="s">
        <v>57</v>
      </c>
      <c r="R304" t="s">
        <v>63</v>
      </c>
      <c r="S304">
        <v>4</v>
      </c>
      <c r="T304">
        <v>2015</v>
      </c>
      <c r="U304" t="s">
        <v>64</v>
      </c>
      <c r="V304">
        <v>179</v>
      </c>
      <c r="W304">
        <v>3.8</v>
      </c>
    </row>
    <row r="305" spans="1:23" x14ac:dyDescent="0.35">
      <c r="A305">
        <v>10304</v>
      </c>
      <c r="B305" t="s">
        <v>27</v>
      </c>
      <c r="C305" t="s">
        <v>29</v>
      </c>
      <c r="D305" t="s">
        <v>39</v>
      </c>
      <c r="E305">
        <v>89258</v>
      </c>
      <c r="F305">
        <f ca="1">DATEDIF(Table1[[#This Row],[Hire Date]], TODAY(), "Y")</f>
        <v>21</v>
      </c>
      <c r="G305" s="7">
        <f ca="1">YEARFRAC(Table1[[#This Row],[Hire Date]], TODAY())</f>
        <v>21.605555555555554</v>
      </c>
      <c r="H305" s="7">
        <v>38152</v>
      </c>
      <c r="I305">
        <v>45</v>
      </c>
      <c r="J305" t="s">
        <v>42</v>
      </c>
      <c r="K305">
        <v>9</v>
      </c>
      <c r="L305" t="s">
        <v>45</v>
      </c>
      <c r="M305">
        <v>6006.24</v>
      </c>
      <c r="N305" t="s">
        <v>48</v>
      </c>
      <c r="O305" t="s">
        <v>53</v>
      </c>
      <c r="P305">
        <v>26</v>
      </c>
      <c r="Q305" t="s">
        <v>56</v>
      </c>
      <c r="R305" t="s">
        <v>60</v>
      </c>
      <c r="S305">
        <v>12</v>
      </c>
      <c r="T305">
        <v>2014</v>
      </c>
      <c r="U305" t="s">
        <v>65</v>
      </c>
      <c r="V305">
        <v>50</v>
      </c>
      <c r="W305">
        <v>4.7</v>
      </c>
    </row>
    <row r="306" spans="1:23" x14ac:dyDescent="0.35">
      <c r="A306">
        <v>10305</v>
      </c>
      <c r="B306" t="s">
        <v>26</v>
      </c>
      <c r="C306" t="s">
        <v>29</v>
      </c>
      <c r="D306" t="s">
        <v>38</v>
      </c>
      <c r="E306">
        <v>71037</v>
      </c>
      <c r="F306">
        <f ca="1">DATEDIF(Table1[[#This Row],[Hire Date]], TODAY(), "Y")</f>
        <v>15</v>
      </c>
      <c r="G306" s="7">
        <f ca="1">YEARFRAC(Table1[[#This Row],[Hire Date]], TODAY())</f>
        <v>15.880555555555556</v>
      </c>
      <c r="H306" s="7">
        <v>40242</v>
      </c>
      <c r="I306">
        <v>32</v>
      </c>
      <c r="J306" t="s">
        <v>42</v>
      </c>
      <c r="K306">
        <v>6</v>
      </c>
      <c r="L306" t="s">
        <v>44</v>
      </c>
      <c r="M306">
        <v>1290.79</v>
      </c>
      <c r="N306" t="s">
        <v>47</v>
      </c>
      <c r="O306" t="s">
        <v>53</v>
      </c>
      <c r="P306">
        <v>30</v>
      </c>
      <c r="Q306" t="s">
        <v>56</v>
      </c>
      <c r="R306" t="s">
        <v>58</v>
      </c>
      <c r="S306">
        <v>11</v>
      </c>
      <c r="T306">
        <v>2017</v>
      </c>
      <c r="U306" t="s">
        <v>66</v>
      </c>
      <c r="V306">
        <v>33</v>
      </c>
      <c r="W306">
        <v>3.7</v>
      </c>
    </row>
    <row r="307" spans="1:23" x14ac:dyDescent="0.35">
      <c r="A307">
        <v>10306</v>
      </c>
      <c r="B307" t="s">
        <v>23</v>
      </c>
      <c r="C307" t="s">
        <v>32</v>
      </c>
      <c r="D307" t="s">
        <v>40</v>
      </c>
      <c r="E307">
        <v>41805</v>
      </c>
      <c r="F307">
        <f ca="1">DATEDIF(Table1[[#This Row],[Hire Date]], TODAY(), "Y")</f>
        <v>11</v>
      </c>
      <c r="G307" s="7">
        <f ca="1">YEARFRAC(Table1[[#This Row],[Hire Date]], TODAY())</f>
        <v>11.702777777777778</v>
      </c>
      <c r="H307" s="7">
        <v>41768</v>
      </c>
      <c r="I307">
        <v>46</v>
      </c>
      <c r="J307" t="s">
        <v>42</v>
      </c>
      <c r="K307">
        <v>4</v>
      </c>
      <c r="L307" t="s">
        <v>44</v>
      </c>
      <c r="M307">
        <v>2569.98</v>
      </c>
      <c r="N307" t="s">
        <v>48</v>
      </c>
      <c r="O307" t="s">
        <v>50</v>
      </c>
      <c r="P307">
        <v>15</v>
      </c>
      <c r="Q307" t="s">
        <v>55</v>
      </c>
      <c r="R307" t="s">
        <v>63</v>
      </c>
      <c r="S307">
        <v>3</v>
      </c>
      <c r="T307">
        <v>2014</v>
      </c>
      <c r="U307" t="s">
        <v>64</v>
      </c>
      <c r="V307">
        <v>38</v>
      </c>
      <c r="W307">
        <v>2.7</v>
      </c>
    </row>
    <row r="308" spans="1:23" x14ac:dyDescent="0.35">
      <c r="A308">
        <v>10307</v>
      </c>
      <c r="B308" t="s">
        <v>22</v>
      </c>
      <c r="C308" t="s">
        <v>33</v>
      </c>
      <c r="D308" t="s">
        <v>37</v>
      </c>
      <c r="E308">
        <v>73147</v>
      </c>
      <c r="F308">
        <f ca="1">DATEDIF(Table1[[#This Row],[Hire Date]], TODAY(), "Y")</f>
        <v>10</v>
      </c>
      <c r="G308" s="7">
        <f ca="1">YEARFRAC(Table1[[#This Row],[Hire Date]], TODAY())</f>
        <v>10.833333333333334</v>
      </c>
      <c r="H308" s="7">
        <v>42085</v>
      </c>
      <c r="I308">
        <v>49</v>
      </c>
      <c r="J308" t="s">
        <v>42</v>
      </c>
      <c r="K308">
        <v>2</v>
      </c>
      <c r="L308" t="s">
        <v>44</v>
      </c>
      <c r="M308">
        <v>7751.51</v>
      </c>
      <c r="N308" t="s">
        <v>47</v>
      </c>
      <c r="O308" t="s">
        <v>54</v>
      </c>
      <c r="P308">
        <v>8</v>
      </c>
      <c r="Q308" t="s">
        <v>55</v>
      </c>
      <c r="R308" t="s">
        <v>61</v>
      </c>
      <c r="S308">
        <v>5</v>
      </c>
      <c r="T308">
        <v>2017</v>
      </c>
      <c r="U308" t="s">
        <v>65</v>
      </c>
      <c r="V308">
        <v>14</v>
      </c>
      <c r="W308">
        <v>1.1000000000000001</v>
      </c>
    </row>
    <row r="309" spans="1:23" x14ac:dyDescent="0.35">
      <c r="A309">
        <v>10308</v>
      </c>
      <c r="B309" t="s">
        <v>26</v>
      </c>
      <c r="C309" t="s">
        <v>33</v>
      </c>
      <c r="D309" t="s">
        <v>38</v>
      </c>
      <c r="E309">
        <v>104280</v>
      </c>
      <c r="F309">
        <f ca="1">DATEDIF(Table1[[#This Row],[Hire Date]], TODAY(), "Y")</f>
        <v>12</v>
      </c>
      <c r="G309" s="7">
        <f ca="1">YEARFRAC(Table1[[#This Row],[Hire Date]], TODAY())</f>
        <v>12.308333333333334</v>
      </c>
      <c r="H309" s="7">
        <v>41548</v>
      </c>
      <c r="I309">
        <v>28</v>
      </c>
      <c r="J309" t="s">
        <v>43</v>
      </c>
      <c r="K309">
        <v>7</v>
      </c>
      <c r="L309" t="s">
        <v>44</v>
      </c>
      <c r="M309">
        <v>3374.69</v>
      </c>
      <c r="N309" t="s">
        <v>47</v>
      </c>
      <c r="O309" t="s">
        <v>50</v>
      </c>
      <c r="P309">
        <v>18</v>
      </c>
      <c r="Q309" t="s">
        <v>55</v>
      </c>
      <c r="R309" t="s">
        <v>61</v>
      </c>
      <c r="S309">
        <v>18</v>
      </c>
      <c r="T309">
        <v>2019</v>
      </c>
      <c r="U309" t="s">
        <v>66</v>
      </c>
      <c r="V309">
        <v>24</v>
      </c>
      <c r="W309">
        <v>3.9</v>
      </c>
    </row>
    <row r="310" spans="1:23" x14ac:dyDescent="0.35">
      <c r="A310">
        <v>10309</v>
      </c>
      <c r="B310" t="s">
        <v>25</v>
      </c>
      <c r="C310" t="s">
        <v>34</v>
      </c>
      <c r="D310" t="s">
        <v>36</v>
      </c>
      <c r="E310">
        <v>76053</v>
      </c>
      <c r="F310">
        <f ca="1">DATEDIF(Table1[[#This Row],[Hire Date]], TODAY(), "Y")</f>
        <v>8</v>
      </c>
      <c r="G310" s="7">
        <f ca="1">YEARFRAC(Table1[[#This Row],[Hire Date]], TODAY())</f>
        <v>8.3027777777777771</v>
      </c>
      <c r="H310" s="7">
        <v>43011</v>
      </c>
      <c r="I310">
        <v>57</v>
      </c>
      <c r="J310" t="s">
        <v>42</v>
      </c>
      <c r="K310">
        <v>7</v>
      </c>
      <c r="L310" t="s">
        <v>44</v>
      </c>
      <c r="M310">
        <v>9864.7800000000007</v>
      </c>
      <c r="N310" t="s">
        <v>48</v>
      </c>
      <c r="O310" t="s">
        <v>52</v>
      </c>
      <c r="P310">
        <v>10</v>
      </c>
      <c r="Q310" t="s">
        <v>57</v>
      </c>
      <c r="R310" t="s">
        <v>60</v>
      </c>
      <c r="S310">
        <v>5</v>
      </c>
      <c r="T310">
        <v>2019</v>
      </c>
      <c r="U310" t="s">
        <v>65</v>
      </c>
      <c r="V310">
        <v>38</v>
      </c>
      <c r="W310">
        <v>4.9000000000000004</v>
      </c>
    </row>
    <row r="311" spans="1:23" x14ac:dyDescent="0.35">
      <c r="A311">
        <v>10310</v>
      </c>
      <c r="B311" t="s">
        <v>27</v>
      </c>
      <c r="C311" t="s">
        <v>34</v>
      </c>
      <c r="D311" t="s">
        <v>39</v>
      </c>
      <c r="E311">
        <v>106215</v>
      </c>
      <c r="F311">
        <f ca="1">DATEDIF(Table1[[#This Row],[Hire Date]], TODAY(), "Y")</f>
        <v>22</v>
      </c>
      <c r="G311" s="7">
        <f ca="1">YEARFRAC(Table1[[#This Row],[Hire Date]], TODAY())</f>
        <v>22.108333333333334</v>
      </c>
      <c r="H311" s="7">
        <v>37968</v>
      </c>
      <c r="I311">
        <v>31</v>
      </c>
      <c r="J311" t="s">
        <v>42</v>
      </c>
      <c r="K311">
        <v>9</v>
      </c>
      <c r="L311" t="s">
        <v>45</v>
      </c>
      <c r="M311">
        <v>5257.76</v>
      </c>
      <c r="N311" t="s">
        <v>47</v>
      </c>
      <c r="O311" t="s">
        <v>52</v>
      </c>
      <c r="P311">
        <v>8</v>
      </c>
      <c r="Q311" t="s">
        <v>57</v>
      </c>
      <c r="R311" t="s">
        <v>63</v>
      </c>
      <c r="S311">
        <v>5</v>
      </c>
      <c r="T311">
        <v>2023</v>
      </c>
      <c r="U311" t="s">
        <v>64</v>
      </c>
      <c r="V311">
        <v>105</v>
      </c>
      <c r="W311">
        <v>2.9</v>
      </c>
    </row>
    <row r="312" spans="1:23" x14ac:dyDescent="0.35">
      <c r="A312">
        <v>10311</v>
      </c>
      <c r="B312" t="s">
        <v>25</v>
      </c>
      <c r="C312" t="s">
        <v>35</v>
      </c>
      <c r="D312" t="s">
        <v>41</v>
      </c>
      <c r="E312">
        <v>40985</v>
      </c>
      <c r="F312">
        <f ca="1">DATEDIF(Table1[[#This Row],[Hire Date]], TODAY(), "Y")</f>
        <v>21</v>
      </c>
      <c r="G312" s="7">
        <f ca="1">YEARFRAC(Table1[[#This Row],[Hire Date]], TODAY())</f>
        <v>21.530555555555555</v>
      </c>
      <c r="H312" s="7">
        <v>38179</v>
      </c>
      <c r="I312">
        <v>57</v>
      </c>
      <c r="J312" t="s">
        <v>43</v>
      </c>
      <c r="K312">
        <v>5</v>
      </c>
      <c r="L312" t="s">
        <v>44</v>
      </c>
      <c r="M312">
        <v>5407.12</v>
      </c>
      <c r="N312" t="s">
        <v>46</v>
      </c>
      <c r="O312" t="s">
        <v>52</v>
      </c>
      <c r="P312">
        <v>38</v>
      </c>
      <c r="Q312" t="s">
        <v>57</v>
      </c>
      <c r="R312" t="s">
        <v>59</v>
      </c>
      <c r="S312">
        <v>10</v>
      </c>
      <c r="T312">
        <v>2012</v>
      </c>
      <c r="U312" t="s">
        <v>66</v>
      </c>
      <c r="V312">
        <v>145</v>
      </c>
      <c r="W312">
        <v>2.4</v>
      </c>
    </row>
    <row r="313" spans="1:23" x14ac:dyDescent="0.35">
      <c r="A313">
        <v>10312</v>
      </c>
      <c r="B313" t="s">
        <v>21</v>
      </c>
      <c r="C313" t="s">
        <v>32</v>
      </c>
      <c r="D313" t="s">
        <v>38</v>
      </c>
      <c r="E313">
        <v>42391</v>
      </c>
      <c r="F313">
        <f ca="1">DATEDIF(Table1[[#This Row],[Hire Date]], TODAY(), "Y")</f>
        <v>19</v>
      </c>
      <c r="G313" s="7">
        <f ca="1">YEARFRAC(Table1[[#This Row],[Hire Date]], TODAY())</f>
        <v>19.208333333333332</v>
      </c>
      <c r="H313" s="7">
        <v>39028</v>
      </c>
      <c r="I313">
        <v>52</v>
      </c>
      <c r="J313" t="s">
        <v>42</v>
      </c>
      <c r="K313">
        <v>4</v>
      </c>
      <c r="L313" t="s">
        <v>44</v>
      </c>
      <c r="M313">
        <v>844.99</v>
      </c>
      <c r="N313" t="s">
        <v>47</v>
      </c>
      <c r="O313" t="s">
        <v>52</v>
      </c>
      <c r="P313">
        <v>35</v>
      </c>
      <c r="Q313" t="s">
        <v>57</v>
      </c>
      <c r="R313" t="s">
        <v>63</v>
      </c>
      <c r="S313">
        <v>13</v>
      </c>
      <c r="T313">
        <v>2014</v>
      </c>
      <c r="U313" t="s">
        <v>66</v>
      </c>
      <c r="V313">
        <v>91</v>
      </c>
      <c r="W313">
        <v>3.1</v>
      </c>
    </row>
    <row r="314" spans="1:23" x14ac:dyDescent="0.35">
      <c r="A314">
        <v>10313</v>
      </c>
      <c r="B314" t="s">
        <v>22</v>
      </c>
      <c r="C314" t="s">
        <v>31</v>
      </c>
      <c r="D314" t="s">
        <v>38</v>
      </c>
      <c r="E314">
        <v>34861</v>
      </c>
      <c r="F314">
        <f ca="1">DATEDIF(Table1[[#This Row],[Hire Date]], TODAY(), "Y")</f>
        <v>17</v>
      </c>
      <c r="G314" s="7">
        <f ca="1">YEARFRAC(Table1[[#This Row],[Hire Date]], TODAY())</f>
        <v>17.108333333333334</v>
      </c>
      <c r="H314" s="7">
        <v>39795</v>
      </c>
      <c r="I314">
        <v>40</v>
      </c>
      <c r="J314" t="s">
        <v>43</v>
      </c>
      <c r="K314">
        <v>6</v>
      </c>
      <c r="L314" t="s">
        <v>45</v>
      </c>
      <c r="M314">
        <v>9587</v>
      </c>
      <c r="N314" t="s">
        <v>48</v>
      </c>
      <c r="O314" t="s">
        <v>52</v>
      </c>
      <c r="P314">
        <v>20</v>
      </c>
      <c r="Q314" t="s">
        <v>56</v>
      </c>
      <c r="R314" t="s">
        <v>63</v>
      </c>
      <c r="S314">
        <v>2</v>
      </c>
      <c r="T314">
        <v>2013</v>
      </c>
      <c r="U314" t="s">
        <v>66</v>
      </c>
      <c r="V314">
        <v>142</v>
      </c>
      <c r="W314">
        <v>3.9</v>
      </c>
    </row>
    <row r="315" spans="1:23" x14ac:dyDescent="0.35">
      <c r="A315">
        <v>10314</v>
      </c>
      <c r="B315" t="s">
        <v>21</v>
      </c>
      <c r="C315" t="s">
        <v>30</v>
      </c>
      <c r="D315" t="s">
        <v>36</v>
      </c>
      <c r="E315">
        <v>93582</v>
      </c>
      <c r="F315">
        <f ca="1">DATEDIF(Table1[[#This Row],[Hire Date]], TODAY(), "Y")</f>
        <v>25</v>
      </c>
      <c r="G315" s="7">
        <f ca="1">YEARFRAC(Table1[[#This Row],[Hire Date]], TODAY())</f>
        <v>25.288888888888888</v>
      </c>
      <c r="H315" s="7">
        <v>36807</v>
      </c>
      <c r="I315">
        <v>39</v>
      </c>
      <c r="J315" t="s">
        <v>43</v>
      </c>
      <c r="K315">
        <v>2</v>
      </c>
      <c r="L315" t="s">
        <v>45</v>
      </c>
      <c r="M315">
        <v>2155.2199999999998</v>
      </c>
      <c r="N315" t="s">
        <v>46</v>
      </c>
      <c r="O315" t="s">
        <v>54</v>
      </c>
      <c r="P315">
        <v>12</v>
      </c>
      <c r="Q315" t="s">
        <v>56</v>
      </c>
      <c r="R315" t="s">
        <v>61</v>
      </c>
      <c r="S315">
        <v>7</v>
      </c>
      <c r="T315">
        <v>2022</v>
      </c>
      <c r="U315" t="s">
        <v>65</v>
      </c>
      <c r="V315">
        <v>49</v>
      </c>
      <c r="W315">
        <v>1</v>
      </c>
    </row>
    <row r="316" spans="1:23" x14ac:dyDescent="0.35">
      <c r="A316">
        <v>10315</v>
      </c>
      <c r="B316" t="s">
        <v>24</v>
      </c>
      <c r="C316" t="s">
        <v>32</v>
      </c>
      <c r="D316" t="s">
        <v>40</v>
      </c>
      <c r="E316">
        <v>81928</v>
      </c>
      <c r="F316">
        <f ca="1">DATEDIF(Table1[[#This Row],[Hire Date]], TODAY(), "Y")</f>
        <v>12</v>
      </c>
      <c r="G316" s="7">
        <f ca="1">YEARFRAC(Table1[[#This Row],[Hire Date]], TODAY())</f>
        <v>12.419444444444444</v>
      </c>
      <c r="H316" s="7">
        <v>41507</v>
      </c>
      <c r="I316">
        <v>27</v>
      </c>
      <c r="J316" t="s">
        <v>42</v>
      </c>
      <c r="K316">
        <v>2</v>
      </c>
      <c r="L316" t="s">
        <v>45</v>
      </c>
      <c r="M316">
        <v>5614.24</v>
      </c>
      <c r="N316" t="s">
        <v>46</v>
      </c>
      <c r="O316" t="s">
        <v>50</v>
      </c>
      <c r="P316">
        <v>3</v>
      </c>
      <c r="Q316" t="s">
        <v>55</v>
      </c>
      <c r="R316" t="s">
        <v>63</v>
      </c>
      <c r="S316">
        <v>3</v>
      </c>
      <c r="T316">
        <v>2020</v>
      </c>
      <c r="U316" t="s">
        <v>65</v>
      </c>
      <c r="V316">
        <v>132</v>
      </c>
      <c r="W316">
        <v>4.5</v>
      </c>
    </row>
    <row r="317" spans="1:23" x14ac:dyDescent="0.35">
      <c r="A317">
        <v>10316</v>
      </c>
      <c r="B317" t="s">
        <v>25</v>
      </c>
      <c r="C317" t="s">
        <v>35</v>
      </c>
      <c r="D317" t="s">
        <v>39</v>
      </c>
      <c r="E317">
        <v>64364</v>
      </c>
      <c r="F317">
        <f ca="1">DATEDIF(Table1[[#This Row],[Hire Date]], TODAY(), "Y")</f>
        <v>23</v>
      </c>
      <c r="G317" s="7">
        <f ca="1">YEARFRAC(Table1[[#This Row],[Hire Date]], TODAY())</f>
        <v>23.252777777777776</v>
      </c>
      <c r="H317" s="7">
        <v>37550</v>
      </c>
      <c r="I317">
        <v>49</v>
      </c>
      <c r="J317" t="s">
        <v>42</v>
      </c>
      <c r="K317">
        <v>9</v>
      </c>
      <c r="L317" t="s">
        <v>45</v>
      </c>
      <c r="M317">
        <v>4258.91</v>
      </c>
      <c r="N317" t="s">
        <v>48</v>
      </c>
      <c r="O317" t="s">
        <v>50</v>
      </c>
      <c r="P317">
        <v>20</v>
      </c>
      <c r="Q317" t="s">
        <v>56</v>
      </c>
      <c r="R317" t="s">
        <v>59</v>
      </c>
      <c r="S317">
        <v>15</v>
      </c>
      <c r="T317">
        <v>2015</v>
      </c>
      <c r="U317" t="s">
        <v>65</v>
      </c>
      <c r="V317">
        <v>93</v>
      </c>
      <c r="W317">
        <v>4.5</v>
      </c>
    </row>
    <row r="318" spans="1:23" x14ac:dyDescent="0.35">
      <c r="A318">
        <v>10317</v>
      </c>
      <c r="B318" t="s">
        <v>24</v>
      </c>
      <c r="C318" t="s">
        <v>34</v>
      </c>
      <c r="D318" t="s">
        <v>39</v>
      </c>
      <c r="E318">
        <v>112399</v>
      </c>
      <c r="F318">
        <f ca="1">DATEDIF(Table1[[#This Row],[Hire Date]], TODAY(), "Y")</f>
        <v>12</v>
      </c>
      <c r="G318" s="7">
        <f ca="1">YEARFRAC(Table1[[#This Row],[Hire Date]], TODAY())</f>
        <v>12.863888888888889</v>
      </c>
      <c r="H318" s="7">
        <v>41344</v>
      </c>
      <c r="I318">
        <v>28</v>
      </c>
      <c r="J318" t="s">
        <v>43</v>
      </c>
      <c r="K318">
        <v>7</v>
      </c>
      <c r="L318" t="s">
        <v>44</v>
      </c>
      <c r="M318">
        <v>4448.05</v>
      </c>
      <c r="N318" t="s">
        <v>49</v>
      </c>
      <c r="O318" t="s">
        <v>51</v>
      </c>
      <c r="P318">
        <v>12</v>
      </c>
      <c r="Q318" t="s">
        <v>57</v>
      </c>
      <c r="R318" t="s">
        <v>63</v>
      </c>
      <c r="S318">
        <v>17</v>
      </c>
      <c r="T318">
        <v>2012</v>
      </c>
      <c r="U318" t="s">
        <v>65</v>
      </c>
      <c r="V318">
        <v>86</v>
      </c>
      <c r="W318">
        <v>3.2</v>
      </c>
    </row>
    <row r="319" spans="1:23" x14ac:dyDescent="0.35">
      <c r="A319">
        <v>10318</v>
      </c>
      <c r="B319" t="s">
        <v>28</v>
      </c>
      <c r="C319" t="s">
        <v>32</v>
      </c>
      <c r="D319" t="s">
        <v>41</v>
      </c>
      <c r="E319">
        <v>72923</v>
      </c>
      <c r="F319">
        <f ca="1">DATEDIF(Table1[[#This Row],[Hire Date]], TODAY(), "Y")</f>
        <v>9</v>
      </c>
      <c r="G319" s="7">
        <f ca="1">YEARFRAC(Table1[[#This Row],[Hire Date]], TODAY())</f>
        <v>9.9222222222222225</v>
      </c>
      <c r="H319" s="7">
        <v>42420</v>
      </c>
      <c r="I319">
        <v>59</v>
      </c>
      <c r="J319" t="s">
        <v>43</v>
      </c>
      <c r="K319">
        <v>7</v>
      </c>
      <c r="L319" t="s">
        <v>45</v>
      </c>
      <c r="M319">
        <v>6611.35</v>
      </c>
      <c r="N319" t="s">
        <v>47</v>
      </c>
      <c r="O319" t="s">
        <v>52</v>
      </c>
      <c r="P319">
        <v>24</v>
      </c>
      <c r="Q319" t="s">
        <v>56</v>
      </c>
      <c r="R319" t="s">
        <v>63</v>
      </c>
      <c r="S319">
        <v>6</v>
      </c>
      <c r="T319">
        <v>2021</v>
      </c>
      <c r="U319" t="s">
        <v>64</v>
      </c>
      <c r="V319">
        <v>123</v>
      </c>
      <c r="W319">
        <v>1.5</v>
      </c>
    </row>
    <row r="320" spans="1:23" x14ac:dyDescent="0.35">
      <c r="A320">
        <v>10319</v>
      </c>
      <c r="B320" t="s">
        <v>21</v>
      </c>
      <c r="C320" t="s">
        <v>32</v>
      </c>
      <c r="D320" t="s">
        <v>38</v>
      </c>
      <c r="E320">
        <v>37919</v>
      </c>
      <c r="F320">
        <f ca="1">DATEDIF(Table1[[#This Row],[Hire Date]], TODAY(), "Y")</f>
        <v>16</v>
      </c>
      <c r="G320" s="7">
        <f ca="1">YEARFRAC(Table1[[#This Row],[Hire Date]], TODAY())</f>
        <v>16.738888888888887</v>
      </c>
      <c r="H320" s="7">
        <v>39929</v>
      </c>
      <c r="I320">
        <v>33</v>
      </c>
      <c r="J320" t="s">
        <v>43</v>
      </c>
      <c r="K320">
        <v>5</v>
      </c>
      <c r="L320" t="s">
        <v>44</v>
      </c>
      <c r="M320">
        <v>6789.84</v>
      </c>
      <c r="N320" t="s">
        <v>47</v>
      </c>
      <c r="O320" t="s">
        <v>53</v>
      </c>
      <c r="P320">
        <v>16</v>
      </c>
      <c r="Q320" t="s">
        <v>55</v>
      </c>
      <c r="R320" t="s">
        <v>63</v>
      </c>
      <c r="S320">
        <v>10</v>
      </c>
      <c r="T320">
        <v>2019</v>
      </c>
      <c r="U320" t="s">
        <v>65</v>
      </c>
      <c r="V320">
        <v>96</v>
      </c>
      <c r="W320">
        <v>3.7</v>
      </c>
    </row>
    <row r="321" spans="1:23" x14ac:dyDescent="0.35">
      <c r="A321">
        <v>10320</v>
      </c>
      <c r="B321" t="s">
        <v>27</v>
      </c>
      <c r="C321" t="s">
        <v>34</v>
      </c>
      <c r="D321" t="s">
        <v>37</v>
      </c>
      <c r="E321">
        <v>85896</v>
      </c>
      <c r="F321">
        <f ca="1">DATEDIF(Table1[[#This Row],[Hire Date]], TODAY(), "Y")</f>
        <v>22</v>
      </c>
      <c r="G321" s="7">
        <f ca="1">YEARFRAC(Table1[[#This Row],[Hire Date]], TODAY())</f>
        <v>22.672222222222221</v>
      </c>
      <c r="H321" s="7">
        <v>37761</v>
      </c>
      <c r="I321">
        <v>62</v>
      </c>
      <c r="J321" t="s">
        <v>43</v>
      </c>
      <c r="K321">
        <v>7</v>
      </c>
      <c r="L321" t="s">
        <v>45</v>
      </c>
      <c r="M321">
        <v>1965.74</v>
      </c>
      <c r="N321" t="s">
        <v>49</v>
      </c>
      <c r="O321" t="s">
        <v>51</v>
      </c>
      <c r="P321">
        <v>10</v>
      </c>
      <c r="Q321" t="s">
        <v>57</v>
      </c>
      <c r="R321" t="s">
        <v>59</v>
      </c>
      <c r="S321">
        <v>7</v>
      </c>
      <c r="T321">
        <v>2013</v>
      </c>
      <c r="U321" t="s">
        <v>65</v>
      </c>
      <c r="V321">
        <v>140</v>
      </c>
      <c r="W321">
        <v>1.6</v>
      </c>
    </row>
    <row r="322" spans="1:23" x14ac:dyDescent="0.35">
      <c r="A322">
        <v>10321</v>
      </c>
      <c r="B322" t="s">
        <v>25</v>
      </c>
      <c r="C322" t="s">
        <v>35</v>
      </c>
      <c r="D322" t="s">
        <v>38</v>
      </c>
      <c r="E322">
        <v>115818</v>
      </c>
      <c r="F322">
        <f ca="1">DATEDIF(Table1[[#This Row],[Hire Date]], TODAY(), "Y")</f>
        <v>14</v>
      </c>
      <c r="G322" s="7">
        <f ca="1">YEARFRAC(Table1[[#This Row],[Hire Date]], TODAY())</f>
        <v>14.605555555555556</v>
      </c>
      <c r="H322" s="7">
        <v>40708</v>
      </c>
      <c r="I322">
        <v>55</v>
      </c>
      <c r="J322" t="s">
        <v>42</v>
      </c>
      <c r="K322">
        <v>9</v>
      </c>
      <c r="L322" t="s">
        <v>45</v>
      </c>
      <c r="M322">
        <v>5246.07</v>
      </c>
      <c r="N322" t="s">
        <v>46</v>
      </c>
      <c r="O322" t="s">
        <v>51</v>
      </c>
      <c r="P322">
        <v>19</v>
      </c>
      <c r="Q322" t="s">
        <v>56</v>
      </c>
      <c r="R322" t="s">
        <v>59</v>
      </c>
      <c r="S322">
        <v>19</v>
      </c>
      <c r="T322">
        <v>2020</v>
      </c>
      <c r="U322" t="s">
        <v>65</v>
      </c>
      <c r="V322">
        <v>9</v>
      </c>
      <c r="W322">
        <v>3</v>
      </c>
    </row>
    <row r="323" spans="1:23" x14ac:dyDescent="0.35">
      <c r="A323">
        <v>10322</v>
      </c>
      <c r="B323" t="s">
        <v>23</v>
      </c>
      <c r="C323" t="s">
        <v>34</v>
      </c>
      <c r="D323" t="s">
        <v>41</v>
      </c>
      <c r="E323">
        <v>77396</v>
      </c>
      <c r="F323">
        <f ca="1">DATEDIF(Table1[[#This Row],[Hire Date]], TODAY(), "Y")</f>
        <v>13</v>
      </c>
      <c r="G323" s="7">
        <f ca="1">YEARFRAC(Table1[[#This Row],[Hire Date]], TODAY())</f>
        <v>13.027777777777779</v>
      </c>
      <c r="H323" s="7">
        <v>41286</v>
      </c>
      <c r="I323">
        <v>46</v>
      </c>
      <c r="J323" t="s">
        <v>43</v>
      </c>
      <c r="K323">
        <v>5</v>
      </c>
      <c r="L323" t="s">
        <v>44</v>
      </c>
      <c r="M323">
        <v>8009.54</v>
      </c>
      <c r="N323" t="s">
        <v>49</v>
      </c>
      <c r="O323" t="s">
        <v>54</v>
      </c>
      <c r="P323">
        <v>14</v>
      </c>
      <c r="Q323" t="s">
        <v>55</v>
      </c>
      <c r="R323" t="s">
        <v>60</v>
      </c>
      <c r="S323">
        <v>5</v>
      </c>
      <c r="T323">
        <v>2013</v>
      </c>
      <c r="U323" t="s">
        <v>64</v>
      </c>
      <c r="V323">
        <v>24</v>
      </c>
      <c r="W323">
        <v>1.4</v>
      </c>
    </row>
    <row r="324" spans="1:23" x14ac:dyDescent="0.35">
      <c r="A324">
        <v>10323</v>
      </c>
      <c r="B324" t="s">
        <v>22</v>
      </c>
      <c r="C324" t="s">
        <v>33</v>
      </c>
      <c r="D324" t="s">
        <v>38</v>
      </c>
      <c r="E324">
        <v>64840</v>
      </c>
      <c r="F324">
        <f ca="1">DATEDIF(Table1[[#This Row],[Hire Date]], TODAY(), "Y")</f>
        <v>12</v>
      </c>
      <c r="G324" s="7">
        <f ca="1">YEARFRAC(Table1[[#This Row],[Hire Date]], TODAY())</f>
        <v>12.483333333333333</v>
      </c>
      <c r="H324" s="7">
        <v>41483</v>
      </c>
      <c r="I324">
        <v>38</v>
      </c>
      <c r="J324" t="s">
        <v>43</v>
      </c>
      <c r="K324">
        <v>9</v>
      </c>
      <c r="L324" t="s">
        <v>44</v>
      </c>
      <c r="M324">
        <v>4711.22</v>
      </c>
      <c r="N324" t="s">
        <v>48</v>
      </c>
      <c r="O324" t="s">
        <v>51</v>
      </c>
      <c r="P324">
        <v>14</v>
      </c>
      <c r="Q324" t="s">
        <v>56</v>
      </c>
      <c r="R324" t="s">
        <v>61</v>
      </c>
      <c r="S324">
        <v>15</v>
      </c>
      <c r="T324">
        <v>2014</v>
      </c>
      <c r="U324" t="s">
        <v>64</v>
      </c>
      <c r="V324">
        <v>125</v>
      </c>
      <c r="W324">
        <v>3.4</v>
      </c>
    </row>
    <row r="325" spans="1:23" x14ac:dyDescent="0.35">
      <c r="A325">
        <v>10324</v>
      </c>
      <c r="B325" t="s">
        <v>26</v>
      </c>
      <c r="C325" t="s">
        <v>31</v>
      </c>
      <c r="D325" t="s">
        <v>36</v>
      </c>
      <c r="E325">
        <v>72255</v>
      </c>
      <c r="F325">
        <f ca="1">DATEDIF(Table1[[#This Row],[Hire Date]], TODAY(), "Y")</f>
        <v>10</v>
      </c>
      <c r="G325" s="7">
        <f ca="1">YEARFRAC(Table1[[#This Row],[Hire Date]], TODAY())</f>
        <v>10.127777777777778</v>
      </c>
      <c r="H325" s="7">
        <v>42344</v>
      </c>
      <c r="I325">
        <v>54</v>
      </c>
      <c r="J325" t="s">
        <v>43</v>
      </c>
      <c r="K325">
        <v>1</v>
      </c>
      <c r="L325" t="s">
        <v>45</v>
      </c>
      <c r="M325">
        <v>2075.14</v>
      </c>
      <c r="N325" t="s">
        <v>49</v>
      </c>
      <c r="O325" t="s">
        <v>53</v>
      </c>
      <c r="P325">
        <v>22</v>
      </c>
      <c r="Q325" t="s">
        <v>55</v>
      </c>
      <c r="R325" t="s">
        <v>62</v>
      </c>
      <c r="S325">
        <v>4</v>
      </c>
      <c r="T325">
        <v>2020</v>
      </c>
      <c r="U325" t="s">
        <v>66</v>
      </c>
      <c r="V325">
        <v>176</v>
      </c>
      <c r="W325">
        <v>2.2999999999999998</v>
      </c>
    </row>
    <row r="326" spans="1:23" x14ac:dyDescent="0.35">
      <c r="A326">
        <v>10325</v>
      </c>
      <c r="B326" t="s">
        <v>27</v>
      </c>
      <c r="C326" t="s">
        <v>34</v>
      </c>
      <c r="D326" t="s">
        <v>38</v>
      </c>
      <c r="E326">
        <v>101160</v>
      </c>
      <c r="F326">
        <f ca="1">DATEDIF(Table1[[#This Row],[Hire Date]], TODAY(), "Y")</f>
        <v>9</v>
      </c>
      <c r="G326" s="7">
        <f ca="1">YEARFRAC(Table1[[#This Row],[Hire Date]], TODAY())</f>
        <v>9.0722222222222229</v>
      </c>
      <c r="H326" s="7">
        <v>42730</v>
      </c>
      <c r="I326">
        <v>44</v>
      </c>
      <c r="J326" t="s">
        <v>42</v>
      </c>
      <c r="K326">
        <v>3</v>
      </c>
      <c r="L326" t="s">
        <v>44</v>
      </c>
      <c r="M326">
        <v>3475.56</v>
      </c>
      <c r="N326" t="s">
        <v>46</v>
      </c>
      <c r="O326" t="s">
        <v>50</v>
      </c>
      <c r="P326">
        <v>4</v>
      </c>
      <c r="Q326" t="s">
        <v>55</v>
      </c>
      <c r="R326" t="s">
        <v>60</v>
      </c>
      <c r="S326">
        <v>5</v>
      </c>
      <c r="T326">
        <v>2015</v>
      </c>
      <c r="U326" t="s">
        <v>65</v>
      </c>
      <c r="V326">
        <v>62</v>
      </c>
      <c r="W326">
        <v>4.3</v>
      </c>
    </row>
    <row r="327" spans="1:23" x14ac:dyDescent="0.35">
      <c r="A327">
        <v>10326</v>
      </c>
      <c r="B327" t="s">
        <v>27</v>
      </c>
      <c r="C327" t="s">
        <v>35</v>
      </c>
      <c r="D327" t="s">
        <v>38</v>
      </c>
      <c r="E327">
        <v>38176</v>
      </c>
      <c r="F327">
        <f ca="1">DATEDIF(Table1[[#This Row],[Hire Date]], TODAY(), "Y")</f>
        <v>7</v>
      </c>
      <c r="G327" s="7">
        <f ca="1">YEARFRAC(Table1[[#This Row],[Hire Date]], TODAY())</f>
        <v>7.0583333333333336</v>
      </c>
      <c r="H327" s="7">
        <v>43466</v>
      </c>
      <c r="I327">
        <v>30</v>
      </c>
      <c r="J327" t="s">
        <v>43</v>
      </c>
      <c r="K327">
        <v>7</v>
      </c>
      <c r="L327" t="s">
        <v>45</v>
      </c>
      <c r="M327">
        <v>2517.61</v>
      </c>
      <c r="N327" t="s">
        <v>48</v>
      </c>
      <c r="O327" t="s">
        <v>51</v>
      </c>
      <c r="P327">
        <v>34</v>
      </c>
      <c r="Q327" t="s">
        <v>55</v>
      </c>
      <c r="R327" t="s">
        <v>59</v>
      </c>
      <c r="S327">
        <v>5</v>
      </c>
      <c r="T327">
        <v>2011</v>
      </c>
      <c r="U327" t="s">
        <v>66</v>
      </c>
      <c r="V327">
        <v>152</v>
      </c>
      <c r="W327">
        <v>4.2</v>
      </c>
    </row>
    <row r="328" spans="1:23" x14ac:dyDescent="0.35">
      <c r="A328">
        <v>10327</v>
      </c>
      <c r="B328" t="s">
        <v>24</v>
      </c>
      <c r="C328" t="s">
        <v>29</v>
      </c>
      <c r="D328" t="s">
        <v>37</v>
      </c>
      <c r="E328">
        <v>63529</v>
      </c>
      <c r="F328">
        <f ca="1">DATEDIF(Table1[[#This Row],[Hire Date]], TODAY(), "Y")</f>
        <v>8</v>
      </c>
      <c r="G328" s="7">
        <f ca="1">YEARFRAC(Table1[[#This Row],[Hire Date]], TODAY())</f>
        <v>8.9805555555555561</v>
      </c>
      <c r="H328" s="7">
        <v>42764</v>
      </c>
      <c r="I328">
        <v>27</v>
      </c>
      <c r="J328" t="s">
        <v>43</v>
      </c>
      <c r="K328">
        <v>4</v>
      </c>
      <c r="L328" t="s">
        <v>45</v>
      </c>
      <c r="M328">
        <v>1695.27</v>
      </c>
      <c r="N328" t="s">
        <v>48</v>
      </c>
      <c r="O328" t="s">
        <v>54</v>
      </c>
      <c r="P328">
        <v>18</v>
      </c>
      <c r="Q328" t="s">
        <v>57</v>
      </c>
      <c r="R328" t="s">
        <v>63</v>
      </c>
      <c r="S328">
        <v>1</v>
      </c>
      <c r="T328">
        <v>2019</v>
      </c>
      <c r="U328" t="s">
        <v>66</v>
      </c>
      <c r="V328">
        <v>93</v>
      </c>
      <c r="W328">
        <v>5</v>
      </c>
    </row>
    <row r="329" spans="1:23" x14ac:dyDescent="0.35">
      <c r="A329">
        <v>10328</v>
      </c>
      <c r="B329" t="s">
        <v>21</v>
      </c>
      <c r="C329" t="s">
        <v>33</v>
      </c>
      <c r="D329" t="s">
        <v>36</v>
      </c>
      <c r="E329">
        <v>86406</v>
      </c>
      <c r="F329">
        <f ca="1">DATEDIF(Table1[[#This Row],[Hire Date]], TODAY(), "Y")</f>
        <v>23</v>
      </c>
      <c r="G329" s="7">
        <f ca="1">YEARFRAC(Table1[[#This Row],[Hire Date]], TODAY())</f>
        <v>23.911111111111111</v>
      </c>
      <c r="H329" s="7">
        <v>37311</v>
      </c>
      <c r="I329">
        <v>23</v>
      </c>
      <c r="J329" t="s">
        <v>42</v>
      </c>
      <c r="K329">
        <v>2</v>
      </c>
      <c r="L329" t="s">
        <v>44</v>
      </c>
      <c r="M329">
        <v>4087.02</v>
      </c>
      <c r="N329" t="s">
        <v>48</v>
      </c>
      <c r="O329" t="s">
        <v>52</v>
      </c>
      <c r="P329">
        <v>34</v>
      </c>
      <c r="Q329" t="s">
        <v>56</v>
      </c>
      <c r="R329" t="s">
        <v>62</v>
      </c>
      <c r="S329">
        <v>6</v>
      </c>
      <c r="T329">
        <v>2021</v>
      </c>
      <c r="U329" t="s">
        <v>64</v>
      </c>
      <c r="V329">
        <v>104</v>
      </c>
      <c r="W329">
        <v>2</v>
      </c>
    </row>
    <row r="330" spans="1:23" x14ac:dyDescent="0.35">
      <c r="A330">
        <v>10329</v>
      </c>
      <c r="B330" t="s">
        <v>25</v>
      </c>
      <c r="C330" t="s">
        <v>29</v>
      </c>
      <c r="D330" t="s">
        <v>36</v>
      </c>
      <c r="E330">
        <v>42941</v>
      </c>
      <c r="F330">
        <f ca="1">DATEDIF(Table1[[#This Row],[Hire Date]], TODAY(), "Y")</f>
        <v>10</v>
      </c>
      <c r="G330" s="7">
        <f ca="1">YEARFRAC(Table1[[#This Row],[Hire Date]], TODAY())</f>
        <v>10.525</v>
      </c>
      <c r="H330" s="7">
        <v>42198</v>
      </c>
      <c r="I330">
        <v>59</v>
      </c>
      <c r="J330" t="s">
        <v>42</v>
      </c>
      <c r="K330">
        <v>3</v>
      </c>
      <c r="L330" t="s">
        <v>44</v>
      </c>
      <c r="M330">
        <v>5638.89</v>
      </c>
      <c r="N330" t="s">
        <v>47</v>
      </c>
      <c r="O330" t="s">
        <v>53</v>
      </c>
      <c r="P330">
        <v>18</v>
      </c>
      <c r="Q330" t="s">
        <v>56</v>
      </c>
      <c r="R330" t="s">
        <v>58</v>
      </c>
      <c r="S330">
        <v>8</v>
      </c>
      <c r="T330">
        <v>2017</v>
      </c>
      <c r="U330" t="s">
        <v>64</v>
      </c>
      <c r="V330">
        <v>119</v>
      </c>
      <c r="W330">
        <v>1.2</v>
      </c>
    </row>
    <row r="331" spans="1:23" x14ac:dyDescent="0.35">
      <c r="A331">
        <v>10330</v>
      </c>
      <c r="B331" t="s">
        <v>25</v>
      </c>
      <c r="C331" t="s">
        <v>30</v>
      </c>
      <c r="D331" t="s">
        <v>38</v>
      </c>
      <c r="E331">
        <v>31669</v>
      </c>
      <c r="F331">
        <f ca="1">DATEDIF(Table1[[#This Row],[Hire Date]], TODAY(), "Y")</f>
        <v>16</v>
      </c>
      <c r="G331" s="7">
        <f ca="1">YEARFRAC(Table1[[#This Row],[Hire Date]], TODAY())</f>
        <v>16.977777777777778</v>
      </c>
      <c r="H331" s="7">
        <v>39843</v>
      </c>
      <c r="I331">
        <v>30</v>
      </c>
      <c r="J331" t="s">
        <v>43</v>
      </c>
      <c r="K331">
        <v>7</v>
      </c>
      <c r="L331" t="s">
        <v>44</v>
      </c>
      <c r="M331">
        <v>1191.1400000000001</v>
      </c>
      <c r="N331" t="s">
        <v>47</v>
      </c>
      <c r="O331" t="s">
        <v>52</v>
      </c>
      <c r="P331">
        <v>31</v>
      </c>
      <c r="Q331" t="s">
        <v>57</v>
      </c>
      <c r="R331" t="s">
        <v>62</v>
      </c>
      <c r="S331">
        <v>14</v>
      </c>
      <c r="T331">
        <v>2013</v>
      </c>
      <c r="U331" t="s">
        <v>66</v>
      </c>
      <c r="V331">
        <v>78</v>
      </c>
      <c r="W331">
        <v>2.8</v>
      </c>
    </row>
    <row r="332" spans="1:23" x14ac:dyDescent="0.35">
      <c r="A332">
        <v>10331</v>
      </c>
      <c r="B332" t="s">
        <v>28</v>
      </c>
      <c r="C332" t="s">
        <v>34</v>
      </c>
      <c r="D332" t="s">
        <v>39</v>
      </c>
      <c r="E332">
        <v>115782</v>
      </c>
      <c r="F332">
        <f ca="1">DATEDIF(Table1[[#This Row],[Hire Date]], TODAY(), "Y")</f>
        <v>21</v>
      </c>
      <c r="G332" s="7">
        <f ca="1">YEARFRAC(Table1[[#This Row],[Hire Date]], TODAY())</f>
        <v>21.491666666666667</v>
      </c>
      <c r="H332" s="7">
        <v>38193</v>
      </c>
      <c r="I332">
        <v>24</v>
      </c>
      <c r="J332" t="s">
        <v>43</v>
      </c>
      <c r="K332">
        <v>8</v>
      </c>
      <c r="L332" t="s">
        <v>45</v>
      </c>
      <c r="M332">
        <v>6236.32</v>
      </c>
      <c r="N332" t="s">
        <v>48</v>
      </c>
      <c r="O332" t="s">
        <v>51</v>
      </c>
      <c r="P332">
        <v>20</v>
      </c>
      <c r="Q332" t="s">
        <v>57</v>
      </c>
      <c r="R332" t="s">
        <v>60</v>
      </c>
      <c r="S332">
        <v>13</v>
      </c>
      <c r="T332">
        <v>2016</v>
      </c>
      <c r="U332" t="s">
        <v>66</v>
      </c>
      <c r="V332">
        <v>172</v>
      </c>
      <c r="W332">
        <v>1.3</v>
      </c>
    </row>
    <row r="333" spans="1:23" x14ac:dyDescent="0.35">
      <c r="A333">
        <v>10332</v>
      </c>
      <c r="B333" t="s">
        <v>28</v>
      </c>
      <c r="C333" t="s">
        <v>33</v>
      </c>
      <c r="D333" t="s">
        <v>37</v>
      </c>
      <c r="E333">
        <v>74859</v>
      </c>
      <c r="F333">
        <f ca="1">DATEDIF(Table1[[#This Row],[Hire Date]], TODAY(), "Y")</f>
        <v>17</v>
      </c>
      <c r="G333" s="7">
        <f ca="1">YEARFRAC(Table1[[#This Row],[Hire Date]], TODAY())</f>
        <v>17.819444444444443</v>
      </c>
      <c r="H333" s="7">
        <v>39534</v>
      </c>
      <c r="I333">
        <v>37</v>
      </c>
      <c r="J333" t="s">
        <v>43</v>
      </c>
      <c r="K333">
        <v>9</v>
      </c>
      <c r="L333" t="s">
        <v>44</v>
      </c>
      <c r="M333">
        <v>9933.73</v>
      </c>
      <c r="N333" t="s">
        <v>49</v>
      </c>
      <c r="O333" t="s">
        <v>50</v>
      </c>
      <c r="P333">
        <v>36</v>
      </c>
      <c r="Q333" t="s">
        <v>56</v>
      </c>
      <c r="R333" t="s">
        <v>61</v>
      </c>
      <c r="S333">
        <v>12</v>
      </c>
      <c r="T333">
        <v>2016</v>
      </c>
      <c r="U333" t="s">
        <v>65</v>
      </c>
      <c r="V333">
        <v>20</v>
      </c>
      <c r="W333">
        <v>1.7</v>
      </c>
    </row>
    <row r="334" spans="1:23" x14ac:dyDescent="0.35">
      <c r="A334">
        <v>10333</v>
      </c>
      <c r="B334" t="s">
        <v>22</v>
      </c>
      <c r="C334" t="s">
        <v>31</v>
      </c>
      <c r="D334" t="s">
        <v>38</v>
      </c>
      <c r="E334">
        <v>85786</v>
      </c>
      <c r="F334">
        <f ca="1">DATEDIF(Table1[[#This Row],[Hire Date]], TODAY(), "Y")</f>
        <v>8</v>
      </c>
      <c r="G334" s="7">
        <f ca="1">YEARFRAC(Table1[[#This Row],[Hire Date]], TODAY())</f>
        <v>8.4250000000000007</v>
      </c>
      <c r="H334" s="7">
        <v>42966</v>
      </c>
      <c r="I334">
        <v>46</v>
      </c>
      <c r="J334" t="s">
        <v>42</v>
      </c>
      <c r="K334">
        <v>6</v>
      </c>
      <c r="L334" t="s">
        <v>44</v>
      </c>
      <c r="M334">
        <v>9659.19</v>
      </c>
      <c r="N334" t="s">
        <v>47</v>
      </c>
      <c r="O334" t="s">
        <v>54</v>
      </c>
      <c r="P334">
        <v>10</v>
      </c>
      <c r="Q334" t="s">
        <v>57</v>
      </c>
      <c r="R334" t="s">
        <v>60</v>
      </c>
      <c r="S334">
        <v>4</v>
      </c>
      <c r="T334">
        <v>2021</v>
      </c>
      <c r="U334" t="s">
        <v>64</v>
      </c>
      <c r="V334">
        <v>8</v>
      </c>
      <c r="W334">
        <v>3.4</v>
      </c>
    </row>
    <row r="335" spans="1:23" x14ac:dyDescent="0.35">
      <c r="A335">
        <v>10334</v>
      </c>
      <c r="B335" t="s">
        <v>24</v>
      </c>
      <c r="C335" t="s">
        <v>34</v>
      </c>
      <c r="D335" t="s">
        <v>38</v>
      </c>
      <c r="E335">
        <v>81083</v>
      </c>
      <c r="F335">
        <f ca="1">DATEDIF(Table1[[#This Row],[Hire Date]], TODAY(), "Y")</f>
        <v>17</v>
      </c>
      <c r="G335" s="7">
        <f ca="1">YEARFRAC(Table1[[#This Row],[Hire Date]], TODAY())</f>
        <v>17.31388888888889</v>
      </c>
      <c r="H335" s="7">
        <v>39720</v>
      </c>
      <c r="I335">
        <v>45</v>
      </c>
      <c r="J335" t="s">
        <v>42</v>
      </c>
      <c r="K335">
        <v>9</v>
      </c>
      <c r="L335" t="s">
        <v>45</v>
      </c>
      <c r="M335">
        <v>8377.15</v>
      </c>
      <c r="N335" t="s">
        <v>46</v>
      </c>
      <c r="O335" t="s">
        <v>53</v>
      </c>
      <c r="P335">
        <v>3</v>
      </c>
      <c r="Q335" t="s">
        <v>57</v>
      </c>
      <c r="R335" t="s">
        <v>61</v>
      </c>
      <c r="S335">
        <v>16</v>
      </c>
      <c r="T335">
        <v>2023</v>
      </c>
      <c r="U335" t="s">
        <v>64</v>
      </c>
      <c r="V335">
        <v>14</v>
      </c>
      <c r="W335">
        <v>3.4</v>
      </c>
    </row>
    <row r="336" spans="1:23" x14ac:dyDescent="0.35">
      <c r="A336">
        <v>10335</v>
      </c>
      <c r="B336" t="s">
        <v>27</v>
      </c>
      <c r="C336" t="s">
        <v>31</v>
      </c>
      <c r="D336" t="s">
        <v>41</v>
      </c>
      <c r="E336">
        <v>70076</v>
      </c>
      <c r="F336">
        <f ca="1">DATEDIF(Table1[[#This Row],[Hire Date]], TODAY(), "Y")</f>
        <v>12</v>
      </c>
      <c r="G336" s="7">
        <f ca="1">YEARFRAC(Table1[[#This Row],[Hire Date]], TODAY())</f>
        <v>12.95</v>
      </c>
      <c r="H336" s="7">
        <v>41315</v>
      </c>
      <c r="I336">
        <v>50</v>
      </c>
      <c r="J336" t="s">
        <v>43</v>
      </c>
      <c r="K336">
        <v>4</v>
      </c>
      <c r="L336" t="s">
        <v>44</v>
      </c>
      <c r="M336">
        <v>3030.24</v>
      </c>
      <c r="N336" t="s">
        <v>47</v>
      </c>
      <c r="O336" t="s">
        <v>50</v>
      </c>
      <c r="P336">
        <v>21</v>
      </c>
      <c r="Q336" t="s">
        <v>56</v>
      </c>
      <c r="R336" t="s">
        <v>61</v>
      </c>
      <c r="S336">
        <v>4</v>
      </c>
      <c r="T336">
        <v>2022</v>
      </c>
      <c r="U336" t="s">
        <v>66</v>
      </c>
      <c r="V336">
        <v>183</v>
      </c>
      <c r="W336">
        <v>1.2</v>
      </c>
    </row>
    <row r="337" spans="1:23" x14ac:dyDescent="0.35">
      <c r="A337">
        <v>10336</v>
      </c>
      <c r="B337" t="s">
        <v>25</v>
      </c>
      <c r="C337" t="s">
        <v>32</v>
      </c>
      <c r="D337" t="s">
        <v>41</v>
      </c>
      <c r="E337">
        <v>50323</v>
      </c>
      <c r="F337">
        <f ca="1">DATEDIF(Table1[[#This Row],[Hire Date]], TODAY(), "Y")</f>
        <v>15</v>
      </c>
      <c r="G337" s="7">
        <f ca="1">YEARFRAC(Table1[[#This Row],[Hire Date]], TODAY())</f>
        <v>15.719444444444445</v>
      </c>
      <c r="H337" s="7">
        <v>40301</v>
      </c>
      <c r="I337">
        <v>61</v>
      </c>
      <c r="J337" t="s">
        <v>43</v>
      </c>
      <c r="K337">
        <v>5</v>
      </c>
      <c r="L337" t="s">
        <v>44</v>
      </c>
      <c r="M337">
        <v>712.87</v>
      </c>
      <c r="N337" t="s">
        <v>49</v>
      </c>
      <c r="O337" t="s">
        <v>53</v>
      </c>
      <c r="P337">
        <v>36</v>
      </c>
      <c r="Q337" t="s">
        <v>55</v>
      </c>
      <c r="R337" t="s">
        <v>59</v>
      </c>
      <c r="S337">
        <v>2</v>
      </c>
      <c r="T337">
        <v>2019</v>
      </c>
      <c r="U337" t="s">
        <v>64</v>
      </c>
      <c r="V337">
        <v>52</v>
      </c>
      <c r="W337">
        <v>2.8</v>
      </c>
    </row>
    <row r="338" spans="1:23" x14ac:dyDescent="0.35">
      <c r="A338">
        <v>10337</v>
      </c>
      <c r="B338" t="s">
        <v>23</v>
      </c>
      <c r="C338" t="s">
        <v>29</v>
      </c>
      <c r="D338" t="s">
        <v>39</v>
      </c>
      <c r="E338">
        <v>36021</v>
      </c>
      <c r="F338">
        <f ca="1">DATEDIF(Table1[[#This Row],[Hire Date]], TODAY(), "Y")</f>
        <v>19</v>
      </c>
      <c r="G338" s="7">
        <f ca="1">YEARFRAC(Table1[[#This Row],[Hire Date]], TODAY())</f>
        <v>19.361111111111111</v>
      </c>
      <c r="H338" s="7">
        <v>38972</v>
      </c>
      <c r="I338">
        <v>47</v>
      </c>
      <c r="J338" t="s">
        <v>43</v>
      </c>
      <c r="K338">
        <v>1</v>
      </c>
      <c r="L338" t="s">
        <v>44</v>
      </c>
      <c r="M338">
        <v>8418.65</v>
      </c>
      <c r="N338" t="s">
        <v>47</v>
      </c>
      <c r="O338" t="s">
        <v>54</v>
      </c>
      <c r="P338">
        <v>10</v>
      </c>
      <c r="Q338" t="s">
        <v>57</v>
      </c>
      <c r="R338" t="s">
        <v>61</v>
      </c>
      <c r="S338">
        <v>8</v>
      </c>
      <c r="T338">
        <v>2020</v>
      </c>
      <c r="U338" t="s">
        <v>66</v>
      </c>
      <c r="V338">
        <v>24</v>
      </c>
      <c r="W338">
        <v>3.1</v>
      </c>
    </row>
    <row r="339" spans="1:23" x14ac:dyDescent="0.35">
      <c r="A339">
        <v>10338</v>
      </c>
      <c r="B339" t="s">
        <v>24</v>
      </c>
      <c r="C339" t="s">
        <v>33</v>
      </c>
      <c r="D339" t="s">
        <v>37</v>
      </c>
      <c r="E339">
        <v>69807</v>
      </c>
      <c r="F339">
        <f ca="1">DATEDIF(Table1[[#This Row],[Hire Date]], TODAY(), "Y")</f>
        <v>15</v>
      </c>
      <c r="G339" s="7">
        <f ca="1">YEARFRAC(Table1[[#This Row],[Hire Date]], TODAY())</f>
        <v>15.677777777777777</v>
      </c>
      <c r="H339" s="7">
        <v>40316</v>
      </c>
      <c r="I339">
        <v>59</v>
      </c>
      <c r="J339" t="s">
        <v>42</v>
      </c>
      <c r="K339">
        <v>9</v>
      </c>
      <c r="L339" t="s">
        <v>44</v>
      </c>
      <c r="M339">
        <v>1029.3399999999999</v>
      </c>
      <c r="N339" t="s">
        <v>49</v>
      </c>
      <c r="O339" t="s">
        <v>54</v>
      </c>
      <c r="P339">
        <v>7</v>
      </c>
      <c r="Q339" t="s">
        <v>56</v>
      </c>
      <c r="R339" t="s">
        <v>58</v>
      </c>
      <c r="S339">
        <v>8</v>
      </c>
      <c r="T339">
        <v>2020</v>
      </c>
      <c r="U339" t="s">
        <v>66</v>
      </c>
      <c r="V339">
        <v>36</v>
      </c>
      <c r="W339">
        <v>2.1</v>
      </c>
    </row>
    <row r="340" spans="1:23" x14ac:dyDescent="0.35">
      <c r="A340">
        <v>10339</v>
      </c>
      <c r="B340" t="s">
        <v>22</v>
      </c>
      <c r="C340" t="s">
        <v>31</v>
      </c>
      <c r="D340" t="s">
        <v>40</v>
      </c>
      <c r="E340">
        <v>80355</v>
      </c>
      <c r="F340">
        <f ca="1">DATEDIF(Table1[[#This Row],[Hire Date]], TODAY(), "Y")</f>
        <v>6</v>
      </c>
      <c r="G340" s="7">
        <f ca="1">YEARFRAC(Table1[[#This Row],[Hire Date]], TODAY())</f>
        <v>6.6444444444444448</v>
      </c>
      <c r="H340" s="7">
        <v>43615</v>
      </c>
      <c r="I340">
        <v>56</v>
      </c>
      <c r="J340" t="s">
        <v>43</v>
      </c>
      <c r="K340">
        <v>9</v>
      </c>
      <c r="L340" t="s">
        <v>45</v>
      </c>
      <c r="M340">
        <v>2453.4699999999998</v>
      </c>
      <c r="N340" t="s">
        <v>49</v>
      </c>
      <c r="O340" t="s">
        <v>51</v>
      </c>
      <c r="P340">
        <v>22</v>
      </c>
      <c r="Q340" t="s">
        <v>56</v>
      </c>
      <c r="R340" t="s">
        <v>62</v>
      </c>
      <c r="S340">
        <v>3</v>
      </c>
      <c r="T340">
        <v>2011</v>
      </c>
      <c r="U340" t="s">
        <v>64</v>
      </c>
      <c r="V340">
        <v>198</v>
      </c>
      <c r="W340">
        <v>4.5</v>
      </c>
    </row>
    <row r="341" spans="1:23" x14ac:dyDescent="0.35">
      <c r="A341">
        <v>10340</v>
      </c>
      <c r="B341" t="s">
        <v>22</v>
      </c>
      <c r="C341" t="s">
        <v>35</v>
      </c>
      <c r="D341" t="s">
        <v>41</v>
      </c>
      <c r="E341">
        <v>74732</v>
      </c>
      <c r="F341">
        <f ca="1">DATEDIF(Table1[[#This Row],[Hire Date]], TODAY(), "Y")</f>
        <v>11</v>
      </c>
      <c r="G341" s="7">
        <f ca="1">YEARFRAC(Table1[[#This Row],[Hire Date]], TODAY())</f>
        <v>11.408333333333333</v>
      </c>
      <c r="H341" s="7">
        <v>41876</v>
      </c>
      <c r="I341">
        <v>44</v>
      </c>
      <c r="J341" t="s">
        <v>43</v>
      </c>
      <c r="K341">
        <v>9</v>
      </c>
      <c r="L341" t="s">
        <v>44</v>
      </c>
      <c r="M341">
        <v>5672.31</v>
      </c>
      <c r="N341" t="s">
        <v>47</v>
      </c>
      <c r="O341" t="s">
        <v>53</v>
      </c>
      <c r="P341">
        <v>23</v>
      </c>
      <c r="Q341" t="s">
        <v>56</v>
      </c>
      <c r="R341" t="s">
        <v>60</v>
      </c>
      <c r="S341">
        <v>19</v>
      </c>
      <c r="T341">
        <v>2023</v>
      </c>
      <c r="U341" t="s">
        <v>65</v>
      </c>
      <c r="V341">
        <v>64</v>
      </c>
      <c r="W341">
        <v>1.6</v>
      </c>
    </row>
    <row r="342" spans="1:23" x14ac:dyDescent="0.35">
      <c r="A342">
        <v>10341</v>
      </c>
      <c r="B342" t="s">
        <v>24</v>
      </c>
      <c r="C342" t="s">
        <v>31</v>
      </c>
      <c r="D342" t="s">
        <v>40</v>
      </c>
      <c r="E342">
        <v>38711</v>
      </c>
      <c r="F342">
        <f ca="1">DATEDIF(Table1[[#This Row],[Hire Date]], TODAY(), "Y")</f>
        <v>24</v>
      </c>
      <c r="G342" s="7">
        <f ca="1">YEARFRAC(Table1[[#This Row],[Hire Date]], TODAY())</f>
        <v>24.597222222222221</v>
      </c>
      <c r="H342" s="7">
        <v>37059</v>
      </c>
      <c r="I342">
        <v>25</v>
      </c>
      <c r="J342" t="s">
        <v>42</v>
      </c>
      <c r="K342">
        <v>3</v>
      </c>
      <c r="L342" t="s">
        <v>45</v>
      </c>
      <c r="M342">
        <v>2194.59</v>
      </c>
      <c r="N342" t="s">
        <v>49</v>
      </c>
      <c r="O342" t="s">
        <v>51</v>
      </c>
      <c r="P342">
        <v>12</v>
      </c>
      <c r="Q342" t="s">
        <v>57</v>
      </c>
      <c r="R342" t="s">
        <v>60</v>
      </c>
      <c r="S342">
        <v>10</v>
      </c>
      <c r="T342">
        <v>2016</v>
      </c>
      <c r="U342" t="s">
        <v>64</v>
      </c>
      <c r="V342">
        <v>15</v>
      </c>
      <c r="W342">
        <v>2</v>
      </c>
    </row>
    <row r="343" spans="1:23" x14ac:dyDescent="0.35">
      <c r="A343">
        <v>10342</v>
      </c>
      <c r="B343" t="s">
        <v>22</v>
      </c>
      <c r="C343" t="s">
        <v>35</v>
      </c>
      <c r="D343" t="s">
        <v>36</v>
      </c>
      <c r="E343">
        <v>93079</v>
      </c>
      <c r="F343">
        <f ca="1">DATEDIF(Table1[[#This Row],[Hire Date]], TODAY(), "Y")</f>
        <v>24</v>
      </c>
      <c r="G343" s="7">
        <f ca="1">YEARFRAC(Table1[[#This Row],[Hire Date]], TODAY())</f>
        <v>24.963888888888889</v>
      </c>
      <c r="H343" s="7">
        <v>36927</v>
      </c>
      <c r="I343">
        <v>63</v>
      </c>
      <c r="J343" t="s">
        <v>43</v>
      </c>
      <c r="K343">
        <v>8</v>
      </c>
      <c r="L343" t="s">
        <v>45</v>
      </c>
      <c r="M343">
        <v>8420.99</v>
      </c>
      <c r="N343" t="s">
        <v>49</v>
      </c>
      <c r="O343" t="s">
        <v>53</v>
      </c>
      <c r="P343">
        <v>39</v>
      </c>
      <c r="Q343" t="s">
        <v>55</v>
      </c>
      <c r="R343" t="s">
        <v>61</v>
      </c>
      <c r="S343">
        <v>16</v>
      </c>
      <c r="T343">
        <v>2021</v>
      </c>
      <c r="U343" t="s">
        <v>66</v>
      </c>
      <c r="V343">
        <v>24</v>
      </c>
      <c r="W343">
        <v>1.6</v>
      </c>
    </row>
    <row r="344" spans="1:23" x14ac:dyDescent="0.35">
      <c r="A344">
        <v>10343</v>
      </c>
      <c r="B344" t="s">
        <v>24</v>
      </c>
      <c r="C344" t="s">
        <v>34</v>
      </c>
      <c r="D344" t="s">
        <v>41</v>
      </c>
      <c r="E344">
        <v>37904</v>
      </c>
      <c r="F344">
        <f ca="1">DATEDIF(Table1[[#This Row],[Hire Date]], TODAY(), "Y")</f>
        <v>16</v>
      </c>
      <c r="G344" s="7">
        <f ca="1">YEARFRAC(Table1[[#This Row],[Hire Date]], TODAY())</f>
        <v>16.030555555555555</v>
      </c>
      <c r="H344" s="7">
        <v>40189</v>
      </c>
      <c r="I344">
        <v>35</v>
      </c>
      <c r="J344" t="s">
        <v>42</v>
      </c>
      <c r="K344">
        <v>3</v>
      </c>
      <c r="L344" t="s">
        <v>44</v>
      </c>
      <c r="M344">
        <v>7883.02</v>
      </c>
      <c r="N344" t="s">
        <v>46</v>
      </c>
      <c r="O344" t="s">
        <v>53</v>
      </c>
      <c r="P344">
        <v>13</v>
      </c>
      <c r="Q344" t="s">
        <v>55</v>
      </c>
      <c r="R344" t="s">
        <v>59</v>
      </c>
      <c r="S344">
        <v>13</v>
      </c>
      <c r="T344">
        <v>2010</v>
      </c>
      <c r="U344" t="s">
        <v>66</v>
      </c>
      <c r="V344">
        <v>27</v>
      </c>
      <c r="W344">
        <v>1.5</v>
      </c>
    </row>
    <row r="345" spans="1:23" x14ac:dyDescent="0.35">
      <c r="A345">
        <v>10344</v>
      </c>
      <c r="B345" t="s">
        <v>26</v>
      </c>
      <c r="C345" t="s">
        <v>33</v>
      </c>
      <c r="D345" t="s">
        <v>41</v>
      </c>
      <c r="E345">
        <v>94033</v>
      </c>
      <c r="F345">
        <f ca="1">DATEDIF(Table1[[#This Row],[Hire Date]], TODAY(), "Y")</f>
        <v>25</v>
      </c>
      <c r="G345" s="7">
        <f ca="1">YEARFRAC(Table1[[#This Row],[Hire Date]], TODAY())</f>
        <v>25.702777777777779</v>
      </c>
      <c r="H345" s="7">
        <v>36655</v>
      </c>
      <c r="I345">
        <v>60</v>
      </c>
      <c r="J345" t="s">
        <v>42</v>
      </c>
      <c r="K345">
        <v>6</v>
      </c>
      <c r="L345" t="s">
        <v>45</v>
      </c>
      <c r="M345">
        <v>7679.81</v>
      </c>
      <c r="N345" t="s">
        <v>48</v>
      </c>
      <c r="O345" t="s">
        <v>52</v>
      </c>
      <c r="P345">
        <v>13</v>
      </c>
      <c r="Q345" t="s">
        <v>56</v>
      </c>
      <c r="R345" t="s">
        <v>58</v>
      </c>
      <c r="S345">
        <v>9</v>
      </c>
      <c r="T345">
        <v>2021</v>
      </c>
      <c r="U345" t="s">
        <v>65</v>
      </c>
      <c r="V345">
        <v>131</v>
      </c>
      <c r="W345">
        <v>4.5</v>
      </c>
    </row>
    <row r="346" spans="1:23" x14ac:dyDescent="0.35">
      <c r="A346">
        <v>10345</v>
      </c>
      <c r="B346" t="s">
        <v>24</v>
      </c>
      <c r="C346" t="s">
        <v>31</v>
      </c>
      <c r="D346" t="s">
        <v>37</v>
      </c>
      <c r="E346">
        <v>116478</v>
      </c>
      <c r="F346">
        <f ca="1">DATEDIF(Table1[[#This Row],[Hire Date]], TODAY(), "Y")</f>
        <v>19</v>
      </c>
      <c r="G346" s="7">
        <f ca="1">YEARFRAC(Table1[[#This Row],[Hire Date]], TODAY())</f>
        <v>19.649999999999999</v>
      </c>
      <c r="H346" s="7">
        <v>38865</v>
      </c>
      <c r="I346">
        <v>28</v>
      </c>
      <c r="J346" t="s">
        <v>43</v>
      </c>
      <c r="K346">
        <v>5</v>
      </c>
      <c r="L346" t="s">
        <v>44</v>
      </c>
      <c r="M346">
        <v>8253.2099999999991</v>
      </c>
      <c r="N346" t="s">
        <v>48</v>
      </c>
      <c r="O346" t="s">
        <v>51</v>
      </c>
      <c r="P346">
        <v>33</v>
      </c>
      <c r="Q346" t="s">
        <v>57</v>
      </c>
      <c r="R346" t="s">
        <v>58</v>
      </c>
      <c r="S346">
        <v>4</v>
      </c>
      <c r="T346">
        <v>2023</v>
      </c>
      <c r="U346" t="s">
        <v>66</v>
      </c>
      <c r="V346">
        <v>81</v>
      </c>
      <c r="W346">
        <v>2.1</v>
      </c>
    </row>
    <row r="347" spans="1:23" x14ac:dyDescent="0.35">
      <c r="A347">
        <v>10346</v>
      </c>
      <c r="B347" t="s">
        <v>21</v>
      </c>
      <c r="C347" t="s">
        <v>30</v>
      </c>
      <c r="D347" t="s">
        <v>39</v>
      </c>
      <c r="E347">
        <v>119787</v>
      </c>
      <c r="F347">
        <f ca="1">DATEDIF(Table1[[#This Row],[Hire Date]], TODAY(), "Y")</f>
        <v>14</v>
      </c>
      <c r="G347" s="7">
        <f ca="1">YEARFRAC(Table1[[#This Row],[Hire Date]], TODAY())</f>
        <v>14.088888888888889</v>
      </c>
      <c r="H347" s="7">
        <v>40897</v>
      </c>
      <c r="I347">
        <v>29</v>
      </c>
      <c r="J347" t="s">
        <v>42</v>
      </c>
      <c r="K347">
        <v>8</v>
      </c>
      <c r="L347" t="s">
        <v>45</v>
      </c>
      <c r="M347">
        <v>2587.17</v>
      </c>
      <c r="N347" t="s">
        <v>47</v>
      </c>
      <c r="O347" t="s">
        <v>53</v>
      </c>
      <c r="P347">
        <v>31</v>
      </c>
      <c r="Q347" t="s">
        <v>57</v>
      </c>
      <c r="R347" t="s">
        <v>63</v>
      </c>
      <c r="S347">
        <v>16</v>
      </c>
      <c r="T347">
        <v>2011</v>
      </c>
      <c r="U347" t="s">
        <v>65</v>
      </c>
      <c r="V347">
        <v>39</v>
      </c>
      <c r="W347">
        <v>3.9</v>
      </c>
    </row>
    <row r="348" spans="1:23" x14ac:dyDescent="0.35">
      <c r="A348">
        <v>10347</v>
      </c>
      <c r="B348" t="s">
        <v>24</v>
      </c>
      <c r="C348" t="s">
        <v>31</v>
      </c>
      <c r="D348" t="s">
        <v>40</v>
      </c>
      <c r="E348">
        <v>85096</v>
      </c>
      <c r="F348">
        <f ca="1">DATEDIF(Table1[[#This Row],[Hire Date]], TODAY(), "Y")</f>
        <v>17</v>
      </c>
      <c r="G348" s="7">
        <f ca="1">YEARFRAC(Table1[[#This Row],[Hire Date]], TODAY())</f>
        <v>17.958333333333332</v>
      </c>
      <c r="H348" s="7">
        <v>39485</v>
      </c>
      <c r="I348">
        <v>63</v>
      </c>
      <c r="J348" t="s">
        <v>42</v>
      </c>
      <c r="K348">
        <v>3</v>
      </c>
      <c r="L348" t="s">
        <v>44</v>
      </c>
      <c r="M348">
        <v>7424.48</v>
      </c>
      <c r="N348" t="s">
        <v>49</v>
      </c>
      <c r="O348" t="s">
        <v>53</v>
      </c>
      <c r="P348">
        <v>28</v>
      </c>
      <c r="Q348" t="s">
        <v>55</v>
      </c>
      <c r="R348" t="s">
        <v>58</v>
      </c>
      <c r="S348">
        <v>15</v>
      </c>
      <c r="T348">
        <v>2014</v>
      </c>
      <c r="U348" t="s">
        <v>64</v>
      </c>
      <c r="V348">
        <v>149</v>
      </c>
      <c r="W348">
        <v>2.7</v>
      </c>
    </row>
    <row r="349" spans="1:23" x14ac:dyDescent="0.35">
      <c r="A349">
        <v>10348</v>
      </c>
      <c r="B349" t="s">
        <v>22</v>
      </c>
      <c r="C349" t="s">
        <v>30</v>
      </c>
      <c r="D349" t="s">
        <v>41</v>
      </c>
      <c r="E349">
        <v>33093</v>
      </c>
      <c r="F349">
        <f ca="1">DATEDIF(Table1[[#This Row],[Hire Date]], TODAY(), "Y")</f>
        <v>20</v>
      </c>
      <c r="G349" s="7">
        <f ca="1">YEARFRAC(Table1[[#This Row],[Hire Date]], TODAY())</f>
        <v>20.975000000000001</v>
      </c>
      <c r="H349" s="7">
        <v>38384</v>
      </c>
      <c r="I349">
        <v>40</v>
      </c>
      <c r="J349" t="s">
        <v>43</v>
      </c>
      <c r="K349">
        <v>1</v>
      </c>
      <c r="L349" t="s">
        <v>45</v>
      </c>
      <c r="M349">
        <v>3875.17</v>
      </c>
      <c r="N349" t="s">
        <v>47</v>
      </c>
      <c r="O349" t="s">
        <v>54</v>
      </c>
      <c r="P349">
        <v>19</v>
      </c>
      <c r="Q349" t="s">
        <v>55</v>
      </c>
      <c r="R349" t="s">
        <v>61</v>
      </c>
      <c r="S349">
        <v>0</v>
      </c>
      <c r="T349">
        <v>2017</v>
      </c>
      <c r="U349" t="s">
        <v>65</v>
      </c>
      <c r="V349">
        <v>14</v>
      </c>
      <c r="W349">
        <v>3.5</v>
      </c>
    </row>
    <row r="350" spans="1:23" x14ac:dyDescent="0.35">
      <c r="A350">
        <v>10349</v>
      </c>
      <c r="B350" t="s">
        <v>25</v>
      </c>
      <c r="C350" t="s">
        <v>33</v>
      </c>
      <c r="D350" t="s">
        <v>41</v>
      </c>
      <c r="E350">
        <v>54918</v>
      </c>
      <c r="F350">
        <f ca="1">DATEDIF(Table1[[#This Row],[Hire Date]], TODAY(), "Y")</f>
        <v>17</v>
      </c>
      <c r="G350" s="7">
        <f ca="1">YEARFRAC(Table1[[#This Row],[Hire Date]], TODAY())</f>
        <v>17.919444444444444</v>
      </c>
      <c r="H350" s="7">
        <v>39499</v>
      </c>
      <c r="I350">
        <v>23</v>
      </c>
      <c r="J350" t="s">
        <v>42</v>
      </c>
      <c r="K350">
        <v>9</v>
      </c>
      <c r="L350" t="s">
        <v>45</v>
      </c>
      <c r="M350">
        <v>6835.03</v>
      </c>
      <c r="N350" t="s">
        <v>47</v>
      </c>
      <c r="O350" t="s">
        <v>52</v>
      </c>
      <c r="P350">
        <v>21</v>
      </c>
      <c r="Q350" t="s">
        <v>57</v>
      </c>
      <c r="R350" t="s">
        <v>61</v>
      </c>
      <c r="S350">
        <v>9</v>
      </c>
      <c r="T350">
        <v>2021</v>
      </c>
      <c r="U350" t="s">
        <v>66</v>
      </c>
      <c r="V350">
        <v>42</v>
      </c>
      <c r="W350">
        <v>4.7</v>
      </c>
    </row>
    <row r="351" spans="1:23" x14ac:dyDescent="0.35">
      <c r="A351">
        <v>10350</v>
      </c>
      <c r="B351" t="s">
        <v>21</v>
      </c>
      <c r="C351" t="s">
        <v>31</v>
      </c>
      <c r="D351" t="s">
        <v>37</v>
      </c>
      <c r="E351">
        <v>102743</v>
      </c>
      <c r="F351">
        <f ca="1">DATEDIF(Table1[[#This Row],[Hire Date]], TODAY(), "Y")</f>
        <v>14</v>
      </c>
      <c r="G351" s="7">
        <f ca="1">YEARFRAC(Table1[[#This Row],[Hire Date]], TODAY())</f>
        <v>14.691666666666666</v>
      </c>
      <c r="H351" s="7">
        <v>40676</v>
      </c>
      <c r="I351">
        <v>22</v>
      </c>
      <c r="J351" t="s">
        <v>42</v>
      </c>
      <c r="K351">
        <v>9</v>
      </c>
      <c r="L351" t="s">
        <v>45</v>
      </c>
      <c r="M351">
        <v>1659.21</v>
      </c>
      <c r="N351" t="s">
        <v>48</v>
      </c>
      <c r="O351" t="s">
        <v>54</v>
      </c>
      <c r="P351">
        <v>32</v>
      </c>
      <c r="Q351" t="s">
        <v>55</v>
      </c>
      <c r="R351" t="s">
        <v>62</v>
      </c>
      <c r="S351">
        <v>11</v>
      </c>
      <c r="T351">
        <v>2016</v>
      </c>
      <c r="U351" t="s">
        <v>66</v>
      </c>
      <c r="V351">
        <v>87</v>
      </c>
      <c r="W351">
        <v>4.4000000000000004</v>
      </c>
    </row>
    <row r="352" spans="1:23" x14ac:dyDescent="0.35">
      <c r="A352">
        <v>10351</v>
      </c>
      <c r="B352" t="s">
        <v>22</v>
      </c>
      <c r="C352" t="s">
        <v>35</v>
      </c>
      <c r="D352" t="s">
        <v>37</v>
      </c>
      <c r="E352">
        <v>92636</v>
      </c>
      <c r="F352">
        <f ca="1">DATEDIF(Table1[[#This Row],[Hire Date]], TODAY(), "Y")</f>
        <v>16</v>
      </c>
      <c r="G352" s="7">
        <f ca="1">YEARFRAC(Table1[[#This Row],[Hire Date]], TODAY())</f>
        <v>16.066666666666666</v>
      </c>
      <c r="H352" s="7">
        <v>40175</v>
      </c>
      <c r="I352">
        <v>63</v>
      </c>
      <c r="J352" t="s">
        <v>43</v>
      </c>
      <c r="K352">
        <v>3</v>
      </c>
      <c r="L352" t="s">
        <v>45</v>
      </c>
      <c r="M352">
        <v>7203.07</v>
      </c>
      <c r="N352" t="s">
        <v>49</v>
      </c>
      <c r="O352" t="s">
        <v>51</v>
      </c>
      <c r="P352">
        <v>26</v>
      </c>
      <c r="Q352" t="s">
        <v>56</v>
      </c>
      <c r="R352" t="s">
        <v>61</v>
      </c>
      <c r="S352">
        <v>17</v>
      </c>
      <c r="T352">
        <v>2012</v>
      </c>
      <c r="U352" t="s">
        <v>65</v>
      </c>
      <c r="V352">
        <v>36</v>
      </c>
      <c r="W352">
        <v>1.3</v>
      </c>
    </row>
    <row r="353" spans="1:23" x14ac:dyDescent="0.35">
      <c r="A353">
        <v>10352</v>
      </c>
      <c r="B353" t="s">
        <v>28</v>
      </c>
      <c r="C353" t="s">
        <v>31</v>
      </c>
      <c r="D353" t="s">
        <v>39</v>
      </c>
      <c r="E353">
        <v>88806</v>
      </c>
      <c r="F353">
        <f ca="1">DATEDIF(Table1[[#This Row],[Hire Date]], TODAY(), "Y")</f>
        <v>18</v>
      </c>
      <c r="G353" s="7">
        <f ca="1">YEARFRAC(Table1[[#This Row],[Hire Date]], TODAY())</f>
        <v>18.427777777777777</v>
      </c>
      <c r="H353" s="7">
        <v>39312</v>
      </c>
      <c r="I353">
        <v>59</v>
      </c>
      <c r="J353" t="s">
        <v>43</v>
      </c>
      <c r="K353">
        <v>2</v>
      </c>
      <c r="L353" t="s">
        <v>45</v>
      </c>
      <c r="M353">
        <v>9735.02</v>
      </c>
      <c r="N353" t="s">
        <v>47</v>
      </c>
      <c r="O353" t="s">
        <v>51</v>
      </c>
      <c r="P353">
        <v>13</v>
      </c>
      <c r="Q353" t="s">
        <v>55</v>
      </c>
      <c r="R353" t="s">
        <v>62</v>
      </c>
      <c r="S353">
        <v>0</v>
      </c>
      <c r="T353">
        <v>2022</v>
      </c>
      <c r="U353" t="s">
        <v>64</v>
      </c>
      <c r="V353">
        <v>58</v>
      </c>
      <c r="W353">
        <v>4.4000000000000004</v>
      </c>
    </row>
    <row r="354" spans="1:23" x14ac:dyDescent="0.35">
      <c r="A354">
        <v>10353</v>
      </c>
      <c r="B354" t="s">
        <v>28</v>
      </c>
      <c r="C354" t="s">
        <v>29</v>
      </c>
      <c r="D354" t="s">
        <v>40</v>
      </c>
      <c r="E354">
        <v>39394</v>
      </c>
      <c r="F354">
        <f ca="1">DATEDIF(Table1[[#This Row],[Hire Date]], TODAY(), "Y")</f>
        <v>17</v>
      </c>
      <c r="G354" s="7">
        <f ca="1">YEARFRAC(Table1[[#This Row],[Hire Date]], TODAY())</f>
        <v>17.577777777777779</v>
      </c>
      <c r="H354" s="7">
        <v>39623</v>
      </c>
      <c r="I354">
        <v>34</v>
      </c>
      <c r="J354" t="s">
        <v>43</v>
      </c>
      <c r="K354">
        <v>4</v>
      </c>
      <c r="L354" t="s">
        <v>45</v>
      </c>
      <c r="M354">
        <v>914.2</v>
      </c>
      <c r="N354" t="s">
        <v>47</v>
      </c>
      <c r="O354" t="s">
        <v>53</v>
      </c>
      <c r="P354">
        <v>29</v>
      </c>
      <c r="Q354" t="s">
        <v>57</v>
      </c>
      <c r="R354" t="s">
        <v>58</v>
      </c>
      <c r="S354">
        <v>11</v>
      </c>
      <c r="T354">
        <v>2019</v>
      </c>
      <c r="U354" t="s">
        <v>65</v>
      </c>
      <c r="V354">
        <v>61</v>
      </c>
      <c r="W354">
        <v>2.8</v>
      </c>
    </row>
    <row r="355" spans="1:23" x14ac:dyDescent="0.35">
      <c r="A355">
        <v>10354</v>
      </c>
      <c r="B355" t="s">
        <v>25</v>
      </c>
      <c r="C355" t="s">
        <v>34</v>
      </c>
      <c r="D355" t="s">
        <v>36</v>
      </c>
      <c r="E355">
        <v>43280</v>
      </c>
      <c r="F355">
        <f ca="1">DATEDIF(Table1[[#This Row],[Hire Date]], TODAY(), "Y")</f>
        <v>16</v>
      </c>
      <c r="G355" s="7">
        <f ca="1">YEARFRAC(Table1[[#This Row],[Hire Date]], TODAY())</f>
        <v>16.441666666666666</v>
      </c>
      <c r="H355" s="7">
        <v>40038</v>
      </c>
      <c r="I355">
        <v>63</v>
      </c>
      <c r="J355" t="s">
        <v>43</v>
      </c>
      <c r="K355">
        <v>8</v>
      </c>
      <c r="L355" t="s">
        <v>44</v>
      </c>
      <c r="M355">
        <v>1391.37</v>
      </c>
      <c r="N355" t="s">
        <v>48</v>
      </c>
      <c r="O355" t="s">
        <v>50</v>
      </c>
      <c r="P355">
        <v>7</v>
      </c>
      <c r="Q355" t="s">
        <v>56</v>
      </c>
      <c r="R355" t="s">
        <v>63</v>
      </c>
      <c r="S355">
        <v>19</v>
      </c>
      <c r="T355">
        <v>2018</v>
      </c>
      <c r="U355" t="s">
        <v>66</v>
      </c>
      <c r="V355">
        <v>111</v>
      </c>
      <c r="W355">
        <v>2.4</v>
      </c>
    </row>
    <row r="356" spans="1:23" x14ac:dyDescent="0.35">
      <c r="A356">
        <v>10355</v>
      </c>
      <c r="B356" t="s">
        <v>25</v>
      </c>
      <c r="C356" t="s">
        <v>32</v>
      </c>
      <c r="D356" t="s">
        <v>39</v>
      </c>
      <c r="E356">
        <v>66303</v>
      </c>
      <c r="F356">
        <f ca="1">DATEDIF(Table1[[#This Row],[Hire Date]], TODAY(), "Y")</f>
        <v>12</v>
      </c>
      <c r="G356" s="7">
        <f ca="1">YEARFRAC(Table1[[#This Row],[Hire Date]], TODAY())</f>
        <v>12.75</v>
      </c>
      <c r="H356" s="7">
        <v>41386</v>
      </c>
      <c r="I356">
        <v>45</v>
      </c>
      <c r="J356" t="s">
        <v>43</v>
      </c>
      <c r="K356">
        <v>6</v>
      </c>
      <c r="L356" t="s">
        <v>45</v>
      </c>
      <c r="M356">
        <v>1674.55</v>
      </c>
      <c r="N356" t="s">
        <v>48</v>
      </c>
      <c r="O356" t="s">
        <v>54</v>
      </c>
      <c r="P356">
        <v>26</v>
      </c>
      <c r="Q356" t="s">
        <v>57</v>
      </c>
      <c r="R356" t="s">
        <v>59</v>
      </c>
      <c r="S356">
        <v>5</v>
      </c>
      <c r="T356">
        <v>2021</v>
      </c>
      <c r="U356" t="s">
        <v>64</v>
      </c>
      <c r="V356">
        <v>29</v>
      </c>
      <c r="W356">
        <v>3.7</v>
      </c>
    </row>
    <row r="357" spans="1:23" x14ac:dyDescent="0.35">
      <c r="A357">
        <v>10356</v>
      </c>
      <c r="B357" t="s">
        <v>21</v>
      </c>
      <c r="C357" t="s">
        <v>35</v>
      </c>
      <c r="D357" t="s">
        <v>36</v>
      </c>
      <c r="E357">
        <v>57453</v>
      </c>
      <c r="F357">
        <f ca="1">DATEDIF(Table1[[#This Row],[Hire Date]], TODAY(), "Y")</f>
        <v>22</v>
      </c>
      <c r="G357" s="7">
        <f ca="1">YEARFRAC(Table1[[#This Row],[Hire Date]], TODAY())</f>
        <v>22.713888888888889</v>
      </c>
      <c r="H357" s="7">
        <v>37746</v>
      </c>
      <c r="I357">
        <v>53</v>
      </c>
      <c r="J357" t="s">
        <v>42</v>
      </c>
      <c r="K357">
        <v>1</v>
      </c>
      <c r="L357" t="s">
        <v>44</v>
      </c>
      <c r="M357">
        <v>4590.3599999999997</v>
      </c>
      <c r="N357" t="s">
        <v>48</v>
      </c>
      <c r="O357" t="s">
        <v>51</v>
      </c>
      <c r="P357">
        <v>6</v>
      </c>
      <c r="Q357" t="s">
        <v>55</v>
      </c>
      <c r="R357" t="s">
        <v>60</v>
      </c>
      <c r="S357">
        <v>7</v>
      </c>
      <c r="T357">
        <v>2022</v>
      </c>
      <c r="U357" t="s">
        <v>65</v>
      </c>
      <c r="V357">
        <v>146</v>
      </c>
      <c r="W357">
        <v>4.8</v>
      </c>
    </row>
    <row r="358" spans="1:23" x14ac:dyDescent="0.35">
      <c r="A358">
        <v>10357</v>
      </c>
      <c r="B358" t="s">
        <v>26</v>
      </c>
      <c r="C358" t="s">
        <v>29</v>
      </c>
      <c r="D358" t="s">
        <v>38</v>
      </c>
      <c r="E358">
        <v>90695</v>
      </c>
      <c r="F358">
        <f ca="1">DATEDIF(Table1[[#This Row],[Hire Date]], TODAY(), "Y")</f>
        <v>24</v>
      </c>
      <c r="G358" s="7">
        <f ca="1">YEARFRAC(Table1[[#This Row],[Hire Date]], TODAY())</f>
        <v>24.302777777777777</v>
      </c>
      <c r="H358" s="7">
        <v>37167</v>
      </c>
      <c r="I358">
        <v>51</v>
      </c>
      <c r="J358" t="s">
        <v>42</v>
      </c>
      <c r="K358">
        <v>8</v>
      </c>
      <c r="L358" t="s">
        <v>45</v>
      </c>
      <c r="M358">
        <v>3262.41</v>
      </c>
      <c r="N358" t="s">
        <v>47</v>
      </c>
      <c r="O358" t="s">
        <v>53</v>
      </c>
      <c r="P358">
        <v>32</v>
      </c>
      <c r="Q358" t="s">
        <v>55</v>
      </c>
      <c r="R358" t="s">
        <v>61</v>
      </c>
      <c r="S358">
        <v>13</v>
      </c>
      <c r="T358">
        <v>2014</v>
      </c>
      <c r="U358" t="s">
        <v>65</v>
      </c>
      <c r="V358">
        <v>49</v>
      </c>
      <c r="W358">
        <v>1.4</v>
      </c>
    </row>
    <row r="359" spans="1:23" x14ac:dyDescent="0.35">
      <c r="A359">
        <v>10358</v>
      </c>
      <c r="B359" t="s">
        <v>25</v>
      </c>
      <c r="C359" t="s">
        <v>30</v>
      </c>
      <c r="D359" t="s">
        <v>41</v>
      </c>
      <c r="E359">
        <v>98449</v>
      </c>
      <c r="F359">
        <f ca="1">DATEDIF(Table1[[#This Row],[Hire Date]], TODAY(), "Y")</f>
        <v>16</v>
      </c>
      <c r="G359" s="7">
        <f ca="1">YEARFRAC(Table1[[#This Row],[Hire Date]], TODAY())</f>
        <v>16.986111111111111</v>
      </c>
      <c r="H359" s="7">
        <v>39840</v>
      </c>
      <c r="I359">
        <v>27</v>
      </c>
      <c r="J359" t="s">
        <v>42</v>
      </c>
      <c r="K359">
        <v>5</v>
      </c>
      <c r="L359" t="s">
        <v>44</v>
      </c>
      <c r="M359">
        <v>8165.74</v>
      </c>
      <c r="N359" t="s">
        <v>49</v>
      </c>
      <c r="O359" t="s">
        <v>53</v>
      </c>
      <c r="P359">
        <v>36</v>
      </c>
      <c r="Q359" t="s">
        <v>56</v>
      </c>
      <c r="R359" t="s">
        <v>58</v>
      </c>
      <c r="S359">
        <v>4</v>
      </c>
      <c r="T359">
        <v>2012</v>
      </c>
      <c r="U359" t="s">
        <v>65</v>
      </c>
      <c r="V359">
        <v>176</v>
      </c>
      <c r="W359">
        <v>4.0999999999999996</v>
      </c>
    </row>
    <row r="360" spans="1:23" x14ac:dyDescent="0.35">
      <c r="A360">
        <v>10359</v>
      </c>
      <c r="B360" t="s">
        <v>28</v>
      </c>
      <c r="C360" t="s">
        <v>34</v>
      </c>
      <c r="D360" t="s">
        <v>40</v>
      </c>
      <c r="E360">
        <v>55765</v>
      </c>
      <c r="F360">
        <f ca="1">DATEDIF(Table1[[#This Row],[Hire Date]], TODAY(), "Y")</f>
        <v>9</v>
      </c>
      <c r="G360" s="7">
        <f ca="1">YEARFRAC(Table1[[#This Row],[Hire Date]], TODAY())</f>
        <v>9.7861111111111114</v>
      </c>
      <c r="H360" s="7">
        <v>42469</v>
      </c>
      <c r="I360">
        <v>59</v>
      </c>
      <c r="J360" t="s">
        <v>42</v>
      </c>
      <c r="K360">
        <v>6</v>
      </c>
      <c r="L360" t="s">
        <v>45</v>
      </c>
      <c r="M360">
        <v>5000.9799999999996</v>
      </c>
      <c r="N360" t="s">
        <v>48</v>
      </c>
      <c r="O360" t="s">
        <v>54</v>
      </c>
      <c r="P360">
        <v>23</v>
      </c>
      <c r="Q360" t="s">
        <v>56</v>
      </c>
      <c r="R360" t="s">
        <v>61</v>
      </c>
      <c r="S360">
        <v>3</v>
      </c>
      <c r="T360">
        <v>2016</v>
      </c>
      <c r="U360" t="s">
        <v>66</v>
      </c>
      <c r="V360">
        <v>122</v>
      </c>
      <c r="W360">
        <v>1.8</v>
      </c>
    </row>
    <row r="361" spans="1:23" x14ac:dyDescent="0.35">
      <c r="A361">
        <v>10360</v>
      </c>
      <c r="B361" t="s">
        <v>24</v>
      </c>
      <c r="C361" t="s">
        <v>33</v>
      </c>
      <c r="D361" t="s">
        <v>39</v>
      </c>
      <c r="E361">
        <v>32340</v>
      </c>
      <c r="F361">
        <f ca="1">DATEDIF(Table1[[#This Row],[Hire Date]], TODAY(), "Y")</f>
        <v>24</v>
      </c>
      <c r="G361" s="7">
        <f ca="1">YEARFRAC(Table1[[#This Row],[Hire Date]], TODAY())</f>
        <v>24.077777777777779</v>
      </c>
      <c r="H361" s="7">
        <v>37249</v>
      </c>
      <c r="I361">
        <v>54</v>
      </c>
      <c r="J361" t="s">
        <v>42</v>
      </c>
      <c r="K361">
        <v>5</v>
      </c>
      <c r="L361" t="s">
        <v>45</v>
      </c>
      <c r="M361">
        <v>5103.1000000000004</v>
      </c>
      <c r="N361" t="s">
        <v>48</v>
      </c>
      <c r="O361" t="s">
        <v>53</v>
      </c>
      <c r="P361">
        <v>11</v>
      </c>
      <c r="Q361" t="s">
        <v>56</v>
      </c>
      <c r="R361" t="s">
        <v>62</v>
      </c>
      <c r="S361">
        <v>15</v>
      </c>
      <c r="T361">
        <v>2013</v>
      </c>
      <c r="U361" t="s">
        <v>66</v>
      </c>
      <c r="V361">
        <v>42</v>
      </c>
      <c r="W361">
        <v>2.5</v>
      </c>
    </row>
    <row r="362" spans="1:23" x14ac:dyDescent="0.35">
      <c r="A362">
        <v>10361</v>
      </c>
      <c r="B362" t="s">
        <v>22</v>
      </c>
      <c r="C362" t="s">
        <v>35</v>
      </c>
      <c r="D362" t="s">
        <v>41</v>
      </c>
      <c r="E362">
        <v>68057</v>
      </c>
      <c r="F362">
        <f ca="1">DATEDIF(Table1[[#This Row],[Hire Date]], TODAY(), "Y")</f>
        <v>11</v>
      </c>
      <c r="G362" s="7">
        <f ca="1">YEARFRAC(Table1[[#This Row],[Hire Date]], TODAY())</f>
        <v>11.519444444444444</v>
      </c>
      <c r="H362" s="7">
        <v>41835</v>
      </c>
      <c r="I362">
        <v>44</v>
      </c>
      <c r="J362" t="s">
        <v>43</v>
      </c>
      <c r="K362">
        <v>5</v>
      </c>
      <c r="L362" t="s">
        <v>45</v>
      </c>
      <c r="M362">
        <v>7311.86</v>
      </c>
      <c r="N362" t="s">
        <v>49</v>
      </c>
      <c r="O362" t="s">
        <v>52</v>
      </c>
      <c r="P362">
        <v>21</v>
      </c>
      <c r="Q362" t="s">
        <v>56</v>
      </c>
      <c r="R362" t="s">
        <v>58</v>
      </c>
      <c r="S362">
        <v>5</v>
      </c>
      <c r="T362">
        <v>2010</v>
      </c>
      <c r="U362" t="s">
        <v>66</v>
      </c>
      <c r="V362">
        <v>129</v>
      </c>
      <c r="W362">
        <v>4.5</v>
      </c>
    </row>
    <row r="363" spans="1:23" x14ac:dyDescent="0.35">
      <c r="A363">
        <v>10362</v>
      </c>
      <c r="B363" t="s">
        <v>28</v>
      </c>
      <c r="C363" t="s">
        <v>32</v>
      </c>
      <c r="D363" t="s">
        <v>40</v>
      </c>
      <c r="E363">
        <v>30597</v>
      </c>
      <c r="F363">
        <f ca="1">DATEDIF(Table1[[#This Row],[Hire Date]], TODAY(), "Y")</f>
        <v>12</v>
      </c>
      <c r="G363" s="7">
        <f ca="1">YEARFRAC(Table1[[#This Row],[Hire Date]], TODAY())</f>
        <v>12.647222222222222</v>
      </c>
      <c r="H363" s="7">
        <v>41423</v>
      </c>
      <c r="I363">
        <v>31</v>
      </c>
      <c r="J363" t="s">
        <v>43</v>
      </c>
      <c r="K363">
        <v>3</v>
      </c>
      <c r="L363" t="s">
        <v>45</v>
      </c>
      <c r="M363">
        <v>3938.71</v>
      </c>
      <c r="N363" t="s">
        <v>47</v>
      </c>
      <c r="O363" t="s">
        <v>50</v>
      </c>
      <c r="P363">
        <v>19</v>
      </c>
      <c r="Q363" t="s">
        <v>55</v>
      </c>
      <c r="R363" t="s">
        <v>60</v>
      </c>
      <c r="S363">
        <v>2</v>
      </c>
      <c r="T363">
        <v>2014</v>
      </c>
      <c r="U363" t="s">
        <v>64</v>
      </c>
      <c r="V363">
        <v>40</v>
      </c>
      <c r="W363">
        <v>3.2</v>
      </c>
    </row>
    <row r="364" spans="1:23" x14ac:dyDescent="0.35">
      <c r="A364">
        <v>10363</v>
      </c>
      <c r="B364" t="s">
        <v>28</v>
      </c>
      <c r="C364" t="s">
        <v>34</v>
      </c>
      <c r="D364" t="s">
        <v>40</v>
      </c>
      <c r="E364">
        <v>87988</v>
      </c>
      <c r="F364">
        <f ca="1">DATEDIF(Table1[[#This Row],[Hire Date]], TODAY(), "Y")</f>
        <v>24</v>
      </c>
      <c r="G364" s="7">
        <f ca="1">YEARFRAC(Table1[[#This Row],[Hire Date]], TODAY())</f>
        <v>24.041666666666668</v>
      </c>
      <c r="H364" s="7">
        <v>37263</v>
      </c>
      <c r="I364">
        <v>36</v>
      </c>
      <c r="J364" t="s">
        <v>43</v>
      </c>
      <c r="K364">
        <v>4</v>
      </c>
      <c r="L364" t="s">
        <v>45</v>
      </c>
      <c r="M364">
        <v>3855.47</v>
      </c>
      <c r="N364" t="s">
        <v>47</v>
      </c>
      <c r="O364" t="s">
        <v>54</v>
      </c>
      <c r="P364">
        <v>34</v>
      </c>
      <c r="Q364" t="s">
        <v>57</v>
      </c>
      <c r="R364" t="s">
        <v>62</v>
      </c>
      <c r="S364">
        <v>3</v>
      </c>
      <c r="T364">
        <v>2020</v>
      </c>
      <c r="U364" t="s">
        <v>64</v>
      </c>
      <c r="V364">
        <v>92</v>
      </c>
      <c r="W364">
        <v>1.3</v>
      </c>
    </row>
    <row r="365" spans="1:23" x14ac:dyDescent="0.35">
      <c r="A365">
        <v>10364</v>
      </c>
      <c r="B365" t="s">
        <v>26</v>
      </c>
      <c r="C365" t="s">
        <v>30</v>
      </c>
      <c r="D365" t="s">
        <v>40</v>
      </c>
      <c r="E365">
        <v>45025</v>
      </c>
      <c r="F365">
        <f ca="1">DATEDIF(Table1[[#This Row],[Hire Date]], TODAY(), "Y")</f>
        <v>12</v>
      </c>
      <c r="G365" s="7">
        <f ca="1">YEARFRAC(Table1[[#This Row],[Hire Date]], TODAY())</f>
        <v>12.769444444444444</v>
      </c>
      <c r="H365" s="7">
        <v>41379</v>
      </c>
      <c r="I365">
        <v>44</v>
      </c>
      <c r="J365" t="s">
        <v>43</v>
      </c>
      <c r="K365">
        <v>5</v>
      </c>
      <c r="L365" t="s">
        <v>45</v>
      </c>
      <c r="M365">
        <v>7690.8</v>
      </c>
      <c r="N365" t="s">
        <v>49</v>
      </c>
      <c r="O365" t="s">
        <v>54</v>
      </c>
      <c r="P365">
        <v>35</v>
      </c>
      <c r="Q365" t="s">
        <v>55</v>
      </c>
      <c r="R365" t="s">
        <v>58</v>
      </c>
      <c r="S365">
        <v>7</v>
      </c>
      <c r="T365">
        <v>2017</v>
      </c>
      <c r="U365" t="s">
        <v>64</v>
      </c>
      <c r="V365">
        <v>128</v>
      </c>
      <c r="W365">
        <v>3</v>
      </c>
    </row>
    <row r="366" spans="1:23" x14ac:dyDescent="0.35">
      <c r="A366">
        <v>10365</v>
      </c>
      <c r="B366" t="s">
        <v>21</v>
      </c>
      <c r="C366" t="s">
        <v>32</v>
      </c>
      <c r="D366" t="s">
        <v>41</v>
      </c>
      <c r="E366">
        <v>37145</v>
      </c>
      <c r="F366">
        <f ca="1">DATEDIF(Table1[[#This Row],[Hire Date]], TODAY(), "Y")</f>
        <v>10</v>
      </c>
      <c r="G366" s="7">
        <f ca="1">YEARFRAC(Table1[[#This Row],[Hire Date]], TODAY())</f>
        <v>10.483333333333333</v>
      </c>
      <c r="H366" s="7">
        <v>42213</v>
      </c>
      <c r="I366">
        <v>57</v>
      </c>
      <c r="J366" t="s">
        <v>42</v>
      </c>
      <c r="K366">
        <v>2</v>
      </c>
      <c r="L366" t="s">
        <v>45</v>
      </c>
      <c r="M366">
        <v>7910.4</v>
      </c>
      <c r="N366" t="s">
        <v>48</v>
      </c>
      <c r="O366" t="s">
        <v>54</v>
      </c>
      <c r="P366">
        <v>31</v>
      </c>
      <c r="Q366" t="s">
        <v>55</v>
      </c>
      <c r="R366" t="s">
        <v>59</v>
      </c>
      <c r="S366">
        <v>13</v>
      </c>
      <c r="T366">
        <v>2021</v>
      </c>
      <c r="U366" t="s">
        <v>66</v>
      </c>
      <c r="V366">
        <v>171</v>
      </c>
      <c r="W366">
        <v>4.2</v>
      </c>
    </row>
    <row r="367" spans="1:23" x14ac:dyDescent="0.35">
      <c r="A367">
        <v>10366</v>
      </c>
      <c r="B367" t="s">
        <v>21</v>
      </c>
      <c r="C367" t="s">
        <v>33</v>
      </c>
      <c r="D367" t="s">
        <v>39</v>
      </c>
      <c r="E367">
        <v>85797</v>
      </c>
      <c r="F367">
        <f ca="1">DATEDIF(Table1[[#This Row],[Hire Date]], TODAY(), "Y")</f>
        <v>7</v>
      </c>
      <c r="G367" s="7">
        <f ca="1">YEARFRAC(Table1[[#This Row],[Hire Date]], TODAY())</f>
        <v>7.6833333333333336</v>
      </c>
      <c r="H367" s="7">
        <v>43236</v>
      </c>
      <c r="I367">
        <v>22</v>
      </c>
      <c r="J367" t="s">
        <v>43</v>
      </c>
      <c r="K367">
        <v>6</v>
      </c>
      <c r="L367" t="s">
        <v>45</v>
      </c>
      <c r="M367">
        <v>636.79</v>
      </c>
      <c r="N367" t="s">
        <v>46</v>
      </c>
      <c r="O367" t="s">
        <v>53</v>
      </c>
      <c r="P367">
        <v>29</v>
      </c>
      <c r="Q367" t="s">
        <v>56</v>
      </c>
      <c r="R367" t="s">
        <v>59</v>
      </c>
      <c r="S367">
        <v>6</v>
      </c>
      <c r="T367">
        <v>2013</v>
      </c>
      <c r="U367" t="s">
        <v>64</v>
      </c>
      <c r="V367">
        <v>171</v>
      </c>
      <c r="W367">
        <v>3.1</v>
      </c>
    </row>
    <row r="368" spans="1:23" x14ac:dyDescent="0.35">
      <c r="A368">
        <v>10367</v>
      </c>
      <c r="B368" t="s">
        <v>27</v>
      </c>
      <c r="C368" t="s">
        <v>33</v>
      </c>
      <c r="D368" t="s">
        <v>37</v>
      </c>
      <c r="E368">
        <v>71723</v>
      </c>
      <c r="F368">
        <f ca="1">DATEDIF(Table1[[#This Row],[Hire Date]], TODAY(), "Y")</f>
        <v>22</v>
      </c>
      <c r="G368" s="7">
        <f ca="1">YEARFRAC(Table1[[#This Row],[Hire Date]], TODAY())</f>
        <v>22.497222222222224</v>
      </c>
      <c r="H368" s="7">
        <v>37825</v>
      </c>
      <c r="I368">
        <v>29</v>
      </c>
      <c r="J368" t="s">
        <v>43</v>
      </c>
      <c r="K368">
        <v>2</v>
      </c>
      <c r="L368" t="s">
        <v>44</v>
      </c>
      <c r="M368">
        <v>1866.01</v>
      </c>
      <c r="N368" t="s">
        <v>49</v>
      </c>
      <c r="O368" t="s">
        <v>53</v>
      </c>
      <c r="P368">
        <v>6</v>
      </c>
      <c r="Q368" t="s">
        <v>56</v>
      </c>
      <c r="R368" t="s">
        <v>60</v>
      </c>
      <c r="S368">
        <v>3</v>
      </c>
      <c r="T368">
        <v>2016</v>
      </c>
      <c r="U368" t="s">
        <v>64</v>
      </c>
      <c r="V368">
        <v>17</v>
      </c>
      <c r="W368">
        <v>1.7</v>
      </c>
    </row>
    <row r="369" spans="1:23" x14ac:dyDescent="0.35">
      <c r="A369">
        <v>10368</v>
      </c>
      <c r="B369" t="s">
        <v>26</v>
      </c>
      <c r="C369" t="s">
        <v>30</v>
      </c>
      <c r="D369" t="s">
        <v>41</v>
      </c>
      <c r="E369">
        <v>103230</v>
      </c>
      <c r="F369">
        <f ca="1">DATEDIF(Table1[[#This Row],[Hire Date]], TODAY(), "Y")</f>
        <v>9</v>
      </c>
      <c r="G369" s="7">
        <f ca="1">YEARFRAC(Table1[[#This Row],[Hire Date]], TODAY())</f>
        <v>9.8027777777777771</v>
      </c>
      <c r="H369" s="7">
        <v>42463</v>
      </c>
      <c r="I369">
        <v>24</v>
      </c>
      <c r="J369" t="s">
        <v>42</v>
      </c>
      <c r="K369">
        <v>4</v>
      </c>
      <c r="L369" t="s">
        <v>44</v>
      </c>
      <c r="M369">
        <v>2524.4299999999998</v>
      </c>
      <c r="N369" t="s">
        <v>46</v>
      </c>
      <c r="O369" t="s">
        <v>54</v>
      </c>
      <c r="P369">
        <v>36</v>
      </c>
      <c r="Q369" t="s">
        <v>57</v>
      </c>
      <c r="R369" t="s">
        <v>59</v>
      </c>
      <c r="S369">
        <v>18</v>
      </c>
      <c r="T369">
        <v>2017</v>
      </c>
      <c r="U369" t="s">
        <v>65</v>
      </c>
      <c r="V369">
        <v>198</v>
      </c>
      <c r="W369">
        <v>2.8</v>
      </c>
    </row>
    <row r="370" spans="1:23" x14ac:dyDescent="0.35">
      <c r="A370">
        <v>10369</v>
      </c>
      <c r="B370" t="s">
        <v>24</v>
      </c>
      <c r="C370" t="s">
        <v>35</v>
      </c>
      <c r="D370" t="s">
        <v>40</v>
      </c>
      <c r="E370">
        <v>34830</v>
      </c>
      <c r="F370">
        <f ca="1">DATEDIF(Table1[[#This Row],[Hire Date]], TODAY(), "Y")</f>
        <v>16</v>
      </c>
      <c r="G370" s="7">
        <f ca="1">YEARFRAC(Table1[[#This Row],[Hire Date]], TODAY())</f>
        <v>16.527777777777779</v>
      </c>
      <c r="H370" s="7">
        <v>40006</v>
      </c>
      <c r="I370">
        <v>35</v>
      </c>
      <c r="J370" t="s">
        <v>42</v>
      </c>
      <c r="K370">
        <v>1</v>
      </c>
      <c r="L370" t="s">
        <v>45</v>
      </c>
      <c r="M370">
        <v>3840.2</v>
      </c>
      <c r="N370" t="s">
        <v>47</v>
      </c>
      <c r="O370" t="s">
        <v>54</v>
      </c>
      <c r="P370">
        <v>31</v>
      </c>
      <c r="Q370" t="s">
        <v>57</v>
      </c>
      <c r="R370" t="s">
        <v>62</v>
      </c>
      <c r="S370">
        <v>10</v>
      </c>
      <c r="T370">
        <v>2018</v>
      </c>
      <c r="U370" t="s">
        <v>66</v>
      </c>
      <c r="V370">
        <v>166</v>
      </c>
      <c r="W370">
        <v>4.7</v>
      </c>
    </row>
    <row r="371" spans="1:23" x14ac:dyDescent="0.35">
      <c r="A371">
        <v>10370</v>
      </c>
      <c r="B371" t="s">
        <v>21</v>
      </c>
      <c r="C371" t="s">
        <v>30</v>
      </c>
      <c r="D371" t="s">
        <v>39</v>
      </c>
      <c r="E371">
        <v>53930</v>
      </c>
      <c r="F371">
        <f ca="1">DATEDIF(Table1[[#This Row],[Hire Date]], TODAY(), "Y")</f>
        <v>25</v>
      </c>
      <c r="G371" s="7">
        <f ca="1">YEARFRAC(Table1[[#This Row],[Hire Date]], TODAY())</f>
        <v>25.130555555555556</v>
      </c>
      <c r="H371" s="7">
        <v>36865</v>
      </c>
      <c r="I371">
        <v>38</v>
      </c>
      <c r="J371" t="s">
        <v>43</v>
      </c>
      <c r="K371">
        <v>4</v>
      </c>
      <c r="L371" t="s">
        <v>44</v>
      </c>
      <c r="M371">
        <v>3268.76</v>
      </c>
      <c r="N371" t="s">
        <v>47</v>
      </c>
      <c r="O371" t="s">
        <v>52</v>
      </c>
      <c r="P371">
        <v>32</v>
      </c>
      <c r="Q371" t="s">
        <v>55</v>
      </c>
      <c r="R371" t="s">
        <v>60</v>
      </c>
      <c r="S371">
        <v>14</v>
      </c>
      <c r="T371">
        <v>2020</v>
      </c>
      <c r="U371" t="s">
        <v>65</v>
      </c>
      <c r="V371">
        <v>128</v>
      </c>
      <c r="W371">
        <v>3.6</v>
      </c>
    </row>
    <row r="372" spans="1:23" x14ac:dyDescent="0.35">
      <c r="A372">
        <v>10371</v>
      </c>
      <c r="B372" t="s">
        <v>22</v>
      </c>
      <c r="C372" t="s">
        <v>31</v>
      </c>
      <c r="D372" t="s">
        <v>38</v>
      </c>
      <c r="E372">
        <v>53752</v>
      </c>
      <c r="F372">
        <f ca="1">DATEDIF(Table1[[#This Row],[Hire Date]], TODAY(), "Y")</f>
        <v>25</v>
      </c>
      <c r="G372" s="7">
        <f ca="1">YEARFRAC(Table1[[#This Row],[Hire Date]], TODAY())</f>
        <v>25.641666666666666</v>
      </c>
      <c r="H372" s="7">
        <v>36678</v>
      </c>
      <c r="I372">
        <v>55</v>
      </c>
      <c r="J372" t="s">
        <v>42</v>
      </c>
      <c r="K372">
        <v>7</v>
      </c>
      <c r="L372" t="s">
        <v>45</v>
      </c>
      <c r="M372">
        <v>6850.94</v>
      </c>
      <c r="N372" t="s">
        <v>46</v>
      </c>
      <c r="O372" t="s">
        <v>51</v>
      </c>
      <c r="P372">
        <v>20</v>
      </c>
      <c r="Q372" t="s">
        <v>57</v>
      </c>
      <c r="R372" t="s">
        <v>58</v>
      </c>
      <c r="S372">
        <v>15</v>
      </c>
      <c r="T372">
        <v>2018</v>
      </c>
      <c r="U372" t="s">
        <v>66</v>
      </c>
      <c r="V372">
        <v>19</v>
      </c>
      <c r="W372">
        <v>3.9</v>
      </c>
    </row>
    <row r="373" spans="1:23" x14ac:dyDescent="0.35">
      <c r="A373">
        <v>10372</v>
      </c>
      <c r="B373" t="s">
        <v>25</v>
      </c>
      <c r="C373" t="s">
        <v>33</v>
      </c>
      <c r="D373" t="s">
        <v>36</v>
      </c>
      <c r="E373">
        <v>106025</v>
      </c>
      <c r="F373">
        <f ca="1">DATEDIF(Table1[[#This Row],[Hire Date]], TODAY(), "Y")</f>
        <v>10</v>
      </c>
      <c r="G373" s="7">
        <f ca="1">YEARFRAC(Table1[[#This Row],[Hire Date]], TODAY())</f>
        <v>10.491666666666667</v>
      </c>
      <c r="H373" s="7">
        <v>42210</v>
      </c>
      <c r="I373">
        <v>27</v>
      </c>
      <c r="J373" t="s">
        <v>42</v>
      </c>
      <c r="K373">
        <v>8</v>
      </c>
      <c r="L373" t="s">
        <v>44</v>
      </c>
      <c r="M373">
        <v>8367.2800000000007</v>
      </c>
      <c r="N373" t="s">
        <v>48</v>
      </c>
      <c r="O373" t="s">
        <v>52</v>
      </c>
      <c r="P373">
        <v>22</v>
      </c>
      <c r="Q373" t="s">
        <v>56</v>
      </c>
      <c r="R373" t="s">
        <v>62</v>
      </c>
      <c r="S373">
        <v>5</v>
      </c>
      <c r="T373">
        <v>2014</v>
      </c>
      <c r="U373" t="s">
        <v>66</v>
      </c>
      <c r="V373">
        <v>62</v>
      </c>
      <c r="W373">
        <v>4.0999999999999996</v>
      </c>
    </row>
    <row r="374" spans="1:23" x14ac:dyDescent="0.35">
      <c r="A374">
        <v>10373</v>
      </c>
      <c r="B374" t="s">
        <v>26</v>
      </c>
      <c r="C374" t="s">
        <v>34</v>
      </c>
      <c r="D374" t="s">
        <v>40</v>
      </c>
      <c r="E374">
        <v>111304</v>
      </c>
      <c r="F374">
        <f ca="1">DATEDIF(Table1[[#This Row],[Hire Date]], TODAY(), "Y")</f>
        <v>22</v>
      </c>
      <c r="G374" s="7">
        <f ca="1">YEARFRAC(Table1[[#This Row],[Hire Date]], TODAY())</f>
        <v>22.166666666666668</v>
      </c>
      <c r="H374" s="7">
        <v>37947</v>
      </c>
      <c r="I374">
        <v>26</v>
      </c>
      <c r="J374" t="s">
        <v>43</v>
      </c>
      <c r="K374">
        <v>2</v>
      </c>
      <c r="L374" t="s">
        <v>45</v>
      </c>
      <c r="M374">
        <v>2324.83</v>
      </c>
      <c r="N374" t="s">
        <v>46</v>
      </c>
      <c r="O374" t="s">
        <v>54</v>
      </c>
      <c r="P374">
        <v>3</v>
      </c>
      <c r="Q374" t="s">
        <v>56</v>
      </c>
      <c r="R374" t="s">
        <v>59</v>
      </c>
      <c r="S374">
        <v>11</v>
      </c>
      <c r="T374">
        <v>2015</v>
      </c>
      <c r="U374" t="s">
        <v>64</v>
      </c>
      <c r="V374">
        <v>116</v>
      </c>
      <c r="W374">
        <v>1.4</v>
      </c>
    </row>
    <row r="375" spans="1:23" x14ac:dyDescent="0.35">
      <c r="A375">
        <v>10374</v>
      </c>
      <c r="B375" t="s">
        <v>25</v>
      </c>
      <c r="C375" t="s">
        <v>31</v>
      </c>
      <c r="D375" t="s">
        <v>38</v>
      </c>
      <c r="E375">
        <v>92040</v>
      </c>
      <c r="F375">
        <f ca="1">DATEDIF(Table1[[#This Row],[Hire Date]], TODAY(), "Y")</f>
        <v>10</v>
      </c>
      <c r="G375" s="7">
        <f ca="1">YEARFRAC(Table1[[#This Row],[Hire Date]], TODAY())</f>
        <v>10.822222222222223</v>
      </c>
      <c r="H375" s="7">
        <v>42089</v>
      </c>
      <c r="I375">
        <v>62</v>
      </c>
      <c r="J375" t="s">
        <v>42</v>
      </c>
      <c r="K375">
        <v>3</v>
      </c>
      <c r="L375" t="s">
        <v>44</v>
      </c>
      <c r="M375">
        <v>5848.31</v>
      </c>
      <c r="N375" t="s">
        <v>48</v>
      </c>
      <c r="O375" t="s">
        <v>53</v>
      </c>
      <c r="P375">
        <v>8</v>
      </c>
      <c r="Q375" t="s">
        <v>56</v>
      </c>
      <c r="R375" t="s">
        <v>63</v>
      </c>
      <c r="S375">
        <v>7</v>
      </c>
      <c r="T375">
        <v>2016</v>
      </c>
      <c r="U375" t="s">
        <v>65</v>
      </c>
      <c r="V375">
        <v>63</v>
      </c>
      <c r="W375">
        <v>3.3</v>
      </c>
    </row>
    <row r="376" spans="1:23" x14ac:dyDescent="0.35">
      <c r="A376">
        <v>10375</v>
      </c>
      <c r="B376" t="s">
        <v>28</v>
      </c>
      <c r="C376" t="s">
        <v>29</v>
      </c>
      <c r="D376" t="s">
        <v>37</v>
      </c>
      <c r="E376">
        <v>97696</v>
      </c>
      <c r="F376">
        <f ca="1">DATEDIF(Table1[[#This Row],[Hire Date]], TODAY(), "Y")</f>
        <v>17</v>
      </c>
      <c r="G376" s="7">
        <f ca="1">YEARFRAC(Table1[[#This Row],[Hire Date]], TODAY())</f>
        <v>17.702777777777779</v>
      </c>
      <c r="H376" s="7">
        <v>39577</v>
      </c>
      <c r="I376">
        <v>61</v>
      </c>
      <c r="J376" t="s">
        <v>43</v>
      </c>
      <c r="K376">
        <v>1</v>
      </c>
      <c r="L376" t="s">
        <v>44</v>
      </c>
      <c r="M376">
        <v>3994.25</v>
      </c>
      <c r="N376" t="s">
        <v>49</v>
      </c>
      <c r="O376" t="s">
        <v>53</v>
      </c>
      <c r="P376">
        <v>19</v>
      </c>
      <c r="Q376" t="s">
        <v>55</v>
      </c>
      <c r="R376" t="s">
        <v>61</v>
      </c>
      <c r="S376">
        <v>9</v>
      </c>
      <c r="T376">
        <v>2019</v>
      </c>
      <c r="U376" t="s">
        <v>65</v>
      </c>
      <c r="V376">
        <v>198</v>
      </c>
      <c r="W376">
        <v>2.5</v>
      </c>
    </row>
    <row r="377" spans="1:23" x14ac:dyDescent="0.35">
      <c r="A377">
        <v>10376</v>
      </c>
      <c r="B377" t="s">
        <v>22</v>
      </c>
      <c r="C377" t="s">
        <v>32</v>
      </c>
      <c r="D377" t="s">
        <v>40</v>
      </c>
      <c r="E377">
        <v>94648</v>
      </c>
      <c r="F377">
        <f ca="1">DATEDIF(Table1[[#This Row],[Hire Date]], TODAY(), "Y")</f>
        <v>24</v>
      </c>
      <c r="G377" s="7">
        <f ca="1">YEARFRAC(Table1[[#This Row],[Hire Date]], TODAY())</f>
        <v>24.888888888888889</v>
      </c>
      <c r="H377" s="7">
        <v>36952</v>
      </c>
      <c r="I377">
        <v>50</v>
      </c>
      <c r="J377" t="s">
        <v>42</v>
      </c>
      <c r="K377">
        <v>7</v>
      </c>
      <c r="L377" t="s">
        <v>45</v>
      </c>
      <c r="M377">
        <v>5304.89</v>
      </c>
      <c r="N377" t="s">
        <v>47</v>
      </c>
      <c r="O377" t="s">
        <v>54</v>
      </c>
      <c r="P377">
        <v>31</v>
      </c>
      <c r="Q377" t="s">
        <v>57</v>
      </c>
      <c r="R377" t="s">
        <v>59</v>
      </c>
      <c r="S377">
        <v>10</v>
      </c>
      <c r="T377">
        <v>2011</v>
      </c>
      <c r="U377" t="s">
        <v>64</v>
      </c>
      <c r="V377">
        <v>56</v>
      </c>
      <c r="W377">
        <v>1.6</v>
      </c>
    </row>
    <row r="378" spans="1:23" x14ac:dyDescent="0.35">
      <c r="A378">
        <v>10377</v>
      </c>
      <c r="B378" t="s">
        <v>22</v>
      </c>
      <c r="C378" t="s">
        <v>31</v>
      </c>
      <c r="D378" t="s">
        <v>38</v>
      </c>
      <c r="E378">
        <v>85030</v>
      </c>
      <c r="F378">
        <f ca="1">DATEDIF(Table1[[#This Row],[Hire Date]], TODAY(), "Y")</f>
        <v>6</v>
      </c>
      <c r="G378" s="7">
        <f ca="1">YEARFRAC(Table1[[#This Row],[Hire Date]], TODAY())</f>
        <v>6.4888888888888889</v>
      </c>
      <c r="H378" s="7">
        <v>43672</v>
      </c>
      <c r="I378">
        <v>56</v>
      </c>
      <c r="J378" t="s">
        <v>42</v>
      </c>
      <c r="K378">
        <v>4</v>
      </c>
      <c r="L378" t="s">
        <v>44</v>
      </c>
      <c r="M378">
        <v>6397.2</v>
      </c>
      <c r="N378" t="s">
        <v>47</v>
      </c>
      <c r="O378" t="s">
        <v>51</v>
      </c>
      <c r="P378">
        <v>32</v>
      </c>
      <c r="Q378" t="s">
        <v>56</v>
      </c>
      <c r="R378" t="s">
        <v>63</v>
      </c>
      <c r="S378">
        <v>8</v>
      </c>
      <c r="T378">
        <v>2018</v>
      </c>
      <c r="U378" t="s">
        <v>65</v>
      </c>
      <c r="V378">
        <v>73</v>
      </c>
      <c r="W378">
        <v>1.8</v>
      </c>
    </row>
    <row r="379" spans="1:23" x14ac:dyDescent="0.35">
      <c r="A379">
        <v>10378</v>
      </c>
      <c r="B379" t="s">
        <v>28</v>
      </c>
      <c r="C379" t="s">
        <v>32</v>
      </c>
      <c r="D379" t="s">
        <v>40</v>
      </c>
      <c r="E379">
        <v>86815</v>
      </c>
      <c r="F379">
        <f ca="1">DATEDIF(Table1[[#This Row],[Hire Date]], TODAY(), "Y")</f>
        <v>16</v>
      </c>
      <c r="G379" s="7">
        <f ca="1">YEARFRAC(Table1[[#This Row],[Hire Date]], TODAY())</f>
        <v>16.316666666666666</v>
      </c>
      <c r="H379" s="7">
        <v>40084</v>
      </c>
      <c r="I379">
        <v>39</v>
      </c>
      <c r="J379" t="s">
        <v>42</v>
      </c>
      <c r="K379">
        <v>8</v>
      </c>
      <c r="L379" t="s">
        <v>45</v>
      </c>
      <c r="M379">
        <v>8989.2000000000007</v>
      </c>
      <c r="N379" t="s">
        <v>46</v>
      </c>
      <c r="O379" t="s">
        <v>50</v>
      </c>
      <c r="P379">
        <v>15</v>
      </c>
      <c r="Q379" t="s">
        <v>55</v>
      </c>
      <c r="R379" t="s">
        <v>60</v>
      </c>
      <c r="S379">
        <v>16</v>
      </c>
      <c r="T379">
        <v>2010</v>
      </c>
      <c r="U379" t="s">
        <v>65</v>
      </c>
      <c r="V379">
        <v>107</v>
      </c>
      <c r="W379">
        <v>4.0999999999999996</v>
      </c>
    </row>
    <row r="380" spans="1:23" x14ac:dyDescent="0.35">
      <c r="A380">
        <v>10379</v>
      </c>
      <c r="B380" t="s">
        <v>26</v>
      </c>
      <c r="C380" t="s">
        <v>30</v>
      </c>
      <c r="D380" t="s">
        <v>41</v>
      </c>
      <c r="E380">
        <v>115669</v>
      </c>
      <c r="F380">
        <f ca="1">DATEDIF(Table1[[#This Row],[Hire Date]], TODAY(), "Y")</f>
        <v>8</v>
      </c>
      <c r="G380" s="7">
        <f ca="1">YEARFRAC(Table1[[#This Row],[Hire Date]], TODAY())</f>
        <v>8.6777777777777771</v>
      </c>
      <c r="H380" s="7">
        <v>42873</v>
      </c>
      <c r="I380">
        <v>61</v>
      </c>
      <c r="J380" t="s">
        <v>42</v>
      </c>
      <c r="K380">
        <v>5</v>
      </c>
      <c r="L380" t="s">
        <v>45</v>
      </c>
      <c r="M380">
        <v>2326.7800000000002</v>
      </c>
      <c r="N380" t="s">
        <v>49</v>
      </c>
      <c r="O380" t="s">
        <v>50</v>
      </c>
      <c r="P380">
        <v>39</v>
      </c>
      <c r="Q380" t="s">
        <v>55</v>
      </c>
      <c r="R380" t="s">
        <v>58</v>
      </c>
      <c r="S380">
        <v>13</v>
      </c>
      <c r="T380">
        <v>2023</v>
      </c>
      <c r="U380" t="s">
        <v>66</v>
      </c>
      <c r="V380">
        <v>9</v>
      </c>
      <c r="W380">
        <v>1.6</v>
      </c>
    </row>
    <row r="381" spans="1:23" x14ac:dyDescent="0.35">
      <c r="A381">
        <v>10380</v>
      </c>
      <c r="B381" t="s">
        <v>28</v>
      </c>
      <c r="C381" t="s">
        <v>31</v>
      </c>
      <c r="D381" t="s">
        <v>39</v>
      </c>
      <c r="E381">
        <v>65690</v>
      </c>
      <c r="F381">
        <f ca="1">DATEDIF(Table1[[#This Row],[Hire Date]], TODAY(), "Y")</f>
        <v>22</v>
      </c>
      <c r="G381" s="7">
        <f ca="1">YEARFRAC(Table1[[#This Row],[Hire Date]], TODAY())</f>
        <v>22.952777777777779</v>
      </c>
      <c r="H381" s="7">
        <v>37661</v>
      </c>
      <c r="I381">
        <v>51</v>
      </c>
      <c r="J381" t="s">
        <v>43</v>
      </c>
      <c r="K381">
        <v>9</v>
      </c>
      <c r="L381" t="s">
        <v>44</v>
      </c>
      <c r="M381">
        <v>1326.56</v>
      </c>
      <c r="N381" t="s">
        <v>46</v>
      </c>
      <c r="O381" t="s">
        <v>52</v>
      </c>
      <c r="P381">
        <v>31</v>
      </c>
      <c r="Q381" t="s">
        <v>55</v>
      </c>
      <c r="R381" t="s">
        <v>61</v>
      </c>
      <c r="S381">
        <v>2</v>
      </c>
      <c r="T381">
        <v>2015</v>
      </c>
      <c r="U381" t="s">
        <v>65</v>
      </c>
      <c r="V381">
        <v>47</v>
      </c>
      <c r="W381">
        <v>2.2000000000000002</v>
      </c>
    </row>
    <row r="382" spans="1:23" x14ac:dyDescent="0.35">
      <c r="A382">
        <v>10381</v>
      </c>
      <c r="B382" t="s">
        <v>25</v>
      </c>
      <c r="C382" t="s">
        <v>30</v>
      </c>
      <c r="D382" t="s">
        <v>38</v>
      </c>
      <c r="E382">
        <v>118406</v>
      </c>
      <c r="F382">
        <f ca="1">DATEDIF(Table1[[#This Row],[Hire Date]], TODAY(), "Y")</f>
        <v>19</v>
      </c>
      <c r="G382" s="7">
        <f ca="1">YEARFRAC(Table1[[#This Row],[Hire Date]], TODAY())</f>
        <v>19.56111111111111</v>
      </c>
      <c r="H382" s="7">
        <v>38898</v>
      </c>
      <c r="I382">
        <v>36</v>
      </c>
      <c r="J382" t="s">
        <v>42</v>
      </c>
      <c r="K382">
        <v>6</v>
      </c>
      <c r="L382" t="s">
        <v>45</v>
      </c>
      <c r="M382">
        <v>6458.51</v>
      </c>
      <c r="N382" t="s">
        <v>46</v>
      </c>
      <c r="O382" t="s">
        <v>51</v>
      </c>
      <c r="P382">
        <v>3</v>
      </c>
      <c r="Q382" t="s">
        <v>57</v>
      </c>
      <c r="R382" t="s">
        <v>58</v>
      </c>
      <c r="S382">
        <v>8</v>
      </c>
      <c r="T382">
        <v>2015</v>
      </c>
      <c r="U382" t="s">
        <v>65</v>
      </c>
      <c r="V382">
        <v>12</v>
      </c>
      <c r="W382">
        <v>2.1</v>
      </c>
    </row>
    <row r="383" spans="1:23" x14ac:dyDescent="0.35">
      <c r="A383">
        <v>10382</v>
      </c>
      <c r="B383" t="s">
        <v>27</v>
      </c>
      <c r="C383" t="s">
        <v>29</v>
      </c>
      <c r="D383" t="s">
        <v>39</v>
      </c>
      <c r="E383">
        <v>87923</v>
      </c>
      <c r="F383">
        <f ca="1">DATEDIF(Table1[[#This Row],[Hire Date]], TODAY(), "Y")</f>
        <v>16</v>
      </c>
      <c r="G383" s="7">
        <f ca="1">YEARFRAC(Table1[[#This Row],[Hire Date]], TODAY())</f>
        <v>16.947222222222223</v>
      </c>
      <c r="H383" s="7">
        <v>39855</v>
      </c>
      <c r="I383">
        <v>36</v>
      </c>
      <c r="J383" t="s">
        <v>43</v>
      </c>
      <c r="K383">
        <v>2</v>
      </c>
      <c r="L383" t="s">
        <v>44</v>
      </c>
      <c r="M383">
        <v>4244.24</v>
      </c>
      <c r="N383" t="s">
        <v>46</v>
      </c>
      <c r="O383" t="s">
        <v>50</v>
      </c>
      <c r="P383">
        <v>32</v>
      </c>
      <c r="Q383" t="s">
        <v>57</v>
      </c>
      <c r="R383" t="s">
        <v>60</v>
      </c>
      <c r="S383">
        <v>19</v>
      </c>
      <c r="T383">
        <v>2023</v>
      </c>
      <c r="U383" t="s">
        <v>66</v>
      </c>
      <c r="V383">
        <v>82</v>
      </c>
      <c r="W383">
        <v>1.2</v>
      </c>
    </row>
    <row r="384" spans="1:23" x14ac:dyDescent="0.35">
      <c r="A384">
        <v>10383</v>
      </c>
      <c r="B384" t="s">
        <v>22</v>
      </c>
      <c r="C384" t="s">
        <v>33</v>
      </c>
      <c r="D384" t="s">
        <v>41</v>
      </c>
      <c r="E384">
        <v>66572</v>
      </c>
      <c r="F384">
        <f ca="1">DATEDIF(Table1[[#This Row],[Hire Date]], TODAY(), "Y")</f>
        <v>23</v>
      </c>
      <c r="G384" s="7">
        <f ca="1">YEARFRAC(Table1[[#This Row],[Hire Date]], TODAY())</f>
        <v>23.458333333333332</v>
      </c>
      <c r="H384" s="7">
        <v>37475</v>
      </c>
      <c r="I384">
        <v>37</v>
      </c>
      <c r="J384" t="s">
        <v>43</v>
      </c>
      <c r="K384">
        <v>1</v>
      </c>
      <c r="L384" t="s">
        <v>44</v>
      </c>
      <c r="M384">
        <v>2047.58</v>
      </c>
      <c r="N384" t="s">
        <v>48</v>
      </c>
      <c r="O384" t="s">
        <v>51</v>
      </c>
      <c r="P384">
        <v>10</v>
      </c>
      <c r="Q384" t="s">
        <v>57</v>
      </c>
      <c r="R384" t="s">
        <v>58</v>
      </c>
      <c r="S384">
        <v>17</v>
      </c>
      <c r="T384">
        <v>2016</v>
      </c>
      <c r="U384" t="s">
        <v>64</v>
      </c>
      <c r="V384">
        <v>97</v>
      </c>
      <c r="W384">
        <v>2.8</v>
      </c>
    </row>
    <row r="385" spans="1:23" x14ac:dyDescent="0.35">
      <c r="A385">
        <v>10384</v>
      </c>
      <c r="B385" t="s">
        <v>23</v>
      </c>
      <c r="C385" t="s">
        <v>29</v>
      </c>
      <c r="D385" t="s">
        <v>41</v>
      </c>
      <c r="E385">
        <v>84030</v>
      </c>
      <c r="F385">
        <f ca="1">DATEDIF(Table1[[#This Row],[Hire Date]], TODAY(), "Y")</f>
        <v>6</v>
      </c>
      <c r="G385" s="7">
        <f ca="1">YEARFRAC(Table1[[#This Row],[Hire Date]], TODAY())</f>
        <v>6.6333333333333337</v>
      </c>
      <c r="H385" s="7">
        <v>43620</v>
      </c>
      <c r="I385">
        <v>54</v>
      </c>
      <c r="J385" t="s">
        <v>42</v>
      </c>
      <c r="K385">
        <v>1</v>
      </c>
      <c r="L385" t="s">
        <v>44</v>
      </c>
      <c r="M385">
        <v>1612.33</v>
      </c>
      <c r="N385" t="s">
        <v>47</v>
      </c>
      <c r="O385" t="s">
        <v>53</v>
      </c>
      <c r="P385">
        <v>28</v>
      </c>
      <c r="Q385" t="s">
        <v>55</v>
      </c>
      <c r="R385" t="s">
        <v>62</v>
      </c>
      <c r="S385">
        <v>16</v>
      </c>
      <c r="T385">
        <v>2011</v>
      </c>
      <c r="U385" t="s">
        <v>66</v>
      </c>
      <c r="V385">
        <v>67</v>
      </c>
      <c r="W385">
        <v>4.0999999999999996</v>
      </c>
    </row>
    <row r="386" spans="1:23" x14ac:dyDescent="0.35">
      <c r="A386">
        <v>10385</v>
      </c>
      <c r="B386" t="s">
        <v>23</v>
      </c>
      <c r="C386" t="s">
        <v>33</v>
      </c>
      <c r="D386" t="s">
        <v>39</v>
      </c>
      <c r="E386">
        <v>97904</v>
      </c>
      <c r="F386">
        <f ca="1">DATEDIF(Table1[[#This Row],[Hire Date]], TODAY(), "Y")</f>
        <v>22</v>
      </c>
      <c r="G386" s="7">
        <f ca="1">YEARFRAC(Table1[[#This Row],[Hire Date]], TODAY())</f>
        <v>22.297222222222221</v>
      </c>
      <c r="H386" s="7">
        <v>37899</v>
      </c>
      <c r="I386">
        <v>31</v>
      </c>
      <c r="J386" t="s">
        <v>42</v>
      </c>
      <c r="K386">
        <v>9</v>
      </c>
      <c r="L386" t="s">
        <v>44</v>
      </c>
      <c r="M386">
        <v>5809.64</v>
      </c>
      <c r="N386" t="s">
        <v>47</v>
      </c>
      <c r="O386" t="s">
        <v>53</v>
      </c>
      <c r="P386">
        <v>27</v>
      </c>
      <c r="Q386" t="s">
        <v>55</v>
      </c>
      <c r="R386" t="s">
        <v>62</v>
      </c>
      <c r="S386">
        <v>4</v>
      </c>
      <c r="T386">
        <v>2022</v>
      </c>
      <c r="U386" t="s">
        <v>64</v>
      </c>
      <c r="V386">
        <v>167</v>
      </c>
      <c r="W386">
        <v>1.1000000000000001</v>
      </c>
    </row>
    <row r="387" spans="1:23" x14ac:dyDescent="0.35">
      <c r="A387">
        <v>10386</v>
      </c>
      <c r="B387" t="s">
        <v>25</v>
      </c>
      <c r="C387" t="s">
        <v>30</v>
      </c>
      <c r="D387" t="s">
        <v>38</v>
      </c>
      <c r="E387">
        <v>59203</v>
      </c>
      <c r="F387">
        <f ca="1">DATEDIF(Table1[[#This Row],[Hire Date]], TODAY(), "Y")</f>
        <v>9</v>
      </c>
      <c r="G387" s="7">
        <f ca="1">YEARFRAC(Table1[[#This Row],[Hire Date]], TODAY())</f>
        <v>9.2861111111111114</v>
      </c>
      <c r="H387" s="7">
        <v>42652</v>
      </c>
      <c r="I387">
        <v>40</v>
      </c>
      <c r="J387" t="s">
        <v>43</v>
      </c>
      <c r="K387">
        <v>1</v>
      </c>
      <c r="L387" t="s">
        <v>44</v>
      </c>
      <c r="M387">
        <v>3354.47</v>
      </c>
      <c r="N387" t="s">
        <v>46</v>
      </c>
      <c r="O387" t="s">
        <v>51</v>
      </c>
      <c r="P387">
        <v>31</v>
      </c>
      <c r="Q387" t="s">
        <v>57</v>
      </c>
      <c r="R387" t="s">
        <v>59</v>
      </c>
      <c r="S387">
        <v>19</v>
      </c>
      <c r="T387">
        <v>2015</v>
      </c>
      <c r="U387" t="s">
        <v>64</v>
      </c>
      <c r="V387">
        <v>36</v>
      </c>
      <c r="W387">
        <v>1.5</v>
      </c>
    </row>
    <row r="388" spans="1:23" x14ac:dyDescent="0.35">
      <c r="A388">
        <v>10387</v>
      </c>
      <c r="B388" t="s">
        <v>24</v>
      </c>
      <c r="C388" t="s">
        <v>33</v>
      </c>
      <c r="D388" t="s">
        <v>39</v>
      </c>
      <c r="E388">
        <v>107088</v>
      </c>
      <c r="F388">
        <f ca="1">DATEDIF(Table1[[#This Row],[Hire Date]], TODAY(), "Y")</f>
        <v>6</v>
      </c>
      <c r="G388" s="7">
        <f ca="1">YEARFRAC(Table1[[#This Row],[Hire Date]], TODAY())</f>
        <v>6.6638888888888888</v>
      </c>
      <c r="H388" s="7">
        <v>43608</v>
      </c>
      <c r="I388">
        <v>58</v>
      </c>
      <c r="J388" t="s">
        <v>42</v>
      </c>
      <c r="K388">
        <v>3</v>
      </c>
      <c r="L388" t="s">
        <v>44</v>
      </c>
      <c r="M388">
        <v>9975.5499999999993</v>
      </c>
      <c r="N388" t="s">
        <v>48</v>
      </c>
      <c r="O388" t="s">
        <v>54</v>
      </c>
      <c r="P388">
        <v>34</v>
      </c>
      <c r="Q388" t="s">
        <v>56</v>
      </c>
      <c r="R388" t="s">
        <v>59</v>
      </c>
      <c r="S388">
        <v>5</v>
      </c>
      <c r="T388">
        <v>2015</v>
      </c>
      <c r="U388" t="s">
        <v>66</v>
      </c>
      <c r="V388">
        <v>101</v>
      </c>
      <c r="W388">
        <v>3.9</v>
      </c>
    </row>
    <row r="389" spans="1:23" x14ac:dyDescent="0.35">
      <c r="A389">
        <v>10388</v>
      </c>
      <c r="B389" t="s">
        <v>21</v>
      </c>
      <c r="C389" t="s">
        <v>32</v>
      </c>
      <c r="D389" t="s">
        <v>39</v>
      </c>
      <c r="E389">
        <v>35608</v>
      </c>
      <c r="F389">
        <f ca="1">DATEDIF(Table1[[#This Row],[Hire Date]], TODAY(), "Y")</f>
        <v>23</v>
      </c>
      <c r="G389" s="7">
        <f ca="1">YEARFRAC(Table1[[#This Row],[Hire Date]], TODAY())</f>
        <v>23.43888888888889</v>
      </c>
      <c r="H389" s="7">
        <v>37482</v>
      </c>
      <c r="I389">
        <v>24</v>
      </c>
      <c r="J389" t="s">
        <v>42</v>
      </c>
      <c r="K389">
        <v>2</v>
      </c>
      <c r="L389" t="s">
        <v>45</v>
      </c>
      <c r="M389">
        <v>4356.0600000000004</v>
      </c>
      <c r="N389" t="s">
        <v>47</v>
      </c>
      <c r="O389" t="s">
        <v>50</v>
      </c>
      <c r="P389">
        <v>5</v>
      </c>
      <c r="Q389" t="s">
        <v>57</v>
      </c>
      <c r="R389" t="s">
        <v>59</v>
      </c>
      <c r="S389">
        <v>2</v>
      </c>
      <c r="T389">
        <v>2018</v>
      </c>
      <c r="U389" t="s">
        <v>66</v>
      </c>
      <c r="V389">
        <v>122</v>
      </c>
      <c r="W389">
        <v>3.4</v>
      </c>
    </row>
    <row r="390" spans="1:23" x14ac:dyDescent="0.35">
      <c r="A390">
        <v>10389</v>
      </c>
      <c r="B390" t="s">
        <v>28</v>
      </c>
      <c r="C390" t="s">
        <v>34</v>
      </c>
      <c r="D390" t="s">
        <v>36</v>
      </c>
      <c r="E390">
        <v>75667</v>
      </c>
      <c r="F390">
        <f ca="1">DATEDIF(Table1[[#This Row],[Hire Date]], TODAY(), "Y")</f>
        <v>21</v>
      </c>
      <c r="G390" s="7">
        <f ca="1">YEARFRAC(Table1[[#This Row],[Hire Date]], TODAY())</f>
        <v>21.4</v>
      </c>
      <c r="H390" s="7">
        <v>38227</v>
      </c>
      <c r="I390">
        <v>57</v>
      </c>
      <c r="J390" t="s">
        <v>43</v>
      </c>
      <c r="K390">
        <v>4</v>
      </c>
      <c r="L390" t="s">
        <v>44</v>
      </c>
      <c r="M390">
        <v>2516.7199999999998</v>
      </c>
      <c r="N390" t="s">
        <v>48</v>
      </c>
      <c r="O390" t="s">
        <v>50</v>
      </c>
      <c r="P390">
        <v>11</v>
      </c>
      <c r="Q390" t="s">
        <v>55</v>
      </c>
      <c r="R390" t="s">
        <v>59</v>
      </c>
      <c r="S390">
        <v>15</v>
      </c>
      <c r="T390">
        <v>2023</v>
      </c>
      <c r="U390" t="s">
        <v>64</v>
      </c>
      <c r="V390">
        <v>28</v>
      </c>
      <c r="W390">
        <v>3.9</v>
      </c>
    </row>
    <row r="391" spans="1:23" x14ac:dyDescent="0.35">
      <c r="A391">
        <v>10390</v>
      </c>
      <c r="B391" t="s">
        <v>28</v>
      </c>
      <c r="C391" t="s">
        <v>29</v>
      </c>
      <c r="D391" t="s">
        <v>38</v>
      </c>
      <c r="E391">
        <v>85547</v>
      </c>
      <c r="F391">
        <f ca="1">DATEDIF(Table1[[#This Row],[Hire Date]], TODAY(), "Y")</f>
        <v>18</v>
      </c>
      <c r="G391" s="7">
        <f ca="1">YEARFRAC(Table1[[#This Row],[Hire Date]], TODAY())</f>
        <v>18.005555555555556</v>
      </c>
      <c r="H391" s="7">
        <v>39467</v>
      </c>
      <c r="I391">
        <v>25</v>
      </c>
      <c r="J391" t="s">
        <v>42</v>
      </c>
      <c r="K391">
        <v>1</v>
      </c>
      <c r="L391" t="s">
        <v>44</v>
      </c>
      <c r="M391">
        <v>6474.07</v>
      </c>
      <c r="N391" t="s">
        <v>49</v>
      </c>
      <c r="O391" t="s">
        <v>53</v>
      </c>
      <c r="P391">
        <v>7</v>
      </c>
      <c r="Q391" t="s">
        <v>55</v>
      </c>
      <c r="R391" t="s">
        <v>60</v>
      </c>
      <c r="S391">
        <v>14</v>
      </c>
      <c r="T391">
        <v>2017</v>
      </c>
      <c r="U391" t="s">
        <v>66</v>
      </c>
      <c r="V391">
        <v>54</v>
      </c>
      <c r="W391">
        <v>1.9</v>
      </c>
    </row>
    <row r="392" spans="1:23" x14ac:dyDescent="0.35">
      <c r="A392">
        <v>10391</v>
      </c>
      <c r="B392" t="s">
        <v>24</v>
      </c>
      <c r="C392" t="s">
        <v>31</v>
      </c>
      <c r="D392" t="s">
        <v>36</v>
      </c>
      <c r="E392">
        <v>52485</v>
      </c>
      <c r="F392">
        <f ca="1">DATEDIF(Table1[[#This Row],[Hire Date]], TODAY(), "Y")</f>
        <v>19</v>
      </c>
      <c r="G392" s="7">
        <f ca="1">YEARFRAC(Table1[[#This Row],[Hire Date]], TODAY())</f>
        <v>19.261111111111113</v>
      </c>
      <c r="H392" s="7">
        <v>39008</v>
      </c>
      <c r="I392">
        <v>32</v>
      </c>
      <c r="J392" t="s">
        <v>43</v>
      </c>
      <c r="K392">
        <v>1</v>
      </c>
      <c r="L392" t="s">
        <v>44</v>
      </c>
      <c r="M392">
        <v>2820.42</v>
      </c>
      <c r="N392" t="s">
        <v>48</v>
      </c>
      <c r="O392" t="s">
        <v>52</v>
      </c>
      <c r="P392">
        <v>8</v>
      </c>
      <c r="Q392" t="s">
        <v>55</v>
      </c>
      <c r="R392" t="s">
        <v>58</v>
      </c>
      <c r="S392">
        <v>7</v>
      </c>
      <c r="T392">
        <v>2014</v>
      </c>
      <c r="U392" t="s">
        <v>66</v>
      </c>
      <c r="V392">
        <v>122</v>
      </c>
      <c r="W392">
        <v>4.2</v>
      </c>
    </row>
    <row r="393" spans="1:23" x14ac:dyDescent="0.35">
      <c r="A393">
        <v>10392</v>
      </c>
      <c r="B393" t="s">
        <v>24</v>
      </c>
      <c r="C393" t="s">
        <v>29</v>
      </c>
      <c r="D393" t="s">
        <v>40</v>
      </c>
      <c r="E393">
        <v>39862</v>
      </c>
      <c r="F393">
        <f ca="1">DATEDIF(Table1[[#This Row],[Hire Date]], TODAY(), "Y")</f>
        <v>22</v>
      </c>
      <c r="G393" s="7">
        <f ca="1">YEARFRAC(Table1[[#This Row],[Hire Date]], TODAY())</f>
        <v>22.486111111111111</v>
      </c>
      <c r="H393" s="7">
        <v>37829</v>
      </c>
      <c r="I393">
        <v>62</v>
      </c>
      <c r="J393" t="s">
        <v>42</v>
      </c>
      <c r="K393">
        <v>4</v>
      </c>
      <c r="L393" t="s">
        <v>45</v>
      </c>
      <c r="M393">
        <v>5193.82</v>
      </c>
      <c r="N393" t="s">
        <v>48</v>
      </c>
      <c r="O393" t="s">
        <v>50</v>
      </c>
      <c r="P393">
        <v>17</v>
      </c>
      <c r="Q393" t="s">
        <v>55</v>
      </c>
      <c r="R393" t="s">
        <v>59</v>
      </c>
      <c r="S393">
        <v>8</v>
      </c>
      <c r="T393">
        <v>2016</v>
      </c>
      <c r="U393" t="s">
        <v>65</v>
      </c>
      <c r="V393">
        <v>191</v>
      </c>
      <c r="W393">
        <v>2.9</v>
      </c>
    </row>
    <row r="394" spans="1:23" x14ac:dyDescent="0.35">
      <c r="A394">
        <v>10393</v>
      </c>
      <c r="B394" t="s">
        <v>25</v>
      </c>
      <c r="C394" t="s">
        <v>32</v>
      </c>
      <c r="D394" t="s">
        <v>39</v>
      </c>
      <c r="E394">
        <v>105948</v>
      </c>
      <c r="F394">
        <f ca="1">DATEDIF(Table1[[#This Row],[Hire Date]], TODAY(), "Y")</f>
        <v>25</v>
      </c>
      <c r="G394" s="7">
        <f ca="1">YEARFRAC(Table1[[#This Row],[Hire Date]], TODAY())</f>
        <v>25.047222222222221</v>
      </c>
      <c r="H394" s="7">
        <v>36896</v>
      </c>
      <c r="I394">
        <v>54</v>
      </c>
      <c r="J394" t="s">
        <v>42</v>
      </c>
      <c r="K394">
        <v>4</v>
      </c>
      <c r="L394" t="s">
        <v>45</v>
      </c>
      <c r="M394">
        <v>5084.47</v>
      </c>
      <c r="N394" t="s">
        <v>49</v>
      </c>
      <c r="O394" t="s">
        <v>53</v>
      </c>
      <c r="P394">
        <v>39</v>
      </c>
      <c r="Q394" t="s">
        <v>55</v>
      </c>
      <c r="R394" t="s">
        <v>60</v>
      </c>
      <c r="S394">
        <v>3</v>
      </c>
      <c r="T394">
        <v>2016</v>
      </c>
      <c r="U394" t="s">
        <v>66</v>
      </c>
      <c r="V394">
        <v>197</v>
      </c>
      <c r="W394">
        <v>3.4</v>
      </c>
    </row>
    <row r="395" spans="1:23" x14ac:dyDescent="0.35">
      <c r="A395">
        <v>10394</v>
      </c>
      <c r="B395" t="s">
        <v>25</v>
      </c>
      <c r="C395" t="s">
        <v>33</v>
      </c>
      <c r="D395" t="s">
        <v>40</v>
      </c>
      <c r="E395">
        <v>116890</v>
      </c>
      <c r="F395">
        <f ca="1">DATEDIF(Table1[[#This Row],[Hire Date]], TODAY(), "Y")</f>
        <v>17</v>
      </c>
      <c r="G395" s="7">
        <f ca="1">YEARFRAC(Table1[[#This Row],[Hire Date]], TODAY())</f>
        <v>17.899999999999999</v>
      </c>
      <c r="H395" s="7">
        <v>39506</v>
      </c>
      <c r="I395">
        <v>49</v>
      </c>
      <c r="J395" t="s">
        <v>42</v>
      </c>
      <c r="K395">
        <v>7</v>
      </c>
      <c r="L395" t="s">
        <v>45</v>
      </c>
      <c r="M395">
        <v>4808.8</v>
      </c>
      <c r="N395" t="s">
        <v>47</v>
      </c>
      <c r="O395" t="s">
        <v>53</v>
      </c>
      <c r="P395">
        <v>14</v>
      </c>
      <c r="Q395" t="s">
        <v>55</v>
      </c>
      <c r="R395" t="s">
        <v>61</v>
      </c>
      <c r="S395">
        <v>12</v>
      </c>
      <c r="T395">
        <v>2014</v>
      </c>
      <c r="U395" t="s">
        <v>66</v>
      </c>
      <c r="V395">
        <v>132</v>
      </c>
      <c r="W395">
        <v>1.4</v>
      </c>
    </row>
    <row r="396" spans="1:23" x14ac:dyDescent="0.35">
      <c r="A396">
        <v>10395</v>
      </c>
      <c r="B396" t="s">
        <v>24</v>
      </c>
      <c r="C396" t="s">
        <v>32</v>
      </c>
      <c r="D396" t="s">
        <v>38</v>
      </c>
      <c r="E396">
        <v>101880</v>
      </c>
      <c r="F396">
        <f ca="1">DATEDIF(Table1[[#This Row],[Hire Date]], TODAY(), "Y")</f>
        <v>19</v>
      </c>
      <c r="G396" s="7">
        <f ca="1">YEARFRAC(Table1[[#This Row],[Hire Date]], TODAY())</f>
        <v>19.769444444444446</v>
      </c>
      <c r="H396" s="7">
        <v>38822</v>
      </c>
      <c r="I396">
        <v>53</v>
      </c>
      <c r="J396" t="s">
        <v>42</v>
      </c>
      <c r="K396">
        <v>8</v>
      </c>
      <c r="L396" t="s">
        <v>44</v>
      </c>
      <c r="M396">
        <v>8062.81</v>
      </c>
      <c r="N396" t="s">
        <v>47</v>
      </c>
      <c r="O396" t="s">
        <v>51</v>
      </c>
      <c r="P396">
        <v>24</v>
      </c>
      <c r="Q396" t="s">
        <v>57</v>
      </c>
      <c r="R396" t="s">
        <v>59</v>
      </c>
      <c r="S396">
        <v>2</v>
      </c>
      <c r="T396">
        <v>2016</v>
      </c>
      <c r="U396" t="s">
        <v>65</v>
      </c>
      <c r="V396">
        <v>116</v>
      </c>
      <c r="W396">
        <v>1.8</v>
      </c>
    </row>
    <row r="397" spans="1:23" x14ac:dyDescent="0.35">
      <c r="A397">
        <v>10396</v>
      </c>
      <c r="B397" t="s">
        <v>22</v>
      </c>
      <c r="C397" t="s">
        <v>35</v>
      </c>
      <c r="D397" t="s">
        <v>39</v>
      </c>
      <c r="E397">
        <v>87560</v>
      </c>
      <c r="F397">
        <f ca="1">DATEDIF(Table1[[#This Row],[Hire Date]], TODAY(), "Y")</f>
        <v>6</v>
      </c>
      <c r="G397" s="7">
        <f ca="1">YEARFRAC(Table1[[#This Row],[Hire Date]], TODAY())</f>
        <v>6.7972222222222225</v>
      </c>
      <c r="H397" s="7">
        <v>43560</v>
      </c>
      <c r="I397">
        <v>37</v>
      </c>
      <c r="J397" t="s">
        <v>42</v>
      </c>
      <c r="K397">
        <v>8</v>
      </c>
      <c r="L397" t="s">
        <v>44</v>
      </c>
      <c r="M397">
        <v>2557.8200000000002</v>
      </c>
      <c r="N397" t="s">
        <v>48</v>
      </c>
      <c r="O397" t="s">
        <v>51</v>
      </c>
      <c r="P397">
        <v>30</v>
      </c>
      <c r="Q397" t="s">
        <v>55</v>
      </c>
      <c r="R397" t="s">
        <v>58</v>
      </c>
      <c r="S397">
        <v>6</v>
      </c>
      <c r="T397">
        <v>2012</v>
      </c>
      <c r="U397" t="s">
        <v>64</v>
      </c>
      <c r="V397">
        <v>42</v>
      </c>
      <c r="W397">
        <v>4.0999999999999996</v>
      </c>
    </row>
    <row r="398" spans="1:23" x14ac:dyDescent="0.35">
      <c r="A398">
        <v>10397</v>
      </c>
      <c r="B398" t="s">
        <v>25</v>
      </c>
      <c r="C398" t="s">
        <v>35</v>
      </c>
      <c r="D398" t="s">
        <v>40</v>
      </c>
      <c r="E398">
        <v>113529</v>
      </c>
      <c r="F398">
        <f ca="1">DATEDIF(Table1[[#This Row],[Hire Date]], TODAY(), "Y")</f>
        <v>8</v>
      </c>
      <c r="G398" s="7">
        <f ca="1">YEARFRAC(Table1[[#This Row],[Hire Date]], TODAY())</f>
        <v>8.7416666666666671</v>
      </c>
      <c r="H398" s="7">
        <v>42850</v>
      </c>
      <c r="I398">
        <v>30</v>
      </c>
      <c r="J398" t="s">
        <v>42</v>
      </c>
      <c r="K398">
        <v>8</v>
      </c>
      <c r="L398" t="s">
        <v>44</v>
      </c>
      <c r="M398">
        <v>9090.92</v>
      </c>
      <c r="N398" t="s">
        <v>48</v>
      </c>
      <c r="O398" t="s">
        <v>51</v>
      </c>
      <c r="P398">
        <v>15</v>
      </c>
      <c r="Q398" t="s">
        <v>55</v>
      </c>
      <c r="R398" t="s">
        <v>62</v>
      </c>
      <c r="S398">
        <v>15</v>
      </c>
      <c r="T398">
        <v>2016</v>
      </c>
      <c r="U398" t="s">
        <v>64</v>
      </c>
      <c r="V398">
        <v>170</v>
      </c>
      <c r="W398">
        <v>1.9</v>
      </c>
    </row>
    <row r="399" spans="1:23" x14ac:dyDescent="0.35">
      <c r="A399">
        <v>10398</v>
      </c>
      <c r="B399" t="s">
        <v>27</v>
      </c>
      <c r="C399" t="s">
        <v>31</v>
      </c>
      <c r="D399" t="s">
        <v>37</v>
      </c>
      <c r="E399">
        <v>58415</v>
      </c>
      <c r="F399">
        <f ca="1">DATEDIF(Table1[[#This Row],[Hire Date]], TODAY(), "Y")</f>
        <v>12</v>
      </c>
      <c r="G399" s="7">
        <f ca="1">YEARFRAC(Table1[[#This Row],[Hire Date]], TODAY())</f>
        <v>12.925000000000001</v>
      </c>
      <c r="H399" s="7">
        <v>41324</v>
      </c>
      <c r="I399">
        <v>32</v>
      </c>
      <c r="J399" t="s">
        <v>43</v>
      </c>
      <c r="K399">
        <v>9</v>
      </c>
      <c r="L399" t="s">
        <v>45</v>
      </c>
      <c r="M399">
        <v>8017.73</v>
      </c>
      <c r="N399" t="s">
        <v>49</v>
      </c>
      <c r="O399" t="s">
        <v>52</v>
      </c>
      <c r="P399">
        <v>4</v>
      </c>
      <c r="Q399" t="s">
        <v>55</v>
      </c>
      <c r="R399" t="s">
        <v>63</v>
      </c>
      <c r="S399">
        <v>16</v>
      </c>
      <c r="T399">
        <v>2022</v>
      </c>
      <c r="U399" t="s">
        <v>66</v>
      </c>
      <c r="V399">
        <v>153</v>
      </c>
      <c r="W399">
        <v>1.4</v>
      </c>
    </row>
    <row r="400" spans="1:23" x14ac:dyDescent="0.35">
      <c r="A400">
        <v>10399</v>
      </c>
      <c r="B400" t="s">
        <v>25</v>
      </c>
      <c r="C400" t="s">
        <v>32</v>
      </c>
      <c r="D400" t="s">
        <v>41</v>
      </c>
      <c r="E400">
        <v>94523</v>
      </c>
      <c r="F400">
        <f ca="1">DATEDIF(Table1[[#This Row],[Hire Date]], TODAY(), "Y")</f>
        <v>6</v>
      </c>
      <c r="G400" s="7">
        <f ca="1">YEARFRAC(Table1[[#This Row],[Hire Date]], TODAY())</f>
        <v>6.5</v>
      </c>
      <c r="H400" s="7">
        <v>43668</v>
      </c>
      <c r="I400">
        <v>27</v>
      </c>
      <c r="J400" t="s">
        <v>43</v>
      </c>
      <c r="K400">
        <v>1</v>
      </c>
      <c r="L400" t="s">
        <v>45</v>
      </c>
      <c r="M400">
        <v>3664.66</v>
      </c>
      <c r="N400" t="s">
        <v>49</v>
      </c>
      <c r="O400" t="s">
        <v>50</v>
      </c>
      <c r="P400">
        <v>13</v>
      </c>
      <c r="Q400" t="s">
        <v>55</v>
      </c>
      <c r="R400" t="s">
        <v>62</v>
      </c>
      <c r="S400">
        <v>16</v>
      </c>
      <c r="T400">
        <v>2015</v>
      </c>
      <c r="U400" t="s">
        <v>66</v>
      </c>
      <c r="V400">
        <v>155</v>
      </c>
      <c r="W400">
        <v>3.4</v>
      </c>
    </row>
    <row r="401" spans="1:23" x14ac:dyDescent="0.35">
      <c r="A401">
        <v>10400</v>
      </c>
      <c r="B401" t="s">
        <v>28</v>
      </c>
      <c r="C401" t="s">
        <v>30</v>
      </c>
      <c r="D401" t="s">
        <v>39</v>
      </c>
      <c r="E401">
        <v>49323</v>
      </c>
      <c r="F401">
        <f ca="1">DATEDIF(Table1[[#This Row],[Hire Date]], TODAY(), "Y")</f>
        <v>10</v>
      </c>
      <c r="G401" s="7">
        <f ca="1">YEARFRAC(Table1[[#This Row],[Hire Date]], TODAY())</f>
        <v>10.258333333333333</v>
      </c>
      <c r="H401" s="7">
        <v>42296</v>
      </c>
      <c r="I401">
        <v>48</v>
      </c>
      <c r="J401" t="s">
        <v>42</v>
      </c>
      <c r="K401">
        <v>9</v>
      </c>
      <c r="L401" t="s">
        <v>45</v>
      </c>
      <c r="M401">
        <v>2215.7199999999998</v>
      </c>
      <c r="N401" t="s">
        <v>47</v>
      </c>
      <c r="O401" t="s">
        <v>52</v>
      </c>
      <c r="P401">
        <v>5</v>
      </c>
      <c r="Q401" t="s">
        <v>55</v>
      </c>
      <c r="R401" t="s">
        <v>58</v>
      </c>
      <c r="S401">
        <v>18</v>
      </c>
      <c r="T401">
        <v>2021</v>
      </c>
      <c r="U401" t="s">
        <v>64</v>
      </c>
      <c r="V401">
        <v>178</v>
      </c>
      <c r="W401">
        <v>3.2</v>
      </c>
    </row>
    <row r="402" spans="1:23" x14ac:dyDescent="0.35">
      <c r="A402">
        <v>10401</v>
      </c>
      <c r="B402" t="s">
        <v>25</v>
      </c>
      <c r="C402" t="s">
        <v>31</v>
      </c>
      <c r="D402" t="s">
        <v>41</v>
      </c>
      <c r="E402">
        <v>83214</v>
      </c>
      <c r="F402">
        <f ca="1">DATEDIF(Table1[[#This Row],[Hire Date]], TODAY(), "Y")</f>
        <v>20</v>
      </c>
      <c r="G402" s="7">
        <f ca="1">YEARFRAC(Table1[[#This Row],[Hire Date]], TODAY())</f>
        <v>20.238888888888887</v>
      </c>
      <c r="H402" s="7">
        <v>38651</v>
      </c>
      <c r="I402">
        <v>33</v>
      </c>
      <c r="J402" t="s">
        <v>42</v>
      </c>
      <c r="K402">
        <v>8</v>
      </c>
      <c r="L402" t="s">
        <v>44</v>
      </c>
      <c r="M402">
        <v>3155.58</v>
      </c>
      <c r="N402" t="s">
        <v>47</v>
      </c>
      <c r="O402" t="s">
        <v>52</v>
      </c>
      <c r="P402">
        <v>31</v>
      </c>
      <c r="Q402" t="s">
        <v>56</v>
      </c>
      <c r="R402" t="s">
        <v>58</v>
      </c>
      <c r="S402">
        <v>19</v>
      </c>
      <c r="T402">
        <v>2015</v>
      </c>
      <c r="U402" t="s">
        <v>66</v>
      </c>
      <c r="V402">
        <v>162</v>
      </c>
      <c r="W402">
        <v>3.4</v>
      </c>
    </row>
    <row r="403" spans="1:23" x14ac:dyDescent="0.35">
      <c r="A403">
        <v>10402</v>
      </c>
      <c r="B403" t="s">
        <v>22</v>
      </c>
      <c r="C403" t="s">
        <v>30</v>
      </c>
      <c r="D403" t="s">
        <v>36</v>
      </c>
      <c r="E403">
        <v>47997</v>
      </c>
      <c r="F403">
        <f ca="1">DATEDIF(Table1[[#This Row],[Hire Date]], TODAY(), "Y")</f>
        <v>17</v>
      </c>
      <c r="G403" s="7">
        <f ca="1">YEARFRAC(Table1[[#This Row],[Hire Date]], TODAY())</f>
        <v>17.93888888888889</v>
      </c>
      <c r="H403" s="7">
        <v>39492</v>
      </c>
      <c r="I403">
        <v>43</v>
      </c>
      <c r="J403" t="s">
        <v>43</v>
      </c>
      <c r="K403">
        <v>1</v>
      </c>
      <c r="L403" t="s">
        <v>44</v>
      </c>
      <c r="M403">
        <v>3660.04</v>
      </c>
      <c r="N403" t="s">
        <v>49</v>
      </c>
      <c r="O403" t="s">
        <v>51</v>
      </c>
      <c r="P403">
        <v>12</v>
      </c>
      <c r="Q403" t="s">
        <v>57</v>
      </c>
      <c r="R403" t="s">
        <v>58</v>
      </c>
      <c r="S403">
        <v>16</v>
      </c>
      <c r="T403">
        <v>2011</v>
      </c>
      <c r="U403" t="s">
        <v>64</v>
      </c>
      <c r="V403">
        <v>172</v>
      </c>
      <c r="W403">
        <v>3.5</v>
      </c>
    </row>
    <row r="404" spans="1:23" x14ac:dyDescent="0.35">
      <c r="A404">
        <v>10403</v>
      </c>
      <c r="B404" t="s">
        <v>24</v>
      </c>
      <c r="C404" t="s">
        <v>31</v>
      </c>
      <c r="D404" t="s">
        <v>40</v>
      </c>
      <c r="E404">
        <v>87003</v>
      </c>
      <c r="F404">
        <f ca="1">DATEDIF(Table1[[#This Row],[Hire Date]], TODAY(), "Y")</f>
        <v>6</v>
      </c>
      <c r="G404" s="7">
        <f ca="1">YEARFRAC(Table1[[#This Row],[Hire Date]], TODAY())</f>
        <v>6.8111111111111109</v>
      </c>
      <c r="H404" s="7">
        <v>43554</v>
      </c>
      <c r="I404">
        <v>61</v>
      </c>
      <c r="J404" t="s">
        <v>43</v>
      </c>
      <c r="K404">
        <v>7</v>
      </c>
      <c r="L404" t="s">
        <v>45</v>
      </c>
      <c r="M404">
        <v>5790.87</v>
      </c>
      <c r="N404" t="s">
        <v>48</v>
      </c>
      <c r="O404" t="s">
        <v>53</v>
      </c>
      <c r="P404">
        <v>30</v>
      </c>
      <c r="Q404" t="s">
        <v>57</v>
      </c>
      <c r="R404" t="s">
        <v>58</v>
      </c>
      <c r="S404">
        <v>1</v>
      </c>
      <c r="T404">
        <v>2011</v>
      </c>
      <c r="U404" t="s">
        <v>64</v>
      </c>
      <c r="V404">
        <v>86</v>
      </c>
      <c r="W404">
        <v>3</v>
      </c>
    </row>
    <row r="405" spans="1:23" x14ac:dyDescent="0.35">
      <c r="A405">
        <v>10404</v>
      </c>
      <c r="B405" t="s">
        <v>28</v>
      </c>
      <c r="C405" t="s">
        <v>35</v>
      </c>
      <c r="D405" t="s">
        <v>36</v>
      </c>
      <c r="E405">
        <v>33679</v>
      </c>
      <c r="F405">
        <f ca="1">DATEDIF(Table1[[#This Row],[Hire Date]], TODAY(), "Y")</f>
        <v>8</v>
      </c>
      <c r="G405" s="7">
        <f ca="1">YEARFRAC(Table1[[#This Row],[Hire Date]], TODAY())</f>
        <v>8.3194444444444446</v>
      </c>
      <c r="H405" s="7">
        <v>43005</v>
      </c>
      <c r="I405">
        <v>58</v>
      </c>
      <c r="J405" t="s">
        <v>43</v>
      </c>
      <c r="K405">
        <v>9</v>
      </c>
      <c r="L405" t="s">
        <v>44</v>
      </c>
      <c r="M405">
        <v>940.5</v>
      </c>
      <c r="N405" t="s">
        <v>49</v>
      </c>
      <c r="O405" t="s">
        <v>54</v>
      </c>
      <c r="P405">
        <v>10</v>
      </c>
      <c r="Q405" t="s">
        <v>56</v>
      </c>
      <c r="R405" t="s">
        <v>59</v>
      </c>
      <c r="S405">
        <v>4</v>
      </c>
      <c r="T405">
        <v>2016</v>
      </c>
      <c r="U405" t="s">
        <v>65</v>
      </c>
      <c r="V405">
        <v>74</v>
      </c>
      <c r="W405">
        <v>3</v>
      </c>
    </row>
    <row r="406" spans="1:23" x14ac:dyDescent="0.35">
      <c r="A406">
        <v>10405</v>
      </c>
      <c r="B406" t="s">
        <v>25</v>
      </c>
      <c r="C406" t="s">
        <v>31</v>
      </c>
      <c r="D406" t="s">
        <v>39</v>
      </c>
      <c r="E406">
        <v>70308</v>
      </c>
      <c r="F406">
        <f ca="1">DATEDIF(Table1[[#This Row],[Hire Date]], TODAY(), "Y")</f>
        <v>14</v>
      </c>
      <c r="G406" s="7">
        <f ca="1">YEARFRAC(Table1[[#This Row],[Hire Date]], TODAY())</f>
        <v>14.705555555555556</v>
      </c>
      <c r="H406" s="7">
        <v>40671</v>
      </c>
      <c r="I406">
        <v>42</v>
      </c>
      <c r="J406" t="s">
        <v>42</v>
      </c>
      <c r="K406">
        <v>4</v>
      </c>
      <c r="L406" t="s">
        <v>45</v>
      </c>
      <c r="M406">
        <v>9186.41</v>
      </c>
      <c r="N406" t="s">
        <v>47</v>
      </c>
      <c r="O406" t="s">
        <v>53</v>
      </c>
      <c r="P406">
        <v>30</v>
      </c>
      <c r="Q406" t="s">
        <v>56</v>
      </c>
      <c r="R406" t="s">
        <v>61</v>
      </c>
      <c r="S406">
        <v>15</v>
      </c>
      <c r="T406">
        <v>2010</v>
      </c>
      <c r="U406" t="s">
        <v>65</v>
      </c>
      <c r="V406">
        <v>73</v>
      </c>
      <c r="W406">
        <v>4.7</v>
      </c>
    </row>
    <row r="407" spans="1:23" x14ac:dyDescent="0.35">
      <c r="A407">
        <v>10406</v>
      </c>
      <c r="B407" t="s">
        <v>22</v>
      </c>
      <c r="C407" t="s">
        <v>35</v>
      </c>
      <c r="D407" t="s">
        <v>41</v>
      </c>
      <c r="E407">
        <v>105024</v>
      </c>
      <c r="F407">
        <f ca="1">DATEDIF(Table1[[#This Row],[Hire Date]], TODAY(), "Y")</f>
        <v>9</v>
      </c>
      <c r="G407" s="7">
        <f ca="1">YEARFRAC(Table1[[#This Row],[Hire Date]], TODAY())</f>
        <v>9.0083333333333329</v>
      </c>
      <c r="H407" s="7">
        <v>42754</v>
      </c>
      <c r="I407">
        <v>54</v>
      </c>
      <c r="J407" t="s">
        <v>42</v>
      </c>
      <c r="K407">
        <v>9</v>
      </c>
      <c r="L407" t="s">
        <v>45</v>
      </c>
      <c r="M407">
        <v>1437.41</v>
      </c>
      <c r="N407" t="s">
        <v>48</v>
      </c>
      <c r="O407" t="s">
        <v>53</v>
      </c>
      <c r="P407">
        <v>26</v>
      </c>
      <c r="Q407" t="s">
        <v>55</v>
      </c>
      <c r="R407" t="s">
        <v>63</v>
      </c>
      <c r="S407">
        <v>10</v>
      </c>
      <c r="T407">
        <v>2018</v>
      </c>
      <c r="U407" t="s">
        <v>66</v>
      </c>
      <c r="V407">
        <v>174</v>
      </c>
      <c r="W407">
        <v>3.1</v>
      </c>
    </row>
    <row r="408" spans="1:23" x14ac:dyDescent="0.35">
      <c r="A408">
        <v>10407</v>
      </c>
      <c r="B408" t="s">
        <v>27</v>
      </c>
      <c r="C408" t="s">
        <v>33</v>
      </c>
      <c r="D408" t="s">
        <v>41</v>
      </c>
      <c r="E408">
        <v>69842</v>
      </c>
      <c r="F408">
        <f ca="1">DATEDIF(Table1[[#This Row],[Hire Date]], TODAY(), "Y")</f>
        <v>18</v>
      </c>
      <c r="G408" s="7">
        <f ca="1">YEARFRAC(Table1[[#This Row],[Hire Date]], TODAY())</f>
        <v>18.547222222222221</v>
      </c>
      <c r="H408" s="7">
        <v>39268</v>
      </c>
      <c r="I408">
        <v>38</v>
      </c>
      <c r="J408" t="s">
        <v>42</v>
      </c>
      <c r="K408">
        <v>1</v>
      </c>
      <c r="L408" t="s">
        <v>45</v>
      </c>
      <c r="M408">
        <v>3153.1</v>
      </c>
      <c r="N408" t="s">
        <v>46</v>
      </c>
      <c r="O408" t="s">
        <v>53</v>
      </c>
      <c r="P408">
        <v>6</v>
      </c>
      <c r="Q408" t="s">
        <v>57</v>
      </c>
      <c r="R408" t="s">
        <v>59</v>
      </c>
      <c r="S408">
        <v>5</v>
      </c>
      <c r="T408">
        <v>2012</v>
      </c>
      <c r="U408" t="s">
        <v>66</v>
      </c>
      <c r="V408">
        <v>150</v>
      </c>
      <c r="W408">
        <v>3.5</v>
      </c>
    </row>
    <row r="409" spans="1:23" x14ac:dyDescent="0.35">
      <c r="A409">
        <v>10408</v>
      </c>
      <c r="B409" t="s">
        <v>25</v>
      </c>
      <c r="C409" t="s">
        <v>30</v>
      </c>
      <c r="D409" t="s">
        <v>40</v>
      </c>
      <c r="E409">
        <v>95408</v>
      </c>
      <c r="F409">
        <f ca="1">DATEDIF(Table1[[#This Row],[Hire Date]], TODAY(), "Y")</f>
        <v>9</v>
      </c>
      <c r="G409" s="7">
        <f ca="1">YEARFRAC(Table1[[#This Row],[Hire Date]], TODAY())</f>
        <v>9.2277777777777779</v>
      </c>
      <c r="H409" s="7">
        <v>42673</v>
      </c>
      <c r="I409">
        <v>50</v>
      </c>
      <c r="J409" t="s">
        <v>43</v>
      </c>
      <c r="K409">
        <v>9</v>
      </c>
      <c r="L409" t="s">
        <v>44</v>
      </c>
      <c r="M409">
        <v>1538.23</v>
      </c>
      <c r="N409" t="s">
        <v>46</v>
      </c>
      <c r="O409" t="s">
        <v>53</v>
      </c>
      <c r="P409">
        <v>27</v>
      </c>
      <c r="Q409" t="s">
        <v>57</v>
      </c>
      <c r="R409" t="s">
        <v>62</v>
      </c>
      <c r="S409">
        <v>10</v>
      </c>
      <c r="T409">
        <v>2015</v>
      </c>
      <c r="U409" t="s">
        <v>64</v>
      </c>
      <c r="V409">
        <v>191</v>
      </c>
      <c r="W409">
        <v>2.1</v>
      </c>
    </row>
    <row r="410" spans="1:23" x14ac:dyDescent="0.35">
      <c r="A410">
        <v>10409</v>
      </c>
      <c r="B410" t="s">
        <v>22</v>
      </c>
      <c r="C410" t="s">
        <v>32</v>
      </c>
      <c r="D410" t="s">
        <v>39</v>
      </c>
      <c r="E410">
        <v>99532</v>
      </c>
      <c r="F410">
        <f ca="1">DATEDIF(Table1[[#This Row],[Hire Date]], TODAY(), "Y")</f>
        <v>12</v>
      </c>
      <c r="G410" s="7">
        <f ca="1">YEARFRAC(Table1[[#This Row],[Hire Date]], TODAY())</f>
        <v>12.127777777777778</v>
      </c>
      <c r="H410" s="7">
        <v>41614</v>
      </c>
      <c r="I410">
        <v>61</v>
      </c>
      <c r="J410" t="s">
        <v>43</v>
      </c>
      <c r="K410">
        <v>6</v>
      </c>
      <c r="L410" t="s">
        <v>45</v>
      </c>
      <c r="M410">
        <v>2938.39</v>
      </c>
      <c r="N410" t="s">
        <v>49</v>
      </c>
      <c r="O410" t="s">
        <v>52</v>
      </c>
      <c r="P410">
        <v>20</v>
      </c>
      <c r="Q410" t="s">
        <v>56</v>
      </c>
      <c r="R410" t="s">
        <v>61</v>
      </c>
      <c r="S410">
        <v>0</v>
      </c>
      <c r="T410">
        <v>2012</v>
      </c>
      <c r="U410" t="s">
        <v>66</v>
      </c>
      <c r="V410">
        <v>17</v>
      </c>
      <c r="W410">
        <v>4.5</v>
      </c>
    </row>
    <row r="411" spans="1:23" x14ac:dyDescent="0.35">
      <c r="A411">
        <v>10410</v>
      </c>
      <c r="B411" t="s">
        <v>27</v>
      </c>
      <c r="C411" t="s">
        <v>31</v>
      </c>
      <c r="D411" t="s">
        <v>37</v>
      </c>
      <c r="E411">
        <v>83938</v>
      </c>
      <c r="F411">
        <f ca="1">DATEDIF(Table1[[#This Row],[Hire Date]], TODAY(), "Y")</f>
        <v>15</v>
      </c>
      <c r="G411" s="7">
        <f ca="1">YEARFRAC(Table1[[#This Row],[Hire Date]], TODAY())</f>
        <v>15.05</v>
      </c>
      <c r="H411" s="7">
        <v>40547</v>
      </c>
      <c r="I411">
        <v>31</v>
      </c>
      <c r="J411" t="s">
        <v>42</v>
      </c>
      <c r="K411">
        <v>4</v>
      </c>
      <c r="L411" t="s">
        <v>45</v>
      </c>
      <c r="M411">
        <v>8457.9</v>
      </c>
      <c r="N411" t="s">
        <v>47</v>
      </c>
      <c r="O411" t="s">
        <v>51</v>
      </c>
      <c r="P411">
        <v>28</v>
      </c>
      <c r="Q411" t="s">
        <v>57</v>
      </c>
      <c r="R411" t="s">
        <v>60</v>
      </c>
      <c r="S411">
        <v>18</v>
      </c>
      <c r="T411">
        <v>2021</v>
      </c>
      <c r="U411" t="s">
        <v>65</v>
      </c>
      <c r="V411">
        <v>123</v>
      </c>
      <c r="W411">
        <v>1.1000000000000001</v>
      </c>
    </row>
    <row r="412" spans="1:23" x14ac:dyDescent="0.35">
      <c r="A412">
        <v>10411</v>
      </c>
      <c r="B412" t="s">
        <v>24</v>
      </c>
      <c r="C412" t="s">
        <v>35</v>
      </c>
      <c r="D412" t="s">
        <v>37</v>
      </c>
      <c r="E412">
        <v>35695</v>
      </c>
      <c r="F412">
        <f ca="1">DATEDIF(Table1[[#This Row],[Hire Date]], TODAY(), "Y")</f>
        <v>19</v>
      </c>
      <c r="G412" s="7">
        <f ca="1">YEARFRAC(Table1[[#This Row],[Hire Date]], TODAY())</f>
        <v>19.583333333333332</v>
      </c>
      <c r="H412" s="7">
        <v>38890</v>
      </c>
      <c r="I412">
        <v>39</v>
      </c>
      <c r="J412" t="s">
        <v>43</v>
      </c>
      <c r="K412">
        <v>5</v>
      </c>
      <c r="L412" t="s">
        <v>44</v>
      </c>
      <c r="M412">
        <v>6344.17</v>
      </c>
      <c r="N412" t="s">
        <v>48</v>
      </c>
      <c r="O412" t="s">
        <v>51</v>
      </c>
      <c r="P412">
        <v>20</v>
      </c>
      <c r="Q412" t="s">
        <v>57</v>
      </c>
      <c r="R412" t="s">
        <v>58</v>
      </c>
      <c r="S412">
        <v>2</v>
      </c>
      <c r="T412">
        <v>2018</v>
      </c>
      <c r="U412" t="s">
        <v>64</v>
      </c>
      <c r="V412">
        <v>106</v>
      </c>
      <c r="W412">
        <v>3.2</v>
      </c>
    </row>
    <row r="413" spans="1:23" x14ac:dyDescent="0.35">
      <c r="A413">
        <v>10412</v>
      </c>
      <c r="B413" t="s">
        <v>25</v>
      </c>
      <c r="C413" t="s">
        <v>29</v>
      </c>
      <c r="D413" t="s">
        <v>40</v>
      </c>
      <c r="E413">
        <v>88499</v>
      </c>
      <c r="F413">
        <f ca="1">DATEDIF(Table1[[#This Row],[Hire Date]], TODAY(), "Y")</f>
        <v>11</v>
      </c>
      <c r="G413" s="7">
        <f ca="1">YEARFRAC(Table1[[#This Row],[Hire Date]], TODAY())</f>
        <v>11.736111111111111</v>
      </c>
      <c r="H413" s="7">
        <v>41756</v>
      </c>
      <c r="I413">
        <v>34</v>
      </c>
      <c r="J413" t="s">
        <v>42</v>
      </c>
      <c r="K413">
        <v>7</v>
      </c>
      <c r="L413" t="s">
        <v>44</v>
      </c>
      <c r="M413">
        <v>2659.57</v>
      </c>
      <c r="N413" t="s">
        <v>46</v>
      </c>
      <c r="O413" t="s">
        <v>53</v>
      </c>
      <c r="P413">
        <v>12</v>
      </c>
      <c r="Q413" t="s">
        <v>55</v>
      </c>
      <c r="R413" t="s">
        <v>62</v>
      </c>
      <c r="S413">
        <v>7</v>
      </c>
      <c r="T413">
        <v>2019</v>
      </c>
      <c r="U413" t="s">
        <v>64</v>
      </c>
      <c r="V413">
        <v>25</v>
      </c>
      <c r="W413">
        <v>2.5</v>
      </c>
    </row>
    <row r="414" spans="1:23" x14ac:dyDescent="0.35">
      <c r="A414">
        <v>10413</v>
      </c>
      <c r="B414" t="s">
        <v>27</v>
      </c>
      <c r="C414" t="s">
        <v>30</v>
      </c>
      <c r="D414" t="s">
        <v>39</v>
      </c>
      <c r="E414">
        <v>53382</v>
      </c>
      <c r="F414">
        <f ca="1">DATEDIF(Table1[[#This Row],[Hire Date]], TODAY(), "Y")</f>
        <v>11</v>
      </c>
      <c r="G414" s="7">
        <f ca="1">YEARFRAC(Table1[[#This Row],[Hire Date]], TODAY())</f>
        <v>11.127777777777778</v>
      </c>
      <c r="H414" s="7">
        <v>41979</v>
      </c>
      <c r="I414">
        <v>48</v>
      </c>
      <c r="J414" t="s">
        <v>42</v>
      </c>
      <c r="K414">
        <v>4</v>
      </c>
      <c r="L414" t="s">
        <v>45</v>
      </c>
      <c r="M414">
        <v>8781.7099999999991</v>
      </c>
      <c r="N414" t="s">
        <v>48</v>
      </c>
      <c r="O414" t="s">
        <v>54</v>
      </c>
      <c r="P414">
        <v>21</v>
      </c>
      <c r="Q414" t="s">
        <v>55</v>
      </c>
      <c r="R414" t="s">
        <v>60</v>
      </c>
      <c r="S414">
        <v>17</v>
      </c>
      <c r="T414">
        <v>2021</v>
      </c>
      <c r="U414" t="s">
        <v>66</v>
      </c>
      <c r="V414">
        <v>81</v>
      </c>
      <c r="W414">
        <v>3.4</v>
      </c>
    </row>
    <row r="415" spans="1:23" x14ac:dyDescent="0.35">
      <c r="A415">
        <v>10414</v>
      </c>
      <c r="B415" t="s">
        <v>28</v>
      </c>
      <c r="C415" t="s">
        <v>31</v>
      </c>
      <c r="D415" t="s">
        <v>40</v>
      </c>
      <c r="E415">
        <v>44235</v>
      </c>
      <c r="F415">
        <f ca="1">DATEDIF(Table1[[#This Row],[Hire Date]], TODAY(), "Y")</f>
        <v>9</v>
      </c>
      <c r="G415" s="7">
        <f ca="1">YEARFRAC(Table1[[#This Row],[Hire Date]], TODAY())</f>
        <v>9.7111111111111104</v>
      </c>
      <c r="H415" s="7">
        <v>42496</v>
      </c>
      <c r="I415">
        <v>31</v>
      </c>
      <c r="J415" t="s">
        <v>43</v>
      </c>
      <c r="K415">
        <v>8</v>
      </c>
      <c r="L415" t="s">
        <v>44</v>
      </c>
      <c r="M415">
        <v>8106.76</v>
      </c>
      <c r="N415" t="s">
        <v>48</v>
      </c>
      <c r="O415" t="s">
        <v>50</v>
      </c>
      <c r="P415">
        <v>30</v>
      </c>
      <c r="Q415" t="s">
        <v>55</v>
      </c>
      <c r="R415" t="s">
        <v>63</v>
      </c>
      <c r="S415">
        <v>12</v>
      </c>
      <c r="T415">
        <v>2016</v>
      </c>
      <c r="U415" t="s">
        <v>64</v>
      </c>
      <c r="V415">
        <v>86</v>
      </c>
      <c r="W415">
        <v>2.4</v>
      </c>
    </row>
    <row r="416" spans="1:23" x14ac:dyDescent="0.35">
      <c r="A416">
        <v>10415</v>
      </c>
      <c r="B416" t="s">
        <v>24</v>
      </c>
      <c r="C416" t="s">
        <v>34</v>
      </c>
      <c r="D416" t="s">
        <v>39</v>
      </c>
      <c r="E416">
        <v>92223</v>
      </c>
      <c r="F416">
        <f ca="1">DATEDIF(Table1[[#This Row],[Hire Date]], TODAY(), "Y")</f>
        <v>23</v>
      </c>
      <c r="G416" s="7">
        <f ca="1">YEARFRAC(Table1[[#This Row],[Hire Date]], TODAY())</f>
        <v>23.975000000000001</v>
      </c>
      <c r="H416" s="7">
        <v>37288</v>
      </c>
      <c r="I416">
        <v>53</v>
      </c>
      <c r="J416" t="s">
        <v>42</v>
      </c>
      <c r="K416">
        <v>3</v>
      </c>
      <c r="L416" t="s">
        <v>44</v>
      </c>
      <c r="M416">
        <v>7659.67</v>
      </c>
      <c r="N416" t="s">
        <v>48</v>
      </c>
      <c r="O416" t="s">
        <v>53</v>
      </c>
      <c r="P416">
        <v>10</v>
      </c>
      <c r="Q416" t="s">
        <v>57</v>
      </c>
      <c r="R416" t="s">
        <v>62</v>
      </c>
      <c r="S416">
        <v>0</v>
      </c>
      <c r="T416">
        <v>2010</v>
      </c>
      <c r="U416" t="s">
        <v>64</v>
      </c>
      <c r="V416">
        <v>81</v>
      </c>
      <c r="W416">
        <v>3.9</v>
      </c>
    </row>
    <row r="417" spans="1:23" x14ac:dyDescent="0.35">
      <c r="A417">
        <v>10416</v>
      </c>
      <c r="B417" t="s">
        <v>28</v>
      </c>
      <c r="C417" t="s">
        <v>33</v>
      </c>
      <c r="D417" t="s">
        <v>36</v>
      </c>
      <c r="E417">
        <v>32366</v>
      </c>
      <c r="F417">
        <f ca="1">DATEDIF(Table1[[#This Row],[Hire Date]], TODAY(), "Y")</f>
        <v>7</v>
      </c>
      <c r="G417" s="7">
        <f ca="1">YEARFRAC(Table1[[#This Row],[Hire Date]], TODAY())</f>
        <v>7.5611111111111109</v>
      </c>
      <c r="H417" s="7">
        <v>43281</v>
      </c>
      <c r="I417">
        <v>62</v>
      </c>
      <c r="J417" t="s">
        <v>43</v>
      </c>
      <c r="K417">
        <v>2</v>
      </c>
      <c r="L417" t="s">
        <v>44</v>
      </c>
      <c r="M417">
        <v>8552.51</v>
      </c>
      <c r="N417" t="s">
        <v>48</v>
      </c>
      <c r="O417" t="s">
        <v>53</v>
      </c>
      <c r="P417">
        <v>5</v>
      </c>
      <c r="Q417" t="s">
        <v>57</v>
      </c>
      <c r="R417" t="s">
        <v>61</v>
      </c>
      <c r="S417">
        <v>19</v>
      </c>
      <c r="T417">
        <v>2013</v>
      </c>
      <c r="U417" t="s">
        <v>64</v>
      </c>
      <c r="V417">
        <v>193</v>
      </c>
      <c r="W417">
        <v>1.1000000000000001</v>
      </c>
    </row>
    <row r="418" spans="1:23" x14ac:dyDescent="0.35">
      <c r="A418">
        <v>10417</v>
      </c>
      <c r="B418" t="s">
        <v>23</v>
      </c>
      <c r="C418" t="s">
        <v>33</v>
      </c>
      <c r="D418" t="s">
        <v>40</v>
      </c>
      <c r="E418">
        <v>57467</v>
      </c>
      <c r="F418">
        <f ca="1">DATEDIF(Table1[[#This Row],[Hire Date]], TODAY(), "Y")</f>
        <v>14</v>
      </c>
      <c r="G418" s="7">
        <f ca="1">YEARFRAC(Table1[[#This Row],[Hire Date]], TODAY())</f>
        <v>14.938888888888888</v>
      </c>
      <c r="H418" s="7">
        <v>40588</v>
      </c>
      <c r="I418">
        <v>24</v>
      </c>
      <c r="J418" t="s">
        <v>43</v>
      </c>
      <c r="K418">
        <v>1</v>
      </c>
      <c r="L418" t="s">
        <v>44</v>
      </c>
      <c r="M418">
        <v>6386.67</v>
      </c>
      <c r="N418" t="s">
        <v>49</v>
      </c>
      <c r="O418" t="s">
        <v>54</v>
      </c>
      <c r="P418">
        <v>37</v>
      </c>
      <c r="Q418" t="s">
        <v>55</v>
      </c>
      <c r="R418" t="s">
        <v>59</v>
      </c>
      <c r="S418">
        <v>16</v>
      </c>
      <c r="T418">
        <v>2023</v>
      </c>
      <c r="U418" t="s">
        <v>65</v>
      </c>
      <c r="V418">
        <v>103</v>
      </c>
      <c r="W418">
        <v>2.6</v>
      </c>
    </row>
    <row r="419" spans="1:23" x14ac:dyDescent="0.35">
      <c r="A419">
        <v>10418</v>
      </c>
      <c r="B419" t="s">
        <v>26</v>
      </c>
      <c r="C419" t="s">
        <v>29</v>
      </c>
      <c r="D419" t="s">
        <v>39</v>
      </c>
      <c r="E419">
        <v>89316</v>
      </c>
      <c r="F419">
        <f ca="1">DATEDIF(Table1[[#This Row],[Hire Date]], TODAY(), "Y")</f>
        <v>23</v>
      </c>
      <c r="G419" s="7">
        <f ca="1">YEARFRAC(Table1[[#This Row],[Hire Date]], TODAY())</f>
        <v>23.308333333333334</v>
      </c>
      <c r="H419" s="7">
        <v>37530</v>
      </c>
      <c r="I419">
        <v>43</v>
      </c>
      <c r="J419" t="s">
        <v>42</v>
      </c>
      <c r="K419">
        <v>6</v>
      </c>
      <c r="L419" t="s">
        <v>45</v>
      </c>
      <c r="M419">
        <v>5263.65</v>
      </c>
      <c r="N419" t="s">
        <v>48</v>
      </c>
      <c r="O419" t="s">
        <v>52</v>
      </c>
      <c r="P419">
        <v>8</v>
      </c>
      <c r="Q419" t="s">
        <v>55</v>
      </c>
      <c r="R419" t="s">
        <v>60</v>
      </c>
      <c r="S419">
        <v>4</v>
      </c>
      <c r="T419">
        <v>2014</v>
      </c>
      <c r="U419" t="s">
        <v>64</v>
      </c>
      <c r="V419">
        <v>170</v>
      </c>
      <c r="W419">
        <v>4.3</v>
      </c>
    </row>
    <row r="420" spans="1:23" x14ac:dyDescent="0.35">
      <c r="A420">
        <v>10419</v>
      </c>
      <c r="B420" t="s">
        <v>25</v>
      </c>
      <c r="C420" t="s">
        <v>35</v>
      </c>
      <c r="D420" t="s">
        <v>37</v>
      </c>
      <c r="E420">
        <v>36764</v>
      </c>
      <c r="F420">
        <f ca="1">DATEDIF(Table1[[#This Row],[Hire Date]], TODAY(), "Y")</f>
        <v>6</v>
      </c>
      <c r="G420" s="7">
        <f ca="1">YEARFRAC(Table1[[#This Row],[Hire Date]], TODAY())</f>
        <v>6.7333333333333334</v>
      </c>
      <c r="H420" s="7">
        <v>43583</v>
      </c>
      <c r="I420">
        <v>48</v>
      </c>
      <c r="J420" t="s">
        <v>42</v>
      </c>
      <c r="K420">
        <v>2</v>
      </c>
      <c r="L420" t="s">
        <v>44</v>
      </c>
      <c r="M420">
        <v>4052.38</v>
      </c>
      <c r="N420" t="s">
        <v>46</v>
      </c>
      <c r="O420" t="s">
        <v>53</v>
      </c>
      <c r="P420">
        <v>30</v>
      </c>
      <c r="Q420" t="s">
        <v>57</v>
      </c>
      <c r="R420" t="s">
        <v>62</v>
      </c>
      <c r="S420">
        <v>11</v>
      </c>
      <c r="T420">
        <v>2016</v>
      </c>
      <c r="U420" t="s">
        <v>65</v>
      </c>
      <c r="V420">
        <v>172</v>
      </c>
      <c r="W420">
        <v>2</v>
      </c>
    </row>
    <row r="421" spans="1:23" x14ac:dyDescent="0.35">
      <c r="A421">
        <v>10420</v>
      </c>
      <c r="B421" t="s">
        <v>27</v>
      </c>
      <c r="C421" t="s">
        <v>31</v>
      </c>
      <c r="D421" t="s">
        <v>39</v>
      </c>
      <c r="E421">
        <v>91836</v>
      </c>
      <c r="F421">
        <f ca="1">DATEDIF(Table1[[#This Row],[Hire Date]], TODAY(), "Y")</f>
        <v>15</v>
      </c>
      <c r="G421" s="7">
        <f ca="1">YEARFRAC(Table1[[#This Row],[Hire Date]], TODAY())</f>
        <v>15.775</v>
      </c>
      <c r="H421" s="7">
        <v>40281</v>
      </c>
      <c r="I421">
        <v>24</v>
      </c>
      <c r="J421" t="s">
        <v>43</v>
      </c>
      <c r="K421">
        <v>8</v>
      </c>
      <c r="L421" t="s">
        <v>45</v>
      </c>
      <c r="M421">
        <v>2625.76</v>
      </c>
      <c r="N421" t="s">
        <v>46</v>
      </c>
      <c r="O421" t="s">
        <v>54</v>
      </c>
      <c r="P421">
        <v>17</v>
      </c>
      <c r="Q421" t="s">
        <v>57</v>
      </c>
      <c r="R421" t="s">
        <v>59</v>
      </c>
      <c r="S421">
        <v>10</v>
      </c>
      <c r="T421">
        <v>2016</v>
      </c>
      <c r="U421" t="s">
        <v>64</v>
      </c>
      <c r="V421">
        <v>159</v>
      </c>
      <c r="W421">
        <v>1.2</v>
      </c>
    </row>
    <row r="422" spans="1:23" x14ac:dyDescent="0.35">
      <c r="A422">
        <v>10421</v>
      </c>
      <c r="B422" t="s">
        <v>26</v>
      </c>
      <c r="C422" t="s">
        <v>30</v>
      </c>
      <c r="D422" t="s">
        <v>39</v>
      </c>
      <c r="E422">
        <v>61923</v>
      </c>
      <c r="F422">
        <f ca="1">DATEDIF(Table1[[#This Row],[Hire Date]], TODAY(), "Y")</f>
        <v>18</v>
      </c>
      <c r="G422" s="7">
        <f ca="1">YEARFRAC(Table1[[#This Row],[Hire Date]], TODAY())</f>
        <v>18.263888888888889</v>
      </c>
      <c r="H422" s="7">
        <v>39372</v>
      </c>
      <c r="I422">
        <v>54</v>
      </c>
      <c r="J422" t="s">
        <v>42</v>
      </c>
      <c r="K422">
        <v>4</v>
      </c>
      <c r="L422" t="s">
        <v>44</v>
      </c>
      <c r="M422">
        <v>5795.41</v>
      </c>
      <c r="N422" t="s">
        <v>49</v>
      </c>
      <c r="O422" t="s">
        <v>52</v>
      </c>
      <c r="P422">
        <v>3</v>
      </c>
      <c r="Q422" t="s">
        <v>56</v>
      </c>
      <c r="R422" t="s">
        <v>59</v>
      </c>
      <c r="S422">
        <v>17</v>
      </c>
      <c r="T422">
        <v>2014</v>
      </c>
      <c r="U422" t="s">
        <v>66</v>
      </c>
      <c r="V422">
        <v>190</v>
      </c>
      <c r="W422">
        <v>3</v>
      </c>
    </row>
    <row r="423" spans="1:23" x14ac:dyDescent="0.35">
      <c r="A423">
        <v>10422</v>
      </c>
      <c r="B423" t="s">
        <v>26</v>
      </c>
      <c r="C423" t="s">
        <v>35</v>
      </c>
      <c r="D423" t="s">
        <v>40</v>
      </c>
      <c r="E423">
        <v>46292</v>
      </c>
      <c r="F423">
        <f ca="1">DATEDIF(Table1[[#This Row],[Hire Date]], TODAY(), "Y")</f>
        <v>8</v>
      </c>
      <c r="G423" s="7">
        <f ca="1">YEARFRAC(Table1[[#This Row],[Hire Date]], TODAY())</f>
        <v>8.9166666666666661</v>
      </c>
      <c r="H423" s="7">
        <v>42788</v>
      </c>
      <c r="I423">
        <v>23</v>
      </c>
      <c r="J423" t="s">
        <v>43</v>
      </c>
      <c r="K423">
        <v>9</v>
      </c>
      <c r="L423" t="s">
        <v>44</v>
      </c>
      <c r="M423">
        <v>8950.18</v>
      </c>
      <c r="N423" t="s">
        <v>46</v>
      </c>
      <c r="O423" t="s">
        <v>52</v>
      </c>
      <c r="P423">
        <v>21</v>
      </c>
      <c r="Q423" t="s">
        <v>55</v>
      </c>
      <c r="R423" t="s">
        <v>59</v>
      </c>
      <c r="S423">
        <v>7</v>
      </c>
      <c r="T423">
        <v>2021</v>
      </c>
      <c r="U423" t="s">
        <v>66</v>
      </c>
      <c r="V423">
        <v>198</v>
      </c>
      <c r="W423">
        <v>4.9000000000000004</v>
      </c>
    </row>
    <row r="424" spans="1:23" x14ac:dyDescent="0.35">
      <c r="A424">
        <v>10423</v>
      </c>
      <c r="B424" t="s">
        <v>27</v>
      </c>
      <c r="C424" t="s">
        <v>33</v>
      </c>
      <c r="D424" t="s">
        <v>36</v>
      </c>
      <c r="E424">
        <v>31614</v>
      </c>
      <c r="F424">
        <f ca="1">DATEDIF(Table1[[#This Row],[Hire Date]], TODAY(), "Y")</f>
        <v>25</v>
      </c>
      <c r="G424" s="7">
        <f ca="1">YEARFRAC(Table1[[#This Row],[Hire Date]], TODAY())</f>
        <v>25.102777777777778</v>
      </c>
      <c r="H424" s="7">
        <v>36875</v>
      </c>
      <c r="I424">
        <v>32</v>
      </c>
      <c r="J424" t="s">
        <v>42</v>
      </c>
      <c r="K424">
        <v>4</v>
      </c>
      <c r="L424" t="s">
        <v>45</v>
      </c>
      <c r="M424">
        <v>6142.83</v>
      </c>
      <c r="N424" t="s">
        <v>48</v>
      </c>
      <c r="O424" t="s">
        <v>53</v>
      </c>
      <c r="P424">
        <v>16</v>
      </c>
      <c r="Q424" t="s">
        <v>55</v>
      </c>
      <c r="R424" t="s">
        <v>61</v>
      </c>
      <c r="S424">
        <v>12</v>
      </c>
      <c r="T424">
        <v>2010</v>
      </c>
      <c r="U424" t="s">
        <v>64</v>
      </c>
      <c r="V424">
        <v>47</v>
      </c>
      <c r="W424">
        <v>1.3</v>
      </c>
    </row>
    <row r="425" spans="1:23" x14ac:dyDescent="0.35">
      <c r="A425">
        <v>10424</v>
      </c>
      <c r="B425" t="s">
        <v>24</v>
      </c>
      <c r="C425" t="s">
        <v>35</v>
      </c>
      <c r="D425" t="s">
        <v>36</v>
      </c>
      <c r="E425">
        <v>50939</v>
      </c>
      <c r="F425">
        <f ca="1">DATEDIF(Table1[[#This Row],[Hire Date]], TODAY(), "Y")</f>
        <v>17</v>
      </c>
      <c r="G425" s="7">
        <f ca="1">YEARFRAC(Table1[[#This Row],[Hire Date]], TODAY())</f>
        <v>17.944444444444443</v>
      </c>
      <c r="H425" s="7">
        <v>39490</v>
      </c>
      <c r="I425">
        <v>31</v>
      </c>
      <c r="J425" t="s">
        <v>43</v>
      </c>
      <c r="K425">
        <v>4</v>
      </c>
      <c r="L425" t="s">
        <v>44</v>
      </c>
      <c r="M425">
        <v>9236.27</v>
      </c>
      <c r="N425" t="s">
        <v>46</v>
      </c>
      <c r="O425" t="s">
        <v>52</v>
      </c>
      <c r="P425">
        <v>32</v>
      </c>
      <c r="Q425" t="s">
        <v>55</v>
      </c>
      <c r="R425" t="s">
        <v>58</v>
      </c>
      <c r="S425">
        <v>1</v>
      </c>
      <c r="T425">
        <v>2014</v>
      </c>
      <c r="U425" t="s">
        <v>66</v>
      </c>
      <c r="V425">
        <v>126</v>
      </c>
      <c r="W425">
        <v>1.3</v>
      </c>
    </row>
    <row r="426" spans="1:23" x14ac:dyDescent="0.35">
      <c r="A426">
        <v>10425</v>
      </c>
      <c r="B426" t="s">
        <v>25</v>
      </c>
      <c r="C426" t="s">
        <v>33</v>
      </c>
      <c r="D426" t="s">
        <v>36</v>
      </c>
      <c r="E426">
        <v>48800</v>
      </c>
      <c r="F426">
        <f ca="1">DATEDIF(Table1[[#This Row],[Hire Date]], TODAY(), "Y")</f>
        <v>24</v>
      </c>
      <c r="G426" s="7">
        <f ca="1">YEARFRAC(Table1[[#This Row],[Hire Date]], TODAY())</f>
        <v>24.180555555555557</v>
      </c>
      <c r="H426" s="7">
        <v>37212</v>
      </c>
      <c r="I426">
        <v>60</v>
      </c>
      <c r="J426" t="s">
        <v>43</v>
      </c>
      <c r="K426">
        <v>8</v>
      </c>
      <c r="L426" t="s">
        <v>44</v>
      </c>
      <c r="M426">
        <v>3890.72</v>
      </c>
      <c r="N426" t="s">
        <v>47</v>
      </c>
      <c r="O426" t="s">
        <v>53</v>
      </c>
      <c r="P426">
        <v>27</v>
      </c>
      <c r="Q426" t="s">
        <v>57</v>
      </c>
      <c r="R426" t="s">
        <v>62</v>
      </c>
      <c r="S426">
        <v>15</v>
      </c>
      <c r="T426">
        <v>2014</v>
      </c>
      <c r="U426" t="s">
        <v>65</v>
      </c>
      <c r="V426">
        <v>128</v>
      </c>
      <c r="W426">
        <v>3.4</v>
      </c>
    </row>
    <row r="427" spans="1:23" x14ac:dyDescent="0.35">
      <c r="A427">
        <v>10426</v>
      </c>
      <c r="B427" t="s">
        <v>23</v>
      </c>
      <c r="C427" t="s">
        <v>35</v>
      </c>
      <c r="D427" t="s">
        <v>36</v>
      </c>
      <c r="E427">
        <v>86440</v>
      </c>
      <c r="F427">
        <f ca="1">DATEDIF(Table1[[#This Row],[Hire Date]], TODAY(), "Y")</f>
        <v>13</v>
      </c>
      <c r="G427" s="7">
        <f ca="1">YEARFRAC(Table1[[#This Row],[Hire Date]], TODAY())</f>
        <v>13.363888888888889</v>
      </c>
      <c r="H427" s="7">
        <v>41163</v>
      </c>
      <c r="I427">
        <v>54</v>
      </c>
      <c r="J427" t="s">
        <v>42</v>
      </c>
      <c r="K427">
        <v>8</v>
      </c>
      <c r="L427" t="s">
        <v>45</v>
      </c>
      <c r="M427">
        <v>7103.81</v>
      </c>
      <c r="N427" t="s">
        <v>48</v>
      </c>
      <c r="O427" t="s">
        <v>53</v>
      </c>
      <c r="P427">
        <v>6</v>
      </c>
      <c r="Q427" t="s">
        <v>57</v>
      </c>
      <c r="R427" t="s">
        <v>59</v>
      </c>
      <c r="S427">
        <v>11</v>
      </c>
      <c r="T427">
        <v>2013</v>
      </c>
      <c r="U427" t="s">
        <v>64</v>
      </c>
      <c r="V427">
        <v>24</v>
      </c>
      <c r="W427">
        <v>2</v>
      </c>
    </row>
    <row r="428" spans="1:23" x14ac:dyDescent="0.35">
      <c r="A428">
        <v>10427</v>
      </c>
      <c r="B428" t="s">
        <v>28</v>
      </c>
      <c r="C428" t="s">
        <v>29</v>
      </c>
      <c r="D428" t="s">
        <v>38</v>
      </c>
      <c r="E428">
        <v>53246</v>
      </c>
      <c r="F428">
        <f ca="1">DATEDIF(Table1[[#This Row],[Hire Date]], TODAY(), "Y")</f>
        <v>17</v>
      </c>
      <c r="G428" s="7">
        <f ca="1">YEARFRAC(Table1[[#This Row],[Hire Date]], TODAY())</f>
        <v>17.497222222222224</v>
      </c>
      <c r="H428" s="7">
        <v>39652</v>
      </c>
      <c r="I428">
        <v>28</v>
      </c>
      <c r="J428" t="s">
        <v>42</v>
      </c>
      <c r="K428">
        <v>5</v>
      </c>
      <c r="L428" t="s">
        <v>45</v>
      </c>
      <c r="M428">
        <v>6662.32</v>
      </c>
      <c r="N428" t="s">
        <v>49</v>
      </c>
      <c r="O428" t="s">
        <v>51</v>
      </c>
      <c r="P428">
        <v>16</v>
      </c>
      <c r="Q428" t="s">
        <v>56</v>
      </c>
      <c r="R428" t="s">
        <v>58</v>
      </c>
      <c r="S428">
        <v>7</v>
      </c>
      <c r="T428">
        <v>2022</v>
      </c>
      <c r="U428" t="s">
        <v>65</v>
      </c>
      <c r="V428">
        <v>167</v>
      </c>
      <c r="W428">
        <v>2.6</v>
      </c>
    </row>
    <row r="429" spans="1:23" x14ac:dyDescent="0.35">
      <c r="A429">
        <v>10428</v>
      </c>
      <c r="B429" t="s">
        <v>22</v>
      </c>
      <c r="C429" t="s">
        <v>32</v>
      </c>
      <c r="D429" t="s">
        <v>40</v>
      </c>
      <c r="E429">
        <v>82805</v>
      </c>
      <c r="F429">
        <f ca="1">DATEDIF(Table1[[#This Row],[Hire Date]], TODAY(), "Y")</f>
        <v>13</v>
      </c>
      <c r="G429" s="7">
        <f ca="1">YEARFRAC(Table1[[#This Row],[Hire Date]], TODAY())</f>
        <v>13.855555555555556</v>
      </c>
      <c r="H429" s="7">
        <v>40982</v>
      </c>
      <c r="I429">
        <v>36</v>
      </c>
      <c r="J429" t="s">
        <v>43</v>
      </c>
      <c r="K429">
        <v>3</v>
      </c>
      <c r="L429" t="s">
        <v>45</v>
      </c>
      <c r="M429">
        <v>6869.12</v>
      </c>
      <c r="N429" t="s">
        <v>47</v>
      </c>
      <c r="O429" t="s">
        <v>50</v>
      </c>
      <c r="P429">
        <v>3</v>
      </c>
      <c r="Q429" t="s">
        <v>56</v>
      </c>
      <c r="R429" t="s">
        <v>59</v>
      </c>
      <c r="S429">
        <v>3</v>
      </c>
      <c r="T429">
        <v>2015</v>
      </c>
      <c r="U429" t="s">
        <v>64</v>
      </c>
      <c r="V429">
        <v>59</v>
      </c>
      <c r="W429">
        <v>4.3</v>
      </c>
    </row>
    <row r="430" spans="1:23" x14ac:dyDescent="0.35">
      <c r="A430">
        <v>10429</v>
      </c>
      <c r="B430" t="s">
        <v>28</v>
      </c>
      <c r="C430" t="s">
        <v>29</v>
      </c>
      <c r="D430" t="s">
        <v>41</v>
      </c>
      <c r="E430">
        <v>79648</v>
      </c>
      <c r="F430">
        <f ca="1">DATEDIF(Table1[[#This Row],[Hire Date]], TODAY(), "Y")</f>
        <v>18</v>
      </c>
      <c r="G430" s="7">
        <f ca="1">YEARFRAC(Table1[[#This Row],[Hire Date]], TODAY())</f>
        <v>18.511111111111113</v>
      </c>
      <c r="H430" s="7">
        <v>39281</v>
      </c>
      <c r="I430">
        <v>47</v>
      </c>
      <c r="J430" t="s">
        <v>43</v>
      </c>
      <c r="K430">
        <v>2</v>
      </c>
      <c r="L430" t="s">
        <v>44</v>
      </c>
      <c r="M430">
        <v>6627.9</v>
      </c>
      <c r="N430" t="s">
        <v>46</v>
      </c>
      <c r="O430" t="s">
        <v>50</v>
      </c>
      <c r="P430">
        <v>20</v>
      </c>
      <c r="Q430" t="s">
        <v>55</v>
      </c>
      <c r="R430" t="s">
        <v>60</v>
      </c>
      <c r="S430">
        <v>13</v>
      </c>
      <c r="T430">
        <v>2017</v>
      </c>
      <c r="U430" t="s">
        <v>65</v>
      </c>
      <c r="V430">
        <v>78</v>
      </c>
      <c r="W430">
        <v>1.8</v>
      </c>
    </row>
    <row r="431" spans="1:23" x14ac:dyDescent="0.35">
      <c r="A431">
        <v>10430</v>
      </c>
      <c r="B431" t="s">
        <v>22</v>
      </c>
      <c r="C431" t="s">
        <v>29</v>
      </c>
      <c r="D431" t="s">
        <v>40</v>
      </c>
      <c r="E431">
        <v>86851</v>
      </c>
      <c r="F431">
        <f ca="1">DATEDIF(Table1[[#This Row],[Hire Date]], TODAY(), "Y")</f>
        <v>16</v>
      </c>
      <c r="G431" s="7">
        <f ca="1">YEARFRAC(Table1[[#This Row],[Hire Date]], TODAY())</f>
        <v>16.408333333333335</v>
      </c>
      <c r="H431" s="7">
        <v>40050</v>
      </c>
      <c r="I431">
        <v>32</v>
      </c>
      <c r="J431" t="s">
        <v>43</v>
      </c>
      <c r="K431">
        <v>9</v>
      </c>
      <c r="L431" t="s">
        <v>44</v>
      </c>
      <c r="M431">
        <v>2605.7199999999998</v>
      </c>
      <c r="N431" t="s">
        <v>47</v>
      </c>
      <c r="O431" t="s">
        <v>51</v>
      </c>
      <c r="P431">
        <v>7</v>
      </c>
      <c r="Q431" t="s">
        <v>56</v>
      </c>
      <c r="R431" t="s">
        <v>60</v>
      </c>
      <c r="S431">
        <v>8</v>
      </c>
      <c r="T431">
        <v>2019</v>
      </c>
      <c r="U431" t="s">
        <v>66</v>
      </c>
      <c r="V431">
        <v>76</v>
      </c>
      <c r="W431">
        <v>3.9</v>
      </c>
    </row>
    <row r="432" spans="1:23" x14ac:dyDescent="0.35">
      <c r="A432">
        <v>10431</v>
      </c>
      <c r="B432" t="s">
        <v>28</v>
      </c>
      <c r="C432" t="s">
        <v>32</v>
      </c>
      <c r="D432" t="s">
        <v>38</v>
      </c>
      <c r="E432">
        <v>61688</v>
      </c>
      <c r="F432">
        <f ca="1">DATEDIF(Table1[[#This Row],[Hire Date]], TODAY(), "Y")</f>
        <v>16</v>
      </c>
      <c r="G432" s="7">
        <f ca="1">YEARFRAC(Table1[[#This Row],[Hire Date]], TODAY())</f>
        <v>16.136111111111113</v>
      </c>
      <c r="H432" s="7">
        <v>40150</v>
      </c>
      <c r="I432">
        <v>59</v>
      </c>
      <c r="J432" t="s">
        <v>43</v>
      </c>
      <c r="K432">
        <v>9</v>
      </c>
      <c r="L432" t="s">
        <v>44</v>
      </c>
      <c r="M432">
        <v>1864.11</v>
      </c>
      <c r="N432" t="s">
        <v>46</v>
      </c>
      <c r="O432" t="s">
        <v>53</v>
      </c>
      <c r="P432">
        <v>11</v>
      </c>
      <c r="Q432" t="s">
        <v>57</v>
      </c>
      <c r="R432" t="s">
        <v>60</v>
      </c>
      <c r="S432">
        <v>10</v>
      </c>
      <c r="T432">
        <v>2014</v>
      </c>
      <c r="U432" t="s">
        <v>65</v>
      </c>
      <c r="V432">
        <v>172</v>
      </c>
      <c r="W432">
        <v>3</v>
      </c>
    </row>
    <row r="433" spans="1:23" x14ac:dyDescent="0.35">
      <c r="A433">
        <v>10432</v>
      </c>
      <c r="B433" t="s">
        <v>27</v>
      </c>
      <c r="C433" t="s">
        <v>32</v>
      </c>
      <c r="D433" t="s">
        <v>36</v>
      </c>
      <c r="E433">
        <v>59764</v>
      </c>
      <c r="F433">
        <f ca="1">DATEDIF(Table1[[#This Row],[Hire Date]], TODAY(), "Y")</f>
        <v>18</v>
      </c>
      <c r="G433" s="7">
        <f ca="1">YEARFRAC(Table1[[#This Row],[Hire Date]], TODAY())</f>
        <v>18.574999999999999</v>
      </c>
      <c r="H433" s="7">
        <v>39258</v>
      </c>
      <c r="I433">
        <v>48</v>
      </c>
      <c r="J433" t="s">
        <v>42</v>
      </c>
      <c r="K433">
        <v>5</v>
      </c>
      <c r="L433" t="s">
        <v>45</v>
      </c>
      <c r="M433">
        <v>9796.9699999999993</v>
      </c>
      <c r="N433" t="s">
        <v>46</v>
      </c>
      <c r="O433" t="s">
        <v>54</v>
      </c>
      <c r="P433">
        <v>29</v>
      </c>
      <c r="Q433" t="s">
        <v>56</v>
      </c>
      <c r="R433" t="s">
        <v>58</v>
      </c>
      <c r="S433">
        <v>15</v>
      </c>
      <c r="T433">
        <v>2023</v>
      </c>
      <c r="U433" t="s">
        <v>65</v>
      </c>
      <c r="V433">
        <v>50</v>
      </c>
      <c r="W433">
        <v>4.5999999999999996</v>
      </c>
    </row>
    <row r="434" spans="1:23" x14ac:dyDescent="0.35">
      <c r="A434">
        <v>10433</v>
      </c>
      <c r="B434" t="s">
        <v>23</v>
      </c>
      <c r="C434" t="s">
        <v>31</v>
      </c>
      <c r="D434" t="s">
        <v>38</v>
      </c>
      <c r="E434">
        <v>62470</v>
      </c>
      <c r="F434">
        <f ca="1">DATEDIF(Table1[[#This Row],[Hire Date]], TODAY(), "Y")</f>
        <v>8</v>
      </c>
      <c r="G434" s="7">
        <f ca="1">YEARFRAC(Table1[[#This Row],[Hire Date]], TODAY())</f>
        <v>8.3361111111111104</v>
      </c>
      <c r="H434" s="7">
        <v>42999</v>
      </c>
      <c r="I434">
        <v>60</v>
      </c>
      <c r="J434" t="s">
        <v>42</v>
      </c>
      <c r="K434">
        <v>8</v>
      </c>
      <c r="L434" t="s">
        <v>44</v>
      </c>
      <c r="M434">
        <v>930.3</v>
      </c>
      <c r="N434" t="s">
        <v>46</v>
      </c>
      <c r="O434" t="s">
        <v>52</v>
      </c>
      <c r="P434">
        <v>3</v>
      </c>
      <c r="Q434" t="s">
        <v>56</v>
      </c>
      <c r="R434" t="s">
        <v>58</v>
      </c>
      <c r="S434">
        <v>5</v>
      </c>
      <c r="T434">
        <v>2017</v>
      </c>
      <c r="U434" t="s">
        <v>66</v>
      </c>
      <c r="V434">
        <v>83</v>
      </c>
      <c r="W434">
        <v>4.9000000000000004</v>
      </c>
    </row>
    <row r="435" spans="1:23" x14ac:dyDescent="0.35">
      <c r="A435">
        <v>10434</v>
      </c>
      <c r="B435" t="s">
        <v>25</v>
      </c>
      <c r="C435" t="s">
        <v>30</v>
      </c>
      <c r="D435" t="s">
        <v>37</v>
      </c>
      <c r="E435">
        <v>68501</v>
      </c>
      <c r="F435">
        <f ca="1">DATEDIF(Table1[[#This Row],[Hire Date]], TODAY(), "Y")</f>
        <v>8</v>
      </c>
      <c r="G435" s="7">
        <f ca="1">YEARFRAC(Table1[[#This Row],[Hire Date]], TODAY())</f>
        <v>8.6388888888888893</v>
      </c>
      <c r="H435" s="7">
        <v>42888</v>
      </c>
      <c r="I435">
        <v>28</v>
      </c>
      <c r="J435" t="s">
        <v>42</v>
      </c>
      <c r="K435">
        <v>7</v>
      </c>
      <c r="L435" t="s">
        <v>45</v>
      </c>
      <c r="M435">
        <v>4943.5</v>
      </c>
      <c r="N435" t="s">
        <v>49</v>
      </c>
      <c r="O435" t="s">
        <v>51</v>
      </c>
      <c r="P435">
        <v>21</v>
      </c>
      <c r="Q435" t="s">
        <v>57</v>
      </c>
      <c r="R435" t="s">
        <v>59</v>
      </c>
      <c r="S435">
        <v>11</v>
      </c>
      <c r="T435">
        <v>2021</v>
      </c>
      <c r="U435" t="s">
        <v>66</v>
      </c>
      <c r="V435">
        <v>174</v>
      </c>
      <c r="W435">
        <v>2.9</v>
      </c>
    </row>
    <row r="436" spans="1:23" x14ac:dyDescent="0.35">
      <c r="A436">
        <v>10435</v>
      </c>
      <c r="B436" t="s">
        <v>22</v>
      </c>
      <c r="C436" t="s">
        <v>30</v>
      </c>
      <c r="D436" t="s">
        <v>37</v>
      </c>
      <c r="E436">
        <v>87207</v>
      </c>
      <c r="F436">
        <f ca="1">DATEDIF(Table1[[#This Row],[Hire Date]], TODAY(), "Y")</f>
        <v>8</v>
      </c>
      <c r="G436" s="7">
        <f ca="1">YEARFRAC(Table1[[#This Row],[Hire Date]], TODAY())</f>
        <v>8.6666666666666661</v>
      </c>
      <c r="H436" s="7">
        <v>42877</v>
      </c>
      <c r="I436">
        <v>22</v>
      </c>
      <c r="J436" t="s">
        <v>43</v>
      </c>
      <c r="K436">
        <v>3</v>
      </c>
      <c r="L436" t="s">
        <v>45</v>
      </c>
      <c r="M436">
        <v>4538.26</v>
      </c>
      <c r="N436" t="s">
        <v>47</v>
      </c>
      <c r="O436" t="s">
        <v>51</v>
      </c>
      <c r="P436">
        <v>32</v>
      </c>
      <c r="Q436" t="s">
        <v>55</v>
      </c>
      <c r="R436" t="s">
        <v>61</v>
      </c>
      <c r="S436">
        <v>18</v>
      </c>
      <c r="T436">
        <v>2014</v>
      </c>
      <c r="U436" t="s">
        <v>64</v>
      </c>
      <c r="V436">
        <v>150</v>
      </c>
      <c r="W436">
        <v>3.3</v>
      </c>
    </row>
    <row r="437" spans="1:23" x14ac:dyDescent="0.35">
      <c r="A437">
        <v>10436</v>
      </c>
      <c r="B437" t="s">
        <v>25</v>
      </c>
      <c r="C437" t="s">
        <v>31</v>
      </c>
      <c r="D437" t="s">
        <v>40</v>
      </c>
      <c r="E437">
        <v>92157</v>
      </c>
      <c r="F437">
        <f ca="1">DATEDIF(Table1[[#This Row],[Hire Date]], TODAY(), "Y")</f>
        <v>21</v>
      </c>
      <c r="G437" s="7">
        <f ca="1">YEARFRAC(Table1[[#This Row],[Hire Date]], TODAY())</f>
        <v>21.422222222222221</v>
      </c>
      <c r="H437" s="7">
        <v>38219</v>
      </c>
      <c r="I437">
        <v>31</v>
      </c>
      <c r="J437" t="s">
        <v>42</v>
      </c>
      <c r="K437">
        <v>5</v>
      </c>
      <c r="L437" t="s">
        <v>45</v>
      </c>
      <c r="M437">
        <v>3920.18</v>
      </c>
      <c r="N437" t="s">
        <v>49</v>
      </c>
      <c r="O437" t="s">
        <v>51</v>
      </c>
      <c r="P437">
        <v>30</v>
      </c>
      <c r="Q437" t="s">
        <v>55</v>
      </c>
      <c r="R437" t="s">
        <v>62</v>
      </c>
      <c r="S437">
        <v>15</v>
      </c>
      <c r="T437">
        <v>2022</v>
      </c>
      <c r="U437" t="s">
        <v>64</v>
      </c>
      <c r="V437">
        <v>19</v>
      </c>
      <c r="W437">
        <v>4</v>
      </c>
    </row>
    <row r="438" spans="1:23" x14ac:dyDescent="0.35">
      <c r="A438">
        <v>10437</v>
      </c>
      <c r="B438" t="s">
        <v>25</v>
      </c>
      <c r="C438" t="s">
        <v>29</v>
      </c>
      <c r="D438" t="s">
        <v>40</v>
      </c>
      <c r="E438">
        <v>33216</v>
      </c>
      <c r="F438">
        <f ca="1">DATEDIF(Table1[[#This Row],[Hire Date]], TODAY(), "Y")</f>
        <v>18</v>
      </c>
      <c r="G438" s="7">
        <f ca="1">YEARFRAC(Table1[[#This Row],[Hire Date]], TODAY())</f>
        <v>18.138888888888889</v>
      </c>
      <c r="H438" s="7">
        <v>39418</v>
      </c>
      <c r="I438">
        <v>42</v>
      </c>
      <c r="J438" t="s">
        <v>43</v>
      </c>
      <c r="K438">
        <v>9</v>
      </c>
      <c r="L438" t="s">
        <v>45</v>
      </c>
      <c r="M438">
        <v>7928.85</v>
      </c>
      <c r="N438" t="s">
        <v>46</v>
      </c>
      <c r="O438" t="s">
        <v>51</v>
      </c>
      <c r="P438">
        <v>39</v>
      </c>
      <c r="Q438" t="s">
        <v>56</v>
      </c>
      <c r="R438" t="s">
        <v>61</v>
      </c>
      <c r="S438">
        <v>12</v>
      </c>
      <c r="T438">
        <v>2012</v>
      </c>
      <c r="U438" t="s">
        <v>65</v>
      </c>
      <c r="V438">
        <v>103</v>
      </c>
      <c r="W438">
        <v>2.2999999999999998</v>
      </c>
    </row>
    <row r="439" spans="1:23" x14ac:dyDescent="0.35">
      <c r="A439">
        <v>10438</v>
      </c>
      <c r="B439" t="s">
        <v>25</v>
      </c>
      <c r="C439" t="s">
        <v>29</v>
      </c>
      <c r="D439" t="s">
        <v>41</v>
      </c>
      <c r="E439">
        <v>52072</v>
      </c>
      <c r="F439">
        <f ca="1">DATEDIF(Table1[[#This Row],[Hire Date]], TODAY(), "Y")</f>
        <v>15</v>
      </c>
      <c r="G439" s="7">
        <f ca="1">YEARFRAC(Table1[[#This Row],[Hire Date]], TODAY())</f>
        <v>15.622222222222222</v>
      </c>
      <c r="H439" s="7">
        <v>40337</v>
      </c>
      <c r="I439">
        <v>36</v>
      </c>
      <c r="J439" t="s">
        <v>43</v>
      </c>
      <c r="K439">
        <v>4</v>
      </c>
      <c r="L439" t="s">
        <v>45</v>
      </c>
      <c r="M439">
        <v>7580.83</v>
      </c>
      <c r="N439" t="s">
        <v>48</v>
      </c>
      <c r="O439" t="s">
        <v>50</v>
      </c>
      <c r="P439">
        <v>11</v>
      </c>
      <c r="Q439" t="s">
        <v>57</v>
      </c>
      <c r="R439" t="s">
        <v>58</v>
      </c>
      <c r="S439">
        <v>3</v>
      </c>
      <c r="T439">
        <v>2017</v>
      </c>
      <c r="U439" t="s">
        <v>64</v>
      </c>
      <c r="V439">
        <v>70</v>
      </c>
      <c r="W439">
        <v>1.9</v>
      </c>
    </row>
    <row r="440" spans="1:23" x14ac:dyDescent="0.35">
      <c r="A440">
        <v>10439</v>
      </c>
      <c r="B440" t="s">
        <v>21</v>
      </c>
      <c r="C440" t="s">
        <v>33</v>
      </c>
      <c r="D440" t="s">
        <v>41</v>
      </c>
      <c r="E440">
        <v>67132</v>
      </c>
      <c r="F440">
        <f ca="1">DATEDIF(Table1[[#This Row],[Hire Date]], TODAY(), "Y")</f>
        <v>14</v>
      </c>
      <c r="G440" s="7">
        <f ca="1">YEARFRAC(Table1[[#This Row],[Hire Date]], TODAY())</f>
        <v>14.611111111111111</v>
      </c>
      <c r="H440" s="7">
        <v>40706</v>
      </c>
      <c r="I440">
        <v>51</v>
      </c>
      <c r="J440" t="s">
        <v>42</v>
      </c>
      <c r="K440">
        <v>3</v>
      </c>
      <c r="L440" t="s">
        <v>44</v>
      </c>
      <c r="M440">
        <v>9099.64</v>
      </c>
      <c r="N440" t="s">
        <v>48</v>
      </c>
      <c r="O440" t="s">
        <v>53</v>
      </c>
      <c r="P440">
        <v>17</v>
      </c>
      <c r="Q440" t="s">
        <v>57</v>
      </c>
      <c r="R440" t="s">
        <v>62</v>
      </c>
      <c r="S440">
        <v>11</v>
      </c>
      <c r="T440">
        <v>2021</v>
      </c>
      <c r="U440" t="s">
        <v>65</v>
      </c>
      <c r="V440">
        <v>145</v>
      </c>
      <c r="W440">
        <v>4.9000000000000004</v>
      </c>
    </row>
    <row r="441" spans="1:23" x14ac:dyDescent="0.35">
      <c r="A441">
        <v>10440</v>
      </c>
      <c r="B441" t="s">
        <v>24</v>
      </c>
      <c r="C441" t="s">
        <v>33</v>
      </c>
      <c r="D441" t="s">
        <v>37</v>
      </c>
      <c r="E441">
        <v>47861</v>
      </c>
      <c r="F441">
        <f ca="1">DATEDIF(Table1[[#This Row],[Hire Date]], TODAY(), "Y")</f>
        <v>24</v>
      </c>
      <c r="G441" s="7">
        <f ca="1">YEARFRAC(Table1[[#This Row],[Hire Date]], TODAY())</f>
        <v>24.18611111111111</v>
      </c>
      <c r="H441" s="7">
        <v>37210</v>
      </c>
      <c r="I441">
        <v>51</v>
      </c>
      <c r="J441" t="s">
        <v>42</v>
      </c>
      <c r="K441">
        <v>7</v>
      </c>
      <c r="L441" t="s">
        <v>45</v>
      </c>
      <c r="M441">
        <v>4257.13</v>
      </c>
      <c r="N441" t="s">
        <v>49</v>
      </c>
      <c r="O441" t="s">
        <v>51</v>
      </c>
      <c r="P441">
        <v>25</v>
      </c>
      <c r="Q441" t="s">
        <v>56</v>
      </c>
      <c r="R441" t="s">
        <v>60</v>
      </c>
      <c r="S441">
        <v>3</v>
      </c>
      <c r="T441">
        <v>2013</v>
      </c>
      <c r="U441" t="s">
        <v>64</v>
      </c>
      <c r="V441">
        <v>113</v>
      </c>
      <c r="W441">
        <v>2.7</v>
      </c>
    </row>
    <row r="442" spans="1:23" x14ac:dyDescent="0.35">
      <c r="A442">
        <v>10441</v>
      </c>
      <c r="B442" t="s">
        <v>28</v>
      </c>
      <c r="C442" t="s">
        <v>30</v>
      </c>
      <c r="D442" t="s">
        <v>36</v>
      </c>
      <c r="E442">
        <v>94186</v>
      </c>
      <c r="F442">
        <f ca="1">DATEDIF(Table1[[#This Row],[Hire Date]], TODAY(), "Y")</f>
        <v>14</v>
      </c>
      <c r="G442" s="7">
        <f ca="1">YEARFRAC(Table1[[#This Row],[Hire Date]], TODAY())</f>
        <v>14.175000000000001</v>
      </c>
      <c r="H442" s="7">
        <v>40866</v>
      </c>
      <c r="I442">
        <v>29</v>
      </c>
      <c r="J442" t="s">
        <v>43</v>
      </c>
      <c r="K442">
        <v>8</v>
      </c>
      <c r="L442" t="s">
        <v>45</v>
      </c>
      <c r="M442">
        <v>5859.71</v>
      </c>
      <c r="N442" t="s">
        <v>48</v>
      </c>
      <c r="O442" t="s">
        <v>51</v>
      </c>
      <c r="P442">
        <v>25</v>
      </c>
      <c r="Q442" t="s">
        <v>55</v>
      </c>
      <c r="R442" t="s">
        <v>61</v>
      </c>
      <c r="S442">
        <v>16</v>
      </c>
      <c r="T442">
        <v>2023</v>
      </c>
      <c r="U442" t="s">
        <v>66</v>
      </c>
      <c r="V442">
        <v>61</v>
      </c>
      <c r="W442">
        <v>1</v>
      </c>
    </row>
    <row r="443" spans="1:23" x14ac:dyDescent="0.35">
      <c r="A443">
        <v>10442</v>
      </c>
      <c r="B443" t="s">
        <v>25</v>
      </c>
      <c r="C443" t="s">
        <v>31</v>
      </c>
      <c r="D443" t="s">
        <v>38</v>
      </c>
      <c r="E443">
        <v>34960</v>
      </c>
      <c r="F443">
        <f ca="1">DATEDIF(Table1[[#This Row],[Hire Date]], TODAY(), "Y")</f>
        <v>18</v>
      </c>
      <c r="G443" s="7">
        <f ca="1">YEARFRAC(Table1[[#This Row],[Hire Date]], TODAY())</f>
        <v>18.06388888888889</v>
      </c>
      <c r="H443" s="7">
        <v>39445</v>
      </c>
      <c r="I443">
        <v>45</v>
      </c>
      <c r="J443" t="s">
        <v>43</v>
      </c>
      <c r="K443">
        <v>5</v>
      </c>
      <c r="L443" t="s">
        <v>45</v>
      </c>
      <c r="M443">
        <v>8976.92</v>
      </c>
      <c r="N443" t="s">
        <v>47</v>
      </c>
      <c r="O443" t="s">
        <v>51</v>
      </c>
      <c r="P443">
        <v>9</v>
      </c>
      <c r="Q443" t="s">
        <v>55</v>
      </c>
      <c r="R443" t="s">
        <v>61</v>
      </c>
      <c r="S443">
        <v>13</v>
      </c>
      <c r="T443">
        <v>2012</v>
      </c>
      <c r="U443" t="s">
        <v>66</v>
      </c>
      <c r="V443">
        <v>141</v>
      </c>
      <c r="W443">
        <v>4.4000000000000004</v>
      </c>
    </row>
    <row r="444" spans="1:23" x14ac:dyDescent="0.35">
      <c r="A444">
        <v>10443</v>
      </c>
      <c r="B444" t="s">
        <v>28</v>
      </c>
      <c r="C444" t="s">
        <v>34</v>
      </c>
      <c r="D444" t="s">
        <v>41</v>
      </c>
      <c r="E444">
        <v>48781</v>
      </c>
      <c r="F444">
        <f ca="1">DATEDIF(Table1[[#This Row],[Hire Date]], TODAY(), "Y")</f>
        <v>6</v>
      </c>
      <c r="G444" s="7">
        <f ca="1">YEARFRAC(Table1[[#This Row],[Hire Date]], TODAY())</f>
        <v>6.4361111111111109</v>
      </c>
      <c r="H444" s="7">
        <v>43692</v>
      </c>
      <c r="I444">
        <v>40</v>
      </c>
      <c r="J444" t="s">
        <v>42</v>
      </c>
      <c r="K444">
        <v>8</v>
      </c>
      <c r="L444" t="s">
        <v>45</v>
      </c>
      <c r="M444">
        <v>9941.56</v>
      </c>
      <c r="N444" t="s">
        <v>48</v>
      </c>
      <c r="O444" t="s">
        <v>54</v>
      </c>
      <c r="P444">
        <v>29</v>
      </c>
      <c r="Q444" t="s">
        <v>55</v>
      </c>
      <c r="R444" t="s">
        <v>61</v>
      </c>
      <c r="S444">
        <v>16</v>
      </c>
      <c r="T444">
        <v>2012</v>
      </c>
      <c r="U444" t="s">
        <v>66</v>
      </c>
      <c r="V444">
        <v>125</v>
      </c>
      <c r="W444">
        <v>3.4</v>
      </c>
    </row>
    <row r="445" spans="1:23" x14ac:dyDescent="0.35">
      <c r="A445">
        <v>10444</v>
      </c>
      <c r="B445" t="s">
        <v>25</v>
      </c>
      <c r="C445" t="s">
        <v>34</v>
      </c>
      <c r="D445" t="s">
        <v>39</v>
      </c>
      <c r="E445">
        <v>61126</v>
      </c>
      <c r="F445">
        <f ca="1">DATEDIF(Table1[[#This Row],[Hire Date]], TODAY(), "Y")</f>
        <v>15</v>
      </c>
      <c r="G445" s="7">
        <f ca="1">YEARFRAC(Table1[[#This Row],[Hire Date]], TODAY())</f>
        <v>15.772222222222222</v>
      </c>
      <c r="H445" s="7">
        <v>40282</v>
      </c>
      <c r="I445">
        <v>24</v>
      </c>
      <c r="J445" t="s">
        <v>43</v>
      </c>
      <c r="K445">
        <v>5</v>
      </c>
      <c r="L445" t="s">
        <v>44</v>
      </c>
      <c r="M445">
        <v>9708.2999999999993</v>
      </c>
      <c r="N445" t="s">
        <v>48</v>
      </c>
      <c r="O445" t="s">
        <v>54</v>
      </c>
      <c r="P445">
        <v>15</v>
      </c>
      <c r="Q445" t="s">
        <v>57</v>
      </c>
      <c r="R445" t="s">
        <v>58</v>
      </c>
      <c r="S445">
        <v>0</v>
      </c>
      <c r="T445">
        <v>2015</v>
      </c>
      <c r="U445" t="s">
        <v>66</v>
      </c>
      <c r="V445">
        <v>103</v>
      </c>
      <c r="W445">
        <v>1.7</v>
      </c>
    </row>
    <row r="446" spans="1:23" x14ac:dyDescent="0.35">
      <c r="A446">
        <v>10445</v>
      </c>
      <c r="B446" t="s">
        <v>22</v>
      </c>
      <c r="C446" t="s">
        <v>31</v>
      </c>
      <c r="D446" t="s">
        <v>41</v>
      </c>
      <c r="E446">
        <v>52578</v>
      </c>
      <c r="F446">
        <f ca="1">DATEDIF(Table1[[#This Row],[Hire Date]], TODAY(), "Y")</f>
        <v>11</v>
      </c>
      <c r="G446" s="7">
        <f ca="1">YEARFRAC(Table1[[#This Row],[Hire Date]], TODAY())</f>
        <v>11.125</v>
      </c>
      <c r="H446" s="7">
        <v>41980</v>
      </c>
      <c r="I446">
        <v>36</v>
      </c>
      <c r="J446" t="s">
        <v>42</v>
      </c>
      <c r="K446">
        <v>9</v>
      </c>
      <c r="L446" t="s">
        <v>44</v>
      </c>
      <c r="M446">
        <v>7319.52</v>
      </c>
      <c r="N446" t="s">
        <v>46</v>
      </c>
      <c r="O446" t="s">
        <v>52</v>
      </c>
      <c r="P446">
        <v>19</v>
      </c>
      <c r="Q446" t="s">
        <v>57</v>
      </c>
      <c r="R446" t="s">
        <v>62</v>
      </c>
      <c r="S446">
        <v>19</v>
      </c>
      <c r="T446">
        <v>2017</v>
      </c>
      <c r="U446" t="s">
        <v>65</v>
      </c>
      <c r="V446">
        <v>70</v>
      </c>
      <c r="W446">
        <v>1.1000000000000001</v>
      </c>
    </row>
    <row r="447" spans="1:23" x14ac:dyDescent="0.35">
      <c r="A447">
        <v>10446</v>
      </c>
      <c r="B447" t="s">
        <v>24</v>
      </c>
      <c r="C447" t="s">
        <v>33</v>
      </c>
      <c r="D447" t="s">
        <v>36</v>
      </c>
      <c r="E447">
        <v>47883</v>
      </c>
      <c r="F447">
        <f ca="1">DATEDIF(Table1[[#This Row],[Hire Date]], TODAY(), "Y")</f>
        <v>17</v>
      </c>
      <c r="G447" s="7">
        <f ca="1">YEARFRAC(Table1[[#This Row],[Hire Date]], TODAY())</f>
        <v>17.069444444444443</v>
      </c>
      <c r="H447" s="7">
        <v>39809</v>
      </c>
      <c r="I447">
        <v>57</v>
      </c>
      <c r="J447" t="s">
        <v>42</v>
      </c>
      <c r="K447">
        <v>7</v>
      </c>
      <c r="L447" t="s">
        <v>44</v>
      </c>
      <c r="M447">
        <v>1860.66</v>
      </c>
      <c r="N447" t="s">
        <v>47</v>
      </c>
      <c r="O447" t="s">
        <v>53</v>
      </c>
      <c r="P447">
        <v>15</v>
      </c>
      <c r="Q447" t="s">
        <v>57</v>
      </c>
      <c r="R447" t="s">
        <v>60</v>
      </c>
      <c r="S447">
        <v>0</v>
      </c>
      <c r="T447">
        <v>2019</v>
      </c>
      <c r="U447" t="s">
        <v>66</v>
      </c>
      <c r="V447">
        <v>148</v>
      </c>
      <c r="W447">
        <v>2.2000000000000002</v>
      </c>
    </row>
    <row r="448" spans="1:23" x14ac:dyDescent="0.35">
      <c r="A448">
        <v>10447</v>
      </c>
      <c r="B448" t="s">
        <v>24</v>
      </c>
      <c r="C448" t="s">
        <v>30</v>
      </c>
      <c r="D448" t="s">
        <v>36</v>
      </c>
      <c r="E448">
        <v>59782</v>
      </c>
      <c r="F448">
        <f ca="1">DATEDIF(Table1[[#This Row],[Hire Date]], TODAY(), "Y")</f>
        <v>13</v>
      </c>
      <c r="G448" s="7">
        <f ca="1">YEARFRAC(Table1[[#This Row],[Hire Date]], TODAY())</f>
        <v>13.216666666666667</v>
      </c>
      <c r="H448" s="7">
        <v>41217</v>
      </c>
      <c r="I448">
        <v>27</v>
      </c>
      <c r="J448" t="s">
        <v>43</v>
      </c>
      <c r="K448">
        <v>5</v>
      </c>
      <c r="L448" t="s">
        <v>45</v>
      </c>
      <c r="M448">
        <v>720.27</v>
      </c>
      <c r="N448" t="s">
        <v>47</v>
      </c>
      <c r="O448" t="s">
        <v>51</v>
      </c>
      <c r="P448">
        <v>39</v>
      </c>
      <c r="Q448" t="s">
        <v>55</v>
      </c>
      <c r="R448" t="s">
        <v>58</v>
      </c>
      <c r="S448">
        <v>1</v>
      </c>
      <c r="T448">
        <v>2014</v>
      </c>
      <c r="U448" t="s">
        <v>66</v>
      </c>
      <c r="V448">
        <v>114</v>
      </c>
      <c r="W448">
        <v>4.7</v>
      </c>
    </row>
    <row r="449" spans="1:23" x14ac:dyDescent="0.35">
      <c r="A449">
        <v>10448</v>
      </c>
      <c r="B449" t="s">
        <v>27</v>
      </c>
      <c r="C449" t="s">
        <v>30</v>
      </c>
      <c r="D449" t="s">
        <v>40</v>
      </c>
      <c r="E449">
        <v>86387</v>
      </c>
      <c r="F449">
        <f ca="1">DATEDIF(Table1[[#This Row],[Hire Date]], TODAY(), "Y")</f>
        <v>7</v>
      </c>
      <c r="G449" s="7">
        <f ca="1">YEARFRAC(Table1[[#This Row],[Hire Date]], TODAY())</f>
        <v>7.3638888888888889</v>
      </c>
      <c r="H449" s="7">
        <v>43354</v>
      </c>
      <c r="I449">
        <v>63</v>
      </c>
      <c r="J449" t="s">
        <v>43</v>
      </c>
      <c r="K449">
        <v>9</v>
      </c>
      <c r="L449" t="s">
        <v>44</v>
      </c>
      <c r="M449">
        <v>8339.57</v>
      </c>
      <c r="N449" t="s">
        <v>48</v>
      </c>
      <c r="O449" t="s">
        <v>52</v>
      </c>
      <c r="P449">
        <v>35</v>
      </c>
      <c r="Q449" t="s">
        <v>56</v>
      </c>
      <c r="R449" t="s">
        <v>60</v>
      </c>
      <c r="S449">
        <v>16</v>
      </c>
      <c r="T449">
        <v>2010</v>
      </c>
      <c r="U449" t="s">
        <v>66</v>
      </c>
      <c r="V449">
        <v>134</v>
      </c>
      <c r="W449">
        <v>4.7</v>
      </c>
    </row>
    <row r="450" spans="1:23" x14ac:dyDescent="0.35">
      <c r="A450">
        <v>10449</v>
      </c>
      <c r="B450" t="s">
        <v>21</v>
      </c>
      <c r="C450" t="s">
        <v>33</v>
      </c>
      <c r="D450" t="s">
        <v>38</v>
      </c>
      <c r="E450">
        <v>46979</v>
      </c>
      <c r="F450">
        <f ca="1">DATEDIF(Table1[[#This Row],[Hire Date]], TODAY(), "Y")</f>
        <v>15</v>
      </c>
      <c r="G450" s="7">
        <f ca="1">YEARFRAC(Table1[[#This Row],[Hire Date]], TODAY())</f>
        <v>15.036111111111111</v>
      </c>
      <c r="H450" s="7">
        <v>40552</v>
      </c>
      <c r="I450">
        <v>39</v>
      </c>
      <c r="J450" t="s">
        <v>43</v>
      </c>
      <c r="K450">
        <v>5</v>
      </c>
      <c r="L450" t="s">
        <v>44</v>
      </c>
      <c r="M450">
        <v>8488.9500000000007</v>
      </c>
      <c r="N450" t="s">
        <v>46</v>
      </c>
      <c r="O450" t="s">
        <v>52</v>
      </c>
      <c r="P450">
        <v>13</v>
      </c>
      <c r="Q450" t="s">
        <v>57</v>
      </c>
      <c r="R450" t="s">
        <v>63</v>
      </c>
      <c r="S450">
        <v>0</v>
      </c>
      <c r="T450">
        <v>2010</v>
      </c>
      <c r="U450" t="s">
        <v>66</v>
      </c>
      <c r="V450">
        <v>148</v>
      </c>
      <c r="W450">
        <v>2.2000000000000002</v>
      </c>
    </row>
    <row r="451" spans="1:23" x14ac:dyDescent="0.35">
      <c r="A451">
        <v>10450</v>
      </c>
      <c r="B451" t="s">
        <v>27</v>
      </c>
      <c r="C451" t="s">
        <v>34</v>
      </c>
      <c r="D451" t="s">
        <v>36</v>
      </c>
      <c r="E451">
        <v>63746</v>
      </c>
      <c r="F451">
        <f ca="1">DATEDIF(Table1[[#This Row],[Hire Date]], TODAY(), "Y")</f>
        <v>22</v>
      </c>
      <c r="G451" s="7">
        <f ca="1">YEARFRAC(Table1[[#This Row],[Hire Date]], TODAY())</f>
        <v>22.888888888888889</v>
      </c>
      <c r="H451" s="7">
        <v>37682</v>
      </c>
      <c r="I451">
        <v>59</v>
      </c>
      <c r="J451" t="s">
        <v>43</v>
      </c>
      <c r="K451">
        <v>8</v>
      </c>
      <c r="L451" t="s">
        <v>45</v>
      </c>
      <c r="M451">
        <v>7590.43</v>
      </c>
      <c r="N451" t="s">
        <v>48</v>
      </c>
      <c r="O451" t="s">
        <v>53</v>
      </c>
      <c r="P451">
        <v>16</v>
      </c>
      <c r="Q451" t="s">
        <v>57</v>
      </c>
      <c r="R451" t="s">
        <v>63</v>
      </c>
      <c r="S451">
        <v>11</v>
      </c>
      <c r="T451">
        <v>2012</v>
      </c>
      <c r="U451" t="s">
        <v>64</v>
      </c>
      <c r="V451">
        <v>76</v>
      </c>
      <c r="W451">
        <v>4.3</v>
      </c>
    </row>
    <row r="452" spans="1:23" x14ac:dyDescent="0.35">
      <c r="A452">
        <v>10451</v>
      </c>
      <c r="B452" t="s">
        <v>27</v>
      </c>
      <c r="C452" t="s">
        <v>35</v>
      </c>
      <c r="D452" t="s">
        <v>41</v>
      </c>
      <c r="E452">
        <v>96266</v>
      </c>
      <c r="F452">
        <f ca="1">DATEDIF(Table1[[#This Row],[Hire Date]], TODAY(), "Y")</f>
        <v>17</v>
      </c>
      <c r="G452" s="7">
        <f ca="1">YEARFRAC(Table1[[#This Row],[Hire Date]], TODAY())</f>
        <v>17.675000000000001</v>
      </c>
      <c r="H452" s="7">
        <v>39587</v>
      </c>
      <c r="I452">
        <v>40</v>
      </c>
      <c r="J452" t="s">
        <v>43</v>
      </c>
      <c r="K452">
        <v>4</v>
      </c>
      <c r="L452" t="s">
        <v>45</v>
      </c>
      <c r="M452">
        <v>3159.27</v>
      </c>
      <c r="N452" t="s">
        <v>48</v>
      </c>
      <c r="O452" t="s">
        <v>54</v>
      </c>
      <c r="P452">
        <v>3</v>
      </c>
      <c r="Q452" t="s">
        <v>56</v>
      </c>
      <c r="R452" t="s">
        <v>60</v>
      </c>
      <c r="S452">
        <v>12</v>
      </c>
      <c r="T452">
        <v>2021</v>
      </c>
      <c r="U452" t="s">
        <v>65</v>
      </c>
      <c r="V452">
        <v>5</v>
      </c>
      <c r="W452">
        <v>2.8</v>
      </c>
    </row>
    <row r="453" spans="1:23" x14ac:dyDescent="0.35">
      <c r="A453">
        <v>10452</v>
      </c>
      <c r="B453" t="s">
        <v>27</v>
      </c>
      <c r="C453" t="s">
        <v>35</v>
      </c>
      <c r="D453" t="s">
        <v>41</v>
      </c>
      <c r="E453">
        <v>30056</v>
      </c>
      <c r="F453">
        <f ca="1">DATEDIF(Table1[[#This Row],[Hire Date]], TODAY(), "Y")</f>
        <v>6</v>
      </c>
      <c r="G453" s="7">
        <f ca="1">YEARFRAC(Table1[[#This Row],[Hire Date]], TODAY())</f>
        <v>6.4611111111111112</v>
      </c>
      <c r="H453" s="7">
        <v>43683</v>
      </c>
      <c r="I453">
        <v>51</v>
      </c>
      <c r="J453" t="s">
        <v>42</v>
      </c>
      <c r="K453">
        <v>9</v>
      </c>
      <c r="L453" t="s">
        <v>45</v>
      </c>
      <c r="M453">
        <v>6578.27</v>
      </c>
      <c r="N453" t="s">
        <v>49</v>
      </c>
      <c r="O453" t="s">
        <v>53</v>
      </c>
      <c r="P453">
        <v>31</v>
      </c>
      <c r="Q453" t="s">
        <v>55</v>
      </c>
      <c r="R453" t="s">
        <v>63</v>
      </c>
      <c r="S453">
        <v>13</v>
      </c>
      <c r="T453">
        <v>2021</v>
      </c>
      <c r="U453" t="s">
        <v>65</v>
      </c>
      <c r="V453">
        <v>109</v>
      </c>
      <c r="W453">
        <v>3.6</v>
      </c>
    </row>
    <row r="454" spans="1:23" x14ac:dyDescent="0.35">
      <c r="A454">
        <v>10453</v>
      </c>
      <c r="B454" t="s">
        <v>27</v>
      </c>
      <c r="C454" t="s">
        <v>33</v>
      </c>
      <c r="D454" t="s">
        <v>37</v>
      </c>
      <c r="E454">
        <v>61457</v>
      </c>
      <c r="F454">
        <f ca="1">DATEDIF(Table1[[#This Row],[Hire Date]], TODAY(), "Y")</f>
        <v>9</v>
      </c>
      <c r="G454" s="7">
        <f ca="1">YEARFRAC(Table1[[#This Row],[Hire Date]], TODAY())</f>
        <v>9.85</v>
      </c>
      <c r="H454" s="7">
        <v>42445</v>
      </c>
      <c r="I454">
        <v>34</v>
      </c>
      <c r="J454" t="s">
        <v>42</v>
      </c>
      <c r="K454">
        <v>6</v>
      </c>
      <c r="L454" t="s">
        <v>45</v>
      </c>
      <c r="M454">
        <v>3504.36</v>
      </c>
      <c r="N454" t="s">
        <v>46</v>
      </c>
      <c r="O454" t="s">
        <v>52</v>
      </c>
      <c r="P454">
        <v>1</v>
      </c>
      <c r="Q454" t="s">
        <v>57</v>
      </c>
      <c r="R454" t="s">
        <v>62</v>
      </c>
      <c r="S454">
        <v>9</v>
      </c>
      <c r="T454">
        <v>2015</v>
      </c>
      <c r="U454" t="s">
        <v>64</v>
      </c>
      <c r="V454">
        <v>158</v>
      </c>
      <c r="W454">
        <v>2.2999999999999998</v>
      </c>
    </row>
    <row r="455" spans="1:23" x14ac:dyDescent="0.35">
      <c r="A455">
        <v>10454</v>
      </c>
      <c r="B455" t="s">
        <v>27</v>
      </c>
      <c r="C455" t="s">
        <v>35</v>
      </c>
      <c r="D455" t="s">
        <v>36</v>
      </c>
      <c r="E455">
        <v>32243</v>
      </c>
      <c r="F455">
        <f ca="1">DATEDIF(Table1[[#This Row],[Hire Date]], TODAY(), "Y")</f>
        <v>9</v>
      </c>
      <c r="G455" s="7">
        <f ca="1">YEARFRAC(Table1[[#This Row],[Hire Date]], TODAY())</f>
        <v>9.9250000000000007</v>
      </c>
      <c r="H455" s="7">
        <v>42419</v>
      </c>
      <c r="I455">
        <v>60</v>
      </c>
      <c r="J455" t="s">
        <v>42</v>
      </c>
      <c r="K455">
        <v>6</v>
      </c>
      <c r="L455" t="s">
        <v>45</v>
      </c>
      <c r="M455">
        <v>4781.16</v>
      </c>
      <c r="N455" t="s">
        <v>49</v>
      </c>
      <c r="O455" t="s">
        <v>53</v>
      </c>
      <c r="P455">
        <v>35</v>
      </c>
      <c r="Q455" t="s">
        <v>55</v>
      </c>
      <c r="R455" t="s">
        <v>62</v>
      </c>
      <c r="S455">
        <v>11</v>
      </c>
      <c r="T455">
        <v>2011</v>
      </c>
      <c r="U455" t="s">
        <v>64</v>
      </c>
      <c r="V455">
        <v>176</v>
      </c>
      <c r="W455">
        <v>3.1</v>
      </c>
    </row>
    <row r="456" spans="1:23" x14ac:dyDescent="0.35">
      <c r="A456">
        <v>10455</v>
      </c>
      <c r="B456" t="s">
        <v>23</v>
      </c>
      <c r="C456" t="s">
        <v>32</v>
      </c>
      <c r="D456" t="s">
        <v>39</v>
      </c>
      <c r="E456">
        <v>85031</v>
      </c>
      <c r="F456">
        <f ca="1">DATEDIF(Table1[[#This Row],[Hire Date]], TODAY(), "Y")</f>
        <v>13</v>
      </c>
      <c r="G456" s="7">
        <f ca="1">YEARFRAC(Table1[[#This Row],[Hire Date]], TODAY())</f>
        <v>13.886111111111111</v>
      </c>
      <c r="H456" s="7">
        <v>40971</v>
      </c>
      <c r="I456">
        <v>33</v>
      </c>
      <c r="J456" t="s">
        <v>42</v>
      </c>
      <c r="K456">
        <v>3</v>
      </c>
      <c r="L456" t="s">
        <v>44</v>
      </c>
      <c r="M456">
        <v>4133.13</v>
      </c>
      <c r="N456" t="s">
        <v>48</v>
      </c>
      <c r="O456" t="s">
        <v>54</v>
      </c>
      <c r="P456">
        <v>16</v>
      </c>
      <c r="Q456" t="s">
        <v>57</v>
      </c>
      <c r="R456" t="s">
        <v>58</v>
      </c>
      <c r="S456">
        <v>17</v>
      </c>
      <c r="T456">
        <v>2010</v>
      </c>
      <c r="U456" t="s">
        <v>65</v>
      </c>
      <c r="V456">
        <v>137</v>
      </c>
      <c r="W456">
        <v>2.2000000000000002</v>
      </c>
    </row>
    <row r="457" spans="1:23" x14ac:dyDescent="0.35">
      <c r="A457">
        <v>10456</v>
      </c>
      <c r="B457" t="s">
        <v>24</v>
      </c>
      <c r="C457" t="s">
        <v>31</v>
      </c>
      <c r="D457" t="s">
        <v>40</v>
      </c>
      <c r="E457">
        <v>31701</v>
      </c>
      <c r="F457">
        <f ca="1">DATEDIF(Table1[[#This Row],[Hire Date]], TODAY(), "Y")</f>
        <v>19</v>
      </c>
      <c r="G457" s="7">
        <f ca="1">YEARFRAC(Table1[[#This Row],[Hire Date]], TODAY())</f>
        <v>19.677777777777777</v>
      </c>
      <c r="H457" s="7">
        <v>38855</v>
      </c>
      <c r="I457">
        <v>55</v>
      </c>
      <c r="J457" t="s">
        <v>43</v>
      </c>
      <c r="K457">
        <v>3</v>
      </c>
      <c r="L457" t="s">
        <v>44</v>
      </c>
      <c r="M457">
        <v>9179.58</v>
      </c>
      <c r="N457" t="s">
        <v>48</v>
      </c>
      <c r="O457" t="s">
        <v>52</v>
      </c>
      <c r="P457">
        <v>1</v>
      </c>
      <c r="Q457" t="s">
        <v>57</v>
      </c>
      <c r="R457" t="s">
        <v>60</v>
      </c>
      <c r="S457">
        <v>6</v>
      </c>
      <c r="T457">
        <v>2016</v>
      </c>
      <c r="U457" t="s">
        <v>65</v>
      </c>
      <c r="V457">
        <v>25</v>
      </c>
      <c r="W457">
        <v>1.2</v>
      </c>
    </row>
    <row r="458" spans="1:23" x14ac:dyDescent="0.35">
      <c r="A458">
        <v>10457</v>
      </c>
      <c r="B458" t="s">
        <v>27</v>
      </c>
      <c r="C458" t="s">
        <v>31</v>
      </c>
      <c r="D458" t="s">
        <v>38</v>
      </c>
      <c r="E458">
        <v>86381</v>
      </c>
      <c r="F458">
        <f ca="1">DATEDIF(Table1[[#This Row],[Hire Date]], TODAY(), "Y")</f>
        <v>8</v>
      </c>
      <c r="G458" s="7">
        <f ca="1">YEARFRAC(Table1[[#This Row],[Hire Date]], TODAY())</f>
        <v>8.4361111111111118</v>
      </c>
      <c r="H458" s="7">
        <v>42962</v>
      </c>
      <c r="I458">
        <v>33</v>
      </c>
      <c r="J458" t="s">
        <v>42</v>
      </c>
      <c r="K458">
        <v>4</v>
      </c>
      <c r="L458" t="s">
        <v>44</v>
      </c>
      <c r="M458">
        <v>2724.49</v>
      </c>
      <c r="N458" t="s">
        <v>46</v>
      </c>
      <c r="O458" t="s">
        <v>53</v>
      </c>
      <c r="P458">
        <v>14</v>
      </c>
      <c r="Q458" t="s">
        <v>56</v>
      </c>
      <c r="R458" t="s">
        <v>58</v>
      </c>
      <c r="S458">
        <v>18</v>
      </c>
      <c r="T458">
        <v>2023</v>
      </c>
      <c r="U458" t="s">
        <v>64</v>
      </c>
      <c r="V458">
        <v>39</v>
      </c>
      <c r="W458">
        <v>1.6</v>
      </c>
    </row>
    <row r="459" spans="1:23" x14ac:dyDescent="0.35">
      <c r="A459">
        <v>10458</v>
      </c>
      <c r="B459" t="s">
        <v>25</v>
      </c>
      <c r="C459" t="s">
        <v>33</v>
      </c>
      <c r="D459" t="s">
        <v>39</v>
      </c>
      <c r="E459">
        <v>80438</v>
      </c>
      <c r="F459">
        <f ca="1">DATEDIF(Table1[[#This Row],[Hire Date]], TODAY(), "Y")</f>
        <v>22</v>
      </c>
      <c r="G459" s="7">
        <f ca="1">YEARFRAC(Table1[[#This Row],[Hire Date]], TODAY())</f>
        <v>22.516666666666666</v>
      </c>
      <c r="H459" s="7">
        <v>37818</v>
      </c>
      <c r="I459">
        <v>45</v>
      </c>
      <c r="J459" t="s">
        <v>43</v>
      </c>
      <c r="K459">
        <v>1</v>
      </c>
      <c r="L459" t="s">
        <v>44</v>
      </c>
      <c r="M459">
        <v>5987.3</v>
      </c>
      <c r="N459" t="s">
        <v>47</v>
      </c>
      <c r="O459" t="s">
        <v>51</v>
      </c>
      <c r="P459">
        <v>7</v>
      </c>
      <c r="Q459" t="s">
        <v>56</v>
      </c>
      <c r="R459" t="s">
        <v>62</v>
      </c>
      <c r="S459">
        <v>14</v>
      </c>
      <c r="T459">
        <v>2023</v>
      </c>
      <c r="U459" t="s">
        <v>66</v>
      </c>
      <c r="V459">
        <v>108</v>
      </c>
      <c r="W459">
        <v>2.2000000000000002</v>
      </c>
    </row>
    <row r="460" spans="1:23" x14ac:dyDescent="0.35">
      <c r="A460">
        <v>10459</v>
      </c>
      <c r="B460" t="s">
        <v>24</v>
      </c>
      <c r="C460" t="s">
        <v>29</v>
      </c>
      <c r="D460" t="s">
        <v>40</v>
      </c>
      <c r="E460">
        <v>103839</v>
      </c>
      <c r="F460">
        <f ca="1">DATEDIF(Table1[[#This Row],[Hire Date]], TODAY(), "Y")</f>
        <v>20</v>
      </c>
      <c r="G460" s="7">
        <f ca="1">YEARFRAC(Table1[[#This Row],[Hire Date]], TODAY())</f>
        <v>20.902777777777779</v>
      </c>
      <c r="H460" s="7">
        <v>38410</v>
      </c>
      <c r="I460">
        <v>25</v>
      </c>
      <c r="J460" t="s">
        <v>43</v>
      </c>
      <c r="K460">
        <v>6</v>
      </c>
      <c r="L460" t="s">
        <v>44</v>
      </c>
      <c r="M460">
        <v>3929.32</v>
      </c>
      <c r="N460" t="s">
        <v>48</v>
      </c>
      <c r="O460" t="s">
        <v>51</v>
      </c>
      <c r="P460">
        <v>23</v>
      </c>
      <c r="Q460" t="s">
        <v>56</v>
      </c>
      <c r="R460" t="s">
        <v>62</v>
      </c>
      <c r="S460">
        <v>6</v>
      </c>
      <c r="T460">
        <v>2021</v>
      </c>
      <c r="U460" t="s">
        <v>65</v>
      </c>
      <c r="V460">
        <v>58</v>
      </c>
      <c r="W460">
        <v>4.9000000000000004</v>
      </c>
    </row>
    <row r="461" spans="1:23" x14ac:dyDescent="0.35">
      <c r="A461">
        <v>10460</v>
      </c>
      <c r="B461" t="s">
        <v>24</v>
      </c>
      <c r="C461" t="s">
        <v>34</v>
      </c>
      <c r="D461" t="s">
        <v>41</v>
      </c>
      <c r="E461">
        <v>110636</v>
      </c>
      <c r="F461">
        <f ca="1">DATEDIF(Table1[[#This Row],[Hire Date]], TODAY(), "Y")</f>
        <v>21</v>
      </c>
      <c r="G461" s="7">
        <f ca="1">YEARFRAC(Table1[[#This Row],[Hire Date]], TODAY())</f>
        <v>21.786111111111111</v>
      </c>
      <c r="H461" s="7">
        <v>38086</v>
      </c>
      <c r="I461">
        <v>57</v>
      </c>
      <c r="J461" t="s">
        <v>43</v>
      </c>
      <c r="K461">
        <v>1</v>
      </c>
      <c r="L461" t="s">
        <v>45</v>
      </c>
      <c r="M461">
        <v>6799.18</v>
      </c>
      <c r="N461" t="s">
        <v>48</v>
      </c>
      <c r="O461" t="s">
        <v>53</v>
      </c>
      <c r="P461">
        <v>35</v>
      </c>
      <c r="Q461" t="s">
        <v>56</v>
      </c>
      <c r="R461" t="s">
        <v>62</v>
      </c>
      <c r="S461">
        <v>13</v>
      </c>
      <c r="T461">
        <v>2011</v>
      </c>
      <c r="U461" t="s">
        <v>64</v>
      </c>
      <c r="V461">
        <v>128</v>
      </c>
      <c r="W461">
        <v>4.9000000000000004</v>
      </c>
    </row>
    <row r="462" spans="1:23" x14ac:dyDescent="0.35">
      <c r="A462">
        <v>10461</v>
      </c>
      <c r="B462" t="s">
        <v>26</v>
      </c>
      <c r="C462" t="s">
        <v>33</v>
      </c>
      <c r="D462" t="s">
        <v>39</v>
      </c>
      <c r="E462">
        <v>96483</v>
      </c>
      <c r="F462">
        <f ca="1">DATEDIF(Table1[[#This Row],[Hire Date]], TODAY(), "Y")</f>
        <v>23</v>
      </c>
      <c r="G462" s="7">
        <f ca="1">YEARFRAC(Table1[[#This Row],[Hire Date]], TODAY())</f>
        <v>23.366666666666667</v>
      </c>
      <c r="H462" s="7">
        <v>37509</v>
      </c>
      <c r="I462">
        <v>35</v>
      </c>
      <c r="J462" t="s">
        <v>43</v>
      </c>
      <c r="K462">
        <v>4</v>
      </c>
      <c r="L462" t="s">
        <v>44</v>
      </c>
      <c r="M462">
        <v>5863.35</v>
      </c>
      <c r="N462" t="s">
        <v>49</v>
      </c>
      <c r="O462" t="s">
        <v>53</v>
      </c>
      <c r="P462">
        <v>29</v>
      </c>
      <c r="Q462" t="s">
        <v>55</v>
      </c>
      <c r="R462" t="s">
        <v>61</v>
      </c>
      <c r="S462">
        <v>8</v>
      </c>
      <c r="T462">
        <v>2017</v>
      </c>
      <c r="U462" t="s">
        <v>66</v>
      </c>
      <c r="V462">
        <v>182</v>
      </c>
      <c r="W462">
        <v>4.3</v>
      </c>
    </row>
    <row r="463" spans="1:23" x14ac:dyDescent="0.35">
      <c r="A463">
        <v>10462</v>
      </c>
      <c r="B463" t="s">
        <v>23</v>
      </c>
      <c r="C463" t="s">
        <v>35</v>
      </c>
      <c r="D463" t="s">
        <v>40</v>
      </c>
      <c r="E463">
        <v>50505</v>
      </c>
      <c r="F463">
        <f ca="1">DATEDIF(Table1[[#This Row],[Hire Date]], TODAY(), "Y")</f>
        <v>20</v>
      </c>
      <c r="G463" s="7">
        <f ca="1">YEARFRAC(Table1[[#This Row],[Hire Date]], TODAY())</f>
        <v>20.397222222222222</v>
      </c>
      <c r="H463" s="7">
        <v>38593</v>
      </c>
      <c r="I463">
        <v>38</v>
      </c>
      <c r="J463" t="s">
        <v>43</v>
      </c>
      <c r="K463">
        <v>7</v>
      </c>
      <c r="L463" t="s">
        <v>44</v>
      </c>
      <c r="M463">
        <v>9277.7900000000009</v>
      </c>
      <c r="N463" t="s">
        <v>49</v>
      </c>
      <c r="O463" t="s">
        <v>54</v>
      </c>
      <c r="P463">
        <v>22</v>
      </c>
      <c r="Q463" t="s">
        <v>55</v>
      </c>
      <c r="R463" t="s">
        <v>63</v>
      </c>
      <c r="S463">
        <v>4</v>
      </c>
      <c r="T463">
        <v>2011</v>
      </c>
      <c r="U463" t="s">
        <v>66</v>
      </c>
      <c r="V463">
        <v>112</v>
      </c>
      <c r="W463">
        <v>1.9</v>
      </c>
    </row>
    <row r="464" spans="1:23" x14ac:dyDescent="0.35">
      <c r="A464">
        <v>10463</v>
      </c>
      <c r="B464" t="s">
        <v>27</v>
      </c>
      <c r="C464" t="s">
        <v>34</v>
      </c>
      <c r="D464" t="s">
        <v>41</v>
      </c>
      <c r="E464">
        <v>36553</v>
      </c>
      <c r="F464">
        <f ca="1">DATEDIF(Table1[[#This Row],[Hire Date]], TODAY(), "Y")</f>
        <v>7</v>
      </c>
      <c r="G464" s="7">
        <f ca="1">YEARFRAC(Table1[[#This Row],[Hire Date]], TODAY())</f>
        <v>7.1611111111111114</v>
      </c>
      <c r="H464" s="7">
        <v>43428</v>
      </c>
      <c r="I464">
        <v>24</v>
      </c>
      <c r="J464" t="s">
        <v>42</v>
      </c>
      <c r="K464">
        <v>6</v>
      </c>
      <c r="L464" t="s">
        <v>44</v>
      </c>
      <c r="M464">
        <v>1465.32</v>
      </c>
      <c r="N464" t="s">
        <v>46</v>
      </c>
      <c r="O464" t="s">
        <v>52</v>
      </c>
      <c r="P464">
        <v>16</v>
      </c>
      <c r="Q464" t="s">
        <v>55</v>
      </c>
      <c r="R464" t="s">
        <v>58</v>
      </c>
      <c r="S464">
        <v>0</v>
      </c>
      <c r="T464">
        <v>2020</v>
      </c>
      <c r="U464" t="s">
        <v>64</v>
      </c>
      <c r="V464">
        <v>48</v>
      </c>
      <c r="W464">
        <v>2.8</v>
      </c>
    </row>
    <row r="465" spans="1:23" x14ac:dyDescent="0.35">
      <c r="A465">
        <v>10464</v>
      </c>
      <c r="B465" t="s">
        <v>28</v>
      </c>
      <c r="C465" t="s">
        <v>29</v>
      </c>
      <c r="D465" t="s">
        <v>41</v>
      </c>
      <c r="E465">
        <v>63525</v>
      </c>
      <c r="F465">
        <f ca="1">DATEDIF(Table1[[#This Row],[Hire Date]], TODAY(), "Y")</f>
        <v>20</v>
      </c>
      <c r="G465" s="7">
        <f ca="1">YEARFRAC(Table1[[#This Row],[Hire Date]], TODAY())</f>
        <v>20.961111111111112</v>
      </c>
      <c r="H465" s="7">
        <v>38389</v>
      </c>
      <c r="I465">
        <v>59</v>
      </c>
      <c r="J465" t="s">
        <v>43</v>
      </c>
      <c r="K465">
        <v>8</v>
      </c>
      <c r="L465" t="s">
        <v>44</v>
      </c>
      <c r="M465">
        <v>2596.09</v>
      </c>
      <c r="N465" t="s">
        <v>49</v>
      </c>
      <c r="O465" t="s">
        <v>53</v>
      </c>
      <c r="P465">
        <v>29</v>
      </c>
      <c r="Q465" t="s">
        <v>56</v>
      </c>
      <c r="R465" t="s">
        <v>58</v>
      </c>
      <c r="S465">
        <v>15</v>
      </c>
      <c r="T465">
        <v>2010</v>
      </c>
      <c r="U465" t="s">
        <v>65</v>
      </c>
      <c r="V465">
        <v>89</v>
      </c>
      <c r="W465">
        <v>2.8</v>
      </c>
    </row>
    <row r="466" spans="1:23" x14ac:dyDescent="0.35">
      <c r="A466">
        <v>10465</v>
      </c>
      <c r="B466" t="s">
        <v>22</v>
      </c>
      <c r="C466" t="s">
        <v>35</v>
      </c>
      <c r="D466" t="s">
        <v>41</v>
      </c>
      <c r="E466">
        <v>110402</v>
      </c>
      <c r="F466">
        <f ca="1">DATEDIF(Table1[[#This Row],[Hire Date]], TODAY(), "Y")</f>
        <v>20</v>
      </c>
      <c r="G466" s="7">
        <f ca="1">YEARFRAC(Table1[[#This Row],[Hire Date]], TODAY())</f>
        <v>20.638888888888889</v>
      </c>
      <c r="H466" s="7">
        <v>38505</v>
      </c>
      <c r="I466">
        <v>44</v>
      </c>
      <c r="J466" t="s">
        <v>43</v>
      </c>
      <c r="K466">
        <v>4</v>
      </c>
      <c r="L466" t="s">
        <v>44</v>
      </c>
      <c r="M466">
        <v>7780.31</v>
      </c>
      <c r="N466" t="s">
        <v>47</v>
      </c>
      <c r="O466" t="s">
        <v>52</v>
      </c>
      <c r="P466">
        <v>6</v>
      </c>
      <c r="Q466" t="s">
        <v>57</v>
      </c>
      <c r="R466" t="s">
        <v>62</v>
      </c>
      <c r="S466">
        <v>4</v>
      </c>
      <c r="T466">
        <v>2019</v>
      </c>
      <c r="U466" t="s">
        <v>65</v>
      </c>
      <c r="V466">
        <v>8</v>
      </c>
      <c r="W466">
        <v>2.5</v>
      </c>
    </row>
    <row r="467" spans="1:23" x14ac:dyDescent="0.35">
      <c r="A467">
        <v>10466</v>
      </c>
      <c r="B467" t="s">
        <v>21</v>
      </c>
      <c r="C467" t="s">
        <v>30</v>
      </c>
      <c r="D467" t="s">
        <v>41</v>
      </c>
      <c r="E467">
        <v>74348</v>
      </c>
      <c r="F467">
        <f ca="1">DATEDIF(Table1[[#This Row],[Hire Date]], TODAY(), "Y")</f>
        <v>21</v>
      </c>
      <c r="G467" s="7">
        <f ca="1">YEARFRAC(Table1[[#This Row],[Hire Date]], TODAY())</f>
        <v>21.305555555555557</v>
      </c>
      <c r="H467" s="7">
        <v>38262</v>
      </c>
      <c r="I467">
        <v>34</v>
      </c>
      <c r="J467" t="s">
        <v>42</v>
      </c>
      <c r="K467">
        <v>9</v>
      </c>
      <c r="L467" t="s">
        <v>45</v>
      </c>
      <c r="M467">
        <v>4003.47</v>
      </c>
      <c r="N467" t="s">
        <v>48</v>
      </c>
      <c r="O467" t="s">
        <v>51</v>
      </c>
      <c r="P467">
        <v>18</v>
      </c>
      <c r="Q467" t="s">
        <v>55</v>
      </c>
      <c r="R467" t="s">
        <v>61</v>
      </c>
      <c r="S467">
        <v>7</v>
      </c>
      <c r="T467">
        <v>2011</v>
      </c>
      <c r="U467" t="s">
        <v>66</v>
      </c>
      <c r="V467">
        <v>127</v>
      </c>
      <c r="W467">
        <v>1.2</v>
      </c>
    </row>
    <row r="468" spans="1:23" x14ac:dyDescent="0.35">
      <c r="A468">
        <v>10467</v>
      </c>
      <c r="B468" t="s">
        <v>25</v>
      </c>
      <c r="C468" t="s">
        <v>32</v>
      </c>
      <c r="D468" t="s">
        <v>41</v>
      </c>
      <c r="E468">
        <v>101187</v>
      </c>
      <c r="F468">
        <f ca="1">DATEDIF(Table1[[#This Row],[Hire Date]], TODAY(), "Y")</f>
        <v>19</v>
      </c>
      <c r="G468" s="7">
        <f ca="1">YEARFRAC(Table1[[#This Row],[Hire Date]], TODAY())</f>
        <v>19.344444444444445</v>
      </c>
      <c r="H468" s="7">
        <v>38978</v>
      </c>
      <c r="I468">
        <v>30</v>
      </c>
      <c r="J468" t="s">
        <v>42</v>
      </c>
      <c r="K468">
        <v>8</v>
      </c>
      <c r="L468" t="s">
        <v>45</v>
      </c>
      <c r="M468">
        <v>2074.9499999999998</v>
      </c>
      <c r="N468" t="s">
        <v>49</v>
      </c>
      <c r="O468" t="s">
        <v>52</v>
      </c>
      <c r="P468">
        <v>29</v>
      </c>
      <c r="Q468" t="s">
        <v>56</v>
      </c>
      <c r="R468" t="s">
        <v>58</v>
      </c>
      <c r="S468">
        <v>18</v>
      </c>
      <c r="T468">
        <v>2011</v>
      </c>
      <c r="U468" t="s">
        <v>64</v>
      </c>
      <c r="V468">
        <v>46</v>
      </c>
      <c r="W468">
        <v>3.1</v>
      </c>
    </row>
    <row r="469" spans="1:23" x14ac:dyDescent="0.35">
      <c r="A469">
        <v>10468</v>
      </c>
      <c r="B469" t="s">
        <v>28</v>
      </c>
      <c r="C469" t="s">
        <v>35</v>
      </c>
      <c r="D469" t="s">
        <v>37</v>
      </c>
      <c r="E469">
        <v>37273</v>
      </c>
      <c r="F469">
        <f ca="1">DATEDIF(Table1[[#This Row],[Hire Date]], TODAY(), "Y")</f>
        <v>11</v>
      </c>
      <c r="G469" s="7">
        <f ca="1">YEARFRAC(Table1[[#This Row],[Hire Date]], TODAY())</f>
        <v>11.725</v>
      </c>
      <c r="H469" s="7">
        <v>41760</v>
      </c>
      <c r="I469">
        <v>42</v>
      </c>
      <c r="J469" t="s">
        <v>42</v>
      </c>
      <c r="K469">
        <v>5</v>
      </c>
      <c r="L469" t="s">
        <v>44</v>
      </c>
      <c r="M469">
        <v>5281.55</v>
      </c>
      <c r="N469" t="s">
        <v>47</v>
      </c>
      <c r="O469" t="s">
        <v>50</v>
      </c>
      <c r="P469">
        <v>25</v>
      </c>
      <c r="Q469" t="s">
        <v>56</v>
      </c>
      <c r="R469" t="s">
        <v>59</v>
      </c>
      <c r="S469">
        <v>19</v>
      </c>
      <c r="T469">
        <v>2016</v>
      </c>
      <c r="U469" t="s">
        <v>66</v>
      </c>
      <c r="V469">
        <v>173</v>
      </c>
      <c r="W469">
        <v>1.3</v>
      </c>
    </row>
    <row r="470" spans="1:23" x14ac:dyDescent="0.35">
      <c r="A470">
        <v>10469</v>
      </c>
      <c r="B470" t="s">
        <v>23</v>
      </c>
      <c r="C470" t="s">
        <v>32</v>
      </c>
      <c r="D470" t="s">
        <v>39</v>
      </c>
      <c r="E470">
        <v>94236</v>
      </c>
      <c r="F470">
        <f ca="1">DATEDIF(Table1[[#This Row],[Hire Date]], TODAY(), "Y")</f>
        <v>20</v>
      </c>
      <c r="G470" s="7">
        <f ca="1">YEARFRAC(Table1[[#This Row],[Hire Date]], TODAY())</f>
        <v>20.805555555555557</v>
      </c>
      <c r="H470" s="7">
        <v>38444</v>
      </c>
      <c r="I470">
        <v>62</v>
      </c>
      <c r="J470" t="s">
        <v>43</v>
      </c>
      <c r="K470">
        <v>6</v>
      </c>
      <c r="L470" t="s">
        <v>45</v>
      </c>
      <c r="M470">
        <v>6695.35</v>
      </c>
      <c r="N470" t="s">
        <v>48</v>
      </c>
      <c r="O470" t="s">
        <v>54</v>
      </c>
      <c r="P470">
        <v>2</v>
      </c>
      <c r="Q470" t="s">
        <v>56</v>
      </c>
      <c r="R470" t="s">
        <v>58</v>
      </c>
      <c r="S470">
        <v>11</v>
      </c>
      <c r="T470">
        <v>2010</v>
      </c>
      <c r="U470" t="s">
        <v>66</v>
      </c>
      <c r="V470">
        <v>168</v>
      </c>
      <c r="W470">
        <v>4.2</v>
      </c>
    </row>
    <row r="471" spans="1:23" x14ac:dyDescent="0.35">
      <c r="A471">
        <v>10470</v>
      </c>
      <c r="B471" t="s">
        <v>22</v>
      </c>
      <c r="C471" t="s">
        <v>34</v>
      </c>
      <c r="D471" t="s">
        <v>40</v>
      </c>
      <c r="E471">
        <v>105569</v>
      </c>
      <c r="F471">
        <f ca="1">DATEDIF(Table1[[#This Row],[Hire Date]], TODAY(), "Y")</f>
        <v>24</v>
      </c>
      <c r="G471" s="7">
        <f ca="1">YEARFRAC(Table1[[#This Row],[Hire Date]], TODAY())</f>
        <v>24.141666666666666</v>
      </c>
      <c r="H471" s="7">
        <v>37226</v>
      </c>
      <c r="I471">
        <v>29</v>
      </c>
      <c r="J471" t="s">
        <v>43</v>
      </c>
      <c r="K471">
        <v>5</v>
      </c>
      <c r="L471" t="s">
        <v>44</v>
      </c>
      <c r="M471">
        <v>925.85</v>
      </c>
      <c r="N471" t="s">
        <v>48</v>
      </c>
      <c r="O471" t="s">
        <v>54</v>
      </c>
      <c r="P471">
        <v>32</v>
      </c>
      <c r="Q471" t="s">
        <v>55</v>
      </c>
      <c r="R471" t="s">
        <v>61</v>
      </c>
      <c r="S471">
        <v>7</v>
      </c>
      <c r="T471">
        <v>2012</v>
      </c>
      <c r="U471" t="s">
        <v>66</v>
      </c>
      <c r="V471">
        <v>28</v>
      </c>
      <c r="W471">
        <v>3.8</v>
      </c>
    </row>
    <row r="472" spans="1:23" x14ac:dyDescent="0.35">
      <c r="A472">
        <v>10471</v>
      </c>
      <c r="B472" t="s">
        <v>23</v>
      </c>
      <c r="C472" t="s">
        <v>32</v>
      </c>
      <c r="D472" t="s">
        <v>37</v>
      </c>
      <c r="E472">
        <v>33535</v>
      </c>
      <c r="F472">
        <f ca="1">DATEDIF(Table1[[#This Row],[Hire Date]], TODAY(), "Y")</f>
        <v>6</v>
      </c>
      <c r="G472" s="7">
        <f ca="1">YEARFRAC(Table1[[#This Row],[Hire Date]], TODAY())</f>
        <v>6.552777777777778</v>
      </c>
      <c r="H472" s="7">
        <v>43649</v>
      </c>
      <c r="I472">
        <v>38</v>
      </c>
      <c r="J472" t="s">
        <v>43</v>
      </c>
      <c r="K472">
        <v>6</v>
      </c>
      <c r="L472" t="s">
        <v>44</v>
      </c>
      <c r="M472">
        <v>3270.41</v>
      </c>
      <c r="N472" t="s">
        <v>47</v>
      </c>
      <c r="O472" t="s">
        <v>52</v>
      </c>
      <c r="P472">
        <v>36</v>
      </c>
      <c r="Q472" t="s">
        <v>57</v>
      </c>
      <c r="R472" t="s">
        <v>62</v>
      </c>
      <c r="S472">
        <v>7</v>
      </c>
      <c r="T472">
        <v>2014</v>
      </c>
      <c r="U472" t="s">
        <v>64</v>
      </c>
      <c r="V472">
        <v>137</v>
      </c>
      <c r="W472">
        <v>2.4</v>
      </c>
    </row>
    <row r="473" spans="1:23" x14ac:dyDescent="0.35">
      <c r="A473">
        <v>10472</v>
      </c>
      <c r="B473" t="s">
        <v>25</v>
      </c>
      <c r="C473" t="s">
        <v>34</v>
      </c>
      <c r="D473" t="s">
        <v>37</v>
      </c>
      <c r="E473">
        <v>48677</v>
      </c>
      <c r="F473">
        <f ca="1">DATEDIF(Table1[[#This Row],[Hire Date]], TODAY(), "Y")</f>
        <v>14</v>
      </c>
      <c r="G473" s="7">
        <f ca="1">YEARFRAC(Table1[[#This Row],[Hire Date]], TODAY())</f>
        <v>14.980555555555556</v>
      </c>
      <c r="H473" s="7">
        <v>40572</v>
      </c>
      <c r="I473">
        <v>37</v>
      </c>
      <c r="J473" t="s">
        <v>43</v>
      </c>
      <c r="K473">
        <v>1</v>
      </c>
      <c r="L473" t="s">
        <v>45</v>
      </c>
      <c r="M473">
        <v>8189.51</v>
      </c>
      <c r="N473" t="s">
        <v>48</v>
      </c>
      <c r="O473" t="s">
        <v>54</v>
      </c>
      <c r="P473">
        <v>32</v>
      </c>
      <c r="Q473" t="s">
        <v>55</v>
      </c>
      <c r="R473" t="s">
        <v>61</v>
      </c>
      <c r="S473">
        <v>5</v>
      </c>
      <c r="T473">
        <v>2021</v>
      </c>
      <c r="U473" t="s">
        <v>65</v>
      </c>
      <c r="V473">
        <v>189</v>
      </c>
      <c r="W473">
        <v>3.6</v>
      </c>
    </row>
    <row r="474" spans="1:23" x14ac:dyDescent="0.35">
      <c r="A474">
        <v>10473</v>
      </c>
      <c r="B474" t="s">
        <v>24</v>
      </c>
      <c r="C474" t="s">
        <v>34</v>
      </c>
      <c r="D474" t="s">
        <v>36</v>
      </c>
      <c r="E474">
        <v>113024</v>
      </c>
      <c r="F474">
        <f ca="1">DATEDIF(Table1[[#This Row],[Hire Date]], TODAY(), "Y")</f>
        <v>20</v>
      </c>
      <c r="G474" s="7">
        <f ca="1">YEARFRAC(Table1[[#This Row],[Hire Date]], TODAY())</f>
        <v>20.383333333333333</v>
      </c>
      <c r="H474" s="7">
        <v>38599</v>
      </c>
      <c r="I474">
        <v>37</v>
      </c>
      <c r="J474" t="s">
        <v>42</v>
      </c>
      <c r="K474">
        <v>4</v>
      </c>
      <c r="L474" t="s">
        <v>45</v>
      </c>
      <c r="M474">
        <v>5442.32</v>
      </c>
      <c r="N474" t="s">
        <v>47</v>
      </c>
      <c r="O474" t="s">
        <v>52</v>
      </c>
      <c r="P474">
        <v>20</v>
      </c>
      <c r="Q474" t="s">
        <v>56</v>
      </c>
      <c r="R474" t="s">
        <v>63</v>
      </c>
      <c r="S474">
        <v>19</v>
      </c>
      <c r="T474">
        <v>2016</v>
      </c>
      <c r="U474" t="s">
        <v>66</v>
      </c>
      <c r="V474">
        <v>71</v>
      </c>
      <c r="W474">
        <v>1.9</v>
      </c>
    </row>
    <row r="475" spans="1:23" x14ac:dyDescent="0.35">
      <c r="A475">
        <v>10474</v>
      </c>
      <c r="B475" t="s">
        <v>22</v>
      </c>
      <c r="C475" t="s">
        <v>34</v>
      </c>
      <c r="D475" t="s">
        <v>36</v>
      </c>
      <c r="E475">
        <v>30908</v>
      </c>
      <c r="F475">
        <f ca="1">DATEDIF(Table1[[#This Row],[Hire Date]], TODAY(), "Y")</f>
        <v>13</v>
      </c>
      <c r="G475" s="7">
        <f ca="1">YEARFRAC(Table1[[#This Row],[Hire Date]], TODAY())</f>
        <v>13.297222222222222</v>
      </c>
      <c r="H475" s="7">
        <v>41187</v>
      </c>
      <c r="I475">
        <v>49</v>
      </c>
      <c r="J475" t="s">
        <v>42</v>
      </c>
      <c r="K475">
        <v>9</v>
      </c>
      <c r="L475" t="s">
        <v>45</v>
      </c>
      <c r="M475">
        <v>836.1</v>
      </c>
      <c r="N475" t="s">
        <v>47</v>
      </c>
      <c r="O475" t="s">
        <v>52</v>
      </c>
      <c r="P475">
        <v>37</v>
      </c>
      <c r="Q475" t="s">
        <v>56</v>
      </c>
      <c r="R475" t="s">
        <v>58</v>
      </c>
      <c r="S475">
        <v>8</v>
      </c>
      <c r="T475">
        <v>2023</v>
      </c>
      <c r="U475" t="s">
        <v>65</v>
      </c>
      <c r="V475">
        <v>15</v>
      </c>
      <c r="W475">
        <v>2.1</v>
      </c>
    </row>
    <row r="476" spans="1:23" x14ac:dyDescent="0.35">
      <c r="A476">
        <v>10475</v>
      </c>
      <c r="B476" t="s">
        <v>24</v>
      </c>
      <c r="C476" t="s">
        <v>34</v>
      </c>
      <c r="D476" t="s">
        <v>36</v>
      </c>
      <c r="E476">
        <v>100153</v>
      </c>
      <c r="F476">
        <f ca="1">DATEDIF(Table1[[#This Row],[Hire Date]], TODAY(), "Y")</f>
        <v>15</v>
      </c>
      <c r="G476" s="7">
        <f ca="1">YEARFRAC(Table1[[#This Row],[Hire Date]], TODAY())</f>
        <v>15.780555555555555</v>
      </c>
      <c r="H476" s="7">
        <v>40279</v>
      </c>
      <c r="I476">
        <v>37</v>
      </c>
      <c r="J476" t="s">
        <v>42</v>
      </c>
      <c r="K476">
        <v>4</v>
      </c>
      <c r="L476" t="s">
        <v>44</v>
      </c>
      <c r="M476">
        <v>3178.53</v>
      </c>
      <c r="N476" t="s">
        <v>49</v>
      </c>
      <c r="O476" t="s">
        <v>51</v>
      </c>
      <c r="P476">
        <v>38</v>
      </c>
      <c r="Q476" t="s">
        <v>56</v>
      </c>
      <c r="R476" t="s">
        <v>63</v>
      </c>
      <c r="S476">
        <v>1</v>
      </c>
      <c r="T476">
        <v>2015</v>
      </c>
      <c r="U476" t="s">
        <v>65</v>
      </c>
      <c r="V476">
        <v>177</v>
      </c>
      <c r="W476">
        <v>2.2999999999999998</v>
      </c>
    </row>
    <row r="477" spans="1:23" x14ac:dyDescent="0.35">
      <c r="A477">
        <v>10476</v>
      </c>
      <c r="B477" t="s">
        <v>25</v>
      </c>
      <c r="C477" t="s">
        <v>34</v>
      </c>
      <c r="D477" t="s">
        <v>38</v>
      </c>
      <c r="E477">
        <v>118989</v>
      </c>
      <c r="F477">
        <f ca="1">DATEDIF(Table1[[#This Row],[Hire Date]], TODAY(), "Y")</f>
        <v>24</v>
      </c>
      <c r="G477" s="7">
        <f ca="1">YEARFRAC(Table1[[#This Row],[Hire Date]], TODAY())</f>
        <v>24.980555555555554</v>
      </c>
      <c r="H477" s="7">
        <v>36920</v>
      </c>
      <c r="I477">
        <v>35</v>
      </c>
      <c r="J477" t="s">
        <v>42</v>
      </c>
      <c r="K477">
        <v>2</v>
      </c>
      <c r="L477" t="s">
        <v>44</v>
      </c>
      <c r="M477">
        <v>6571.84</v>
      </c>
      <c r="N477" t="s">
        <v>46</v>
      </c>
      <c r="O477" t="s">
        <v>52</v>
      </c>
      <c r="P477">
        <v>33</v>
      </c>
      <c r="Q477" t="s">
        <v>55</v>
      </c>
      <c r="R477" t="s">
        <v>58</v>
      </c>
      <c r="S477">
        <v>17</v>
      </c>
      <c r="T477">
        <v>2017</v>
      </c>
      <c r="U477" t="s">
        <v>64</v>
      </c>
      <c r="V477">
        <v>100</v>
      </c>
      <c r="W477">
        <v>4.2</v>
      </c>
    </row>
    <row r="478" spans="1:23" x14ac:dyDescent="0.35">
      <c r="A478">
        <v>10477</v>
      </c>
      <c r="B478" t="s">
        <v>28</v>
      </c>
      <c r="C478" t="s">
        <v>35</v>
      </c>
      <c r="D478" t="s">
        <v>36</v>
      </c>
      <c r="E478">
        <v>65079</v>
      </c>
      <c r="F478">
        <f ca="1">DATEDIF(Table1[[#This Row],[Hire Date]], TODAY(), "Y")</f>
        <v>20</v>
      </c>
      <c r="G478" s="7">
        <f ca="1">YEARFRAC(Table1[[#This Row],[Hire Date]], TODAY())</f>
        <v>20.7</v>
      </c>
      <c r="H478" s="7">
        <v>38482</v>
      </c>
      <c r="I478">
        <v>59</v>
      </c>
      <c r="J478" t="s">
        <v>42</v>
      </c>
      <c r="K478">
        <v>6</v>
      </c>
      <c r="L478" t="s">
        <v>44</v>
      </c>
      <c r="M478">
        <v>2393.91</v>
      </c>
      <c r="N478" t="s">
        <v>47</v>
      </c>
      <c r="O478" t="s">
        <v>54</v>
      </c>
      <c r="P478">
        <v>5</v>
      </c>
      <c r="Q478" t="s">
        <v>57</v>
      </c>
      <c r="R478" t="s">
        <v>63</v>
      </c>
      <c r="S478">
        <v>0</v>
      </c>
      <c r="T478">
        <v>2010</v>
      </c>
      <c r="U478" t="s">
        <v>65</v>
      </c>
      <c r="V478">
        <v>26</v>
      </c>
      <c r="W478">
        <v>1.8</v>
      </c>
    </row>
    <row r="479" spans="1:23" x14ac:dyDescent="0.35">
      <c r="A479">
        <v>10478</v>
      </c>
      <c r="B479" t="s">
        <v>25</v>
      </c>
      <c r="C479" t="s">
        <v>34</v>
      </c>
      <c r="D479" t="s">
        <v>40</v>
      </c>
      <c r="E479">
        <v>111556</v>
      </c>
      <c r="F479">
        <f ca="1">DATEDIF(Table1[[#This Row],[Hire Date]], TODAY(), "Y")</f>
        <v>17</v>
      </c>
      <c r="G479" s="7">
        <f ca="1">YEARFRAC(Table1[[#This Row],[Hire Date]], TODAY())</f>
        <v>17.711111111111112</v>
      </c>
      <c r="H479" s="7">
        <v>39574</v>
      </c>
      <c r="I479">
        <v>41</v>
      </c>
      <c r="J479" t="s">
        <v>42</v>
      </c>
      <c r="K479">
        <v>2</v>
      </c>
      <c r="L479" t="s">
        <v>45</v>
      </c>
      <c r="M479">
        <v>8360.2199999999993</v>
      </c>
      <c r="N479" t="s">
        <v>49</v>
      </c>
      <c r="O479" t="s">
        <v>50</v>
      </c>
      <c r="P479">
        <v>6</v>
      </c>
      <c r="Q479" t="s">
        <v>55</v>
      </c>
      <c r="R479" t="s">
        <v>58</v>
      </c>
      <c r="S479">
        <v>10</v>
      </c>
      <c r="T479">
        <v>2016</v>
      </c>
      <c r="U479" t="s">
        <v>65</v>
      </c>
      <c r="V479">
        <v>143</v>
      </c>
      <c r="W479">
        <v>3.3</v>
      </c>
    </row>
    <row r="480" spans="1:23" x14ac:dyDescent="0.35">
      <c r="A480">
        <v>10479</v>
      </c>
      <c r="B480" t="s">
        <v>28</v>
      </c>
      <c r="C480" t="s">
        <v>35</v>
      </c>
      <c r="D480" t="s">
        <v>37</v>
      </c>
      <c r="E480">
        <v>79323</v>
      </c>
      <c r="F480">
        <f ca="1">DATEDIF(Table1[[#This Row],[Hire Date]], TODAY(), "Y")</f>
        <v>16</v>
      </c>
      <c r="G480" s="7">
        <f ca="1">YEARFRAC(Table1[[#This Row],[Hire Date]], TODAY())</f>
        <v>16.605555555555554</v>
      </c>
      <c r="H480" s="7">
        <v>39978</v>
      </c>
      <c r="I480">
        <v>62</v>
      </c>
      <c r="J480" t="s">
        <v>43</v>
      </c>
      <c r="K480">
        <v>3</v>
      </c>
      <c r="L480" t="s">
        <v>45</v>
      </c>
      <c r="M480">
        <v>6927.47</v>
      </c>
      <c r="N480" t="s">
        <v>48</v>
      </c>
      <c r="O480" t="s">
        <v>53</v>
      </c>
      <c r="P480">
        <v>22</v>
      </c>
      <c r="Q480" t="s">
        <v>56</v>
      </c>
      <c r="R480" t="s">
        <v>59</v>
      </c>
      <c r="S480">
        <v>14</v>
      </c>
      <c r="T480">
        <v>2018</v>
      </c>
      <c r="U480" t="s">
        <v>66</v>
      </c>
      <c r="V480">
        <v>170</v>
      </c>
      <c r="W480">
        <v>1.8</v>
      </c>
    </row>
    <row r="481" spans="1:23" x14ac:dyDescent="0.35">
      <c r="A481">
        <v>10480</v>
      </c>
      <c r="B481" t="s">
        <v>22</v>
      </c>
      <c r="C481" t="s">
        <v>34</v>
      </c>
      <c r="D481" t="s">
        <v>40</v>
      </c>
      <c r="E481">
        <v>75320</v>
      </c>
      <c r="F481">
        <f ca="1">DATEDIF(Table1[[#This Row],[Hire Date]], TODAY(), "Y")</f>
        <v>24</v>
      </c>
      <c r="G481" s="7">
        <f ca="1">YEARFRAC(Table1[[#This Row],[Hire Date]], TODAY())</f>
        <v>24.627777777777776</v>
      </c>
      <c r="H481" s="7">
        <v>37048</v>
      </c>
      <c r="I481">
        <v>55</v>
      </c>
      <c r="J481" t="s">
        <v>43</v>
      </c>
      <c r="K481">
        <v>7</v>
      </c>
      <c r="L481" t="s">
        <v>44</v>
      </c>
      <c r="M481">
        <v>4978.1000000000004</v>
      </c>
      <c r="N481" t="s">
        <v>49</v>
      </c>
      <c r="O481" t="s">
        <v>54</v>
      </c>
      <c r="P481">
        <v>21</v>
      </c>
      <c r="Q481" t="s">
        <v>56</v>
      </c>
      <c r="R481" t="s">
        <v>62</v>
      </c>
      <c r="S481">
        <v>11</v>
      </c>
      <c r="T481">
        <v>2016</v>
      </c>
      <c r="U481" t="s">
        <v>64</v>
      </c>
      <c r="V481">
        <v>191</v>
      </c>
      <c r="W481">
        <v>2.1</v>
      </c>
    </row>
    <row r="482" spans="1:23" x14ac:dyDescent="0.35">
      <c r="A482">
        <v>10481</v>
      </c>
      <c r="B482" t="s">
        <v>22</v>
      </c>
      <c r="C482" t="s">
        <v>32</v>
      </c>
      <c r="D482" t="s">
        <v>39</v>
      </c>
      <c r="E482">
        <v>119909</v>
      </c>
      <c r="F482">
        <f ca="1">DATEDIF(Table1[[#This Row],[Hire Date]], TODAY(), "Y")</f>
        <v>21</v>
      </c>
      <c r="G482" s="7">
        <f ca="1">YEARFRAC(Table1[[#This Row],[Hire Date]], TODAY())</f>
        <v>21.780555555555555</v>
      </c>
      <c r="H482" s="7">
        <v>38088</v>
      </c>
      <c r="I482">
        <v>50</v>
      </c>
      <c r="J482" t="s">
        <v>42</v>
      </c>
      <c r="K482">
        <v>4</v>
      </c>
      <c r="L482" t="s">
        <v>45</v>
      </c>
      <c r="M482">
        <v>9198.43</v>
      </c>
      <c r="N482" t="s">
        <v>47</v>
      </c>
      <c r="O482" t="s">
        <v>50</v>
      </c>
      <c r="P482">
        <v>19</v>
      </c>
      <c r="Q482" t="s">
        <v>56</v>
      </c>
      <c r="R482" t="s">
        <v>59</v>
      </c>
      <c r="S482">
        <v>2</v>
      </c>
      <c r="T482">
        <v>2015</v>
      </c>
      <c r="U482" t="s">
        <v>64</v>
      </c>
      <c r="V482">
        <v>90</v>
      </c>
      <c r="W482">
        <v>1.9</v>
      </c>
    </row>
    <row r="483" spans="1:23" x14ac:dyDescent="0.35">
      <c r="A483">
        <v>10482</v>
      </c>
      <c r="B483" t="s">
        <v>27</v>
      </c>
      <c r="C483" t="s">
        <v>30</v>
      </c>
      <c r="D483" t="s">
        <v>36</v>
      </c>
      <c r="E483">
        <v>76105</v>
      </c>
      <c r="F483">
        <f ca="1">DATEDIF(Table1[[#This Row],[Hire Date]], TODAY(), "Y")</f>
        <v>18</v>
      </c>
      <c r="G483" s="7">
        <f ca="1">YEARFRAC(Table1[[#This Row],[Hire Date]], TODAY())</f>
        <v>18.091666666666665</v>
      </c>
      <c r="H483" s="7">
        <v>39435</v>
      </c>
      <c r="I483">
        <v>24</v>
      </c>
      <c r="J483" t="s">
        <v>42</v>
      </c>
      <c r="K483">
        <v>1</v>
      </c>
      <c r="L483" t="s">
        <v>45</v>
      </c>
      <c r="M483">
        <v>4222.1099999999997</v>
      </c>
      <c r="N483" t="s">
        <v>49</v>
      </c>
      <c r="O483" t="s">
        <v>54</v>
      </c>
      <c r="P483">
        <v>15</v>
      </c>
      <c r="Q483" t="s">
        <v>55</v>
      </c>
      <c r="R483" t="s">
        <v>60</v>
      </c>
      <c r="S483">
        <v>18</v>
      </c>
      <c r="T483">
        <v>2018</v>
      </c>
      <c r="U483" t="s">
        <v>66</v>
      </c>
      <c r="V483">
        <v>136</v>
      </c>
      <c r="W483">
        <v>3.6</v>
      </c>
    </row>
    <row r="484" spans="1:23" x14ac:dyDescent="0.35">
      <c r="A484">
        <v>10483</v>
      </c>
      <c r="B484" t="s">
        <v>23</v>
      </c>
      <c r="C484" t="s">
        <v>34</v>
      </c>
      <c r="D484" t="s">
        <v>38</v>
      </c>
      <c r="E484">
        <v>60164</v>
      </c>
      <c r="F484">
        <f ca="1">DATEDIF(Table1[[#This Row],[Hire Date]], TODAY(), "Y")</f>
        <v>11</v>
      </c>
      <c r="G484" s="7">
        <f ca="1">YEARFRAC(Table1[[#This Row],[Hire Date]], TODAY())</f>
        <v>11.811111111111112</v>
      </c>
      <c r="H484" s="7">
        <v>41728</v>
      </c>
      <c r="I484">
        <v>31</v>
      </c>
      <c r="J484" t="s">
        <v>42</v>
      </c>
      <c r="K484">
        <v>9</v>
      </c>
      <c r="L484" t="s">
        <v>44</v>
      </c>
      <c r="M484">
        <v>2733.2</v>
      </c>
      <c r="N484" t="s">
        <v>46</v>
      </c>
      <c r="O484" t="s">
        <v>50</v>
      </c>
      <c r="P484">
        <v>34</v>
      </c>
      <c r="Q484" t="s">
        <v>55</v>
      </c>
      <c r="R484" t="s">
        <v>61</v>
      </c>
      <c r="S484">
        <v>19</v>
      </c>
      <c r="T484">
        <v>2022</v>
      </c>
      <c r="U484" t="s">
        <v>66</v>
      </c>
      <c r="V484">
        <v>199</v>
      </c>
      <c r="W484">
        <v>3.1</v>
      </c>
    </row>
    <row r="485" spans="1:23" x14ac:dyDescent="0.35">
      <c r="A485">
        <v>10484</v>
      </c>
      <c r="B485" t="s">
        <v>27</v>
      </c>
      <c r="C485" t="s">
        <v>29</v>
      </c>
      <c r="D485" t="s">
        <v>39</v>
      </c>
      <c r="E485">
        <v>31885</v>
      </c>
      <c r="F485">
        <f ca="1">DATEDIF(Table1[[#This Row],[Hire Date]], TODAY(), "Y")</f>
        <v>18</v>
      </c>
      <c r="G485" s="7">
        <f ca="1">YEARFRAC(Table1[[#This Row],[Hire Date]], TODAY())</f>
        <v>18.255555555555556</v>
      </c>
      <c r="H485" s="7">
        <v>39375</v>
      </c>
      <c r="I485">
        <v>41</v>
      </c>
      <c r="J485" t="s">
        <v>42</v>
      </c>
      <c r="K485">
        <v>6</v>
      </c>
      <c r="L485" t="s">
        <v>45</v>
      </c>
      <c r="M485">
        <v>6783.33</v>
      </c>
      <c r="N485" t="s">
        <v>48</v>
      </c>
      <c r="O485" t="s">
        <v>54</v>
      </c>
      <c r="P485">
        <v>7</v>
      </c>
      <c r="Q485" t="s">
        <v>55</v>
      </c>
      <c r="R485" t="s">
        <v>58</v>
      </c>
      <c r="S485">
        <v>18</v>
      </c>
      <c r="T485">
        <v>2013</v>
      </c>
      <c r="U485" t="s">
        <v>65</v>
      </c>
      <c r="V485">
        <v>142</v>
      </c>
      <c r="W485">
        <v>3.9</v>
      </c>
    </row>
    <row r="486" spans="1:23" x14ac:dyDescent="0.35">
      <c r="A486">
        <v>10485</v>
      </c>
      <c r="B486" t="s">
        <v>23</v>
      </c>
      <c r="C486" t="s">
        <v>34</v>
      </c>
      <c r="D486" t="s">
        <v>38</v>
      </c>
      <c r="E486">
        <v>87819</v>
      </c>
      <c r="F486">
        <f ca="1">DATEDIF(Table1[[#This Row],[Hire Date]], TODAY(), "Y")</f>
        <v>24</v>
      </c>
      <c r="G486" s="7">
        <f ca="1">YEARFRAC(Table1[[#This Row],[Hire Date]], TODAY())</f>
        <v>24.552777777777777</v>
      </c>
      <c r="H486" s="7">
        <v>37075</v>
      </c>
      <c r="I486">
        <v>23</v>
      </c>
      <c r="J486" t="s">
        <v>43</v>
      </c>
      <c r="K486">
        <v>9</v>
      </c>
      <c r="L486" t="s">
        <v>45</v>
      </c>
      <c r="M486">
        <v>5946.3</v>
      </c>
      <c r="N486" t="s">
        <v>49</v>
      </c>
      <c r="O486" t="s">
        <v>53</v>
      </c>
      <c r="P486">
        <v>17</v>
      </c>
      <c r="Q486" t="s">
        <v>56</v>
      </c>
      <c r="R486" t="s">
        <v>61</v>
      </c>
      <c r="S486">
        <v>9</v>
      </c>
      <c r="T486">
        <v>2021</v>
      </c>
      <c r="U486" t="s">
        <v>65</v>
      </c>
      <c r="V486">
        <v>23</v>
      </c>
      <c r="W486">
        <v>1.9</v>
      </c>
    </row>
    <row r="487" spans="1:23" x14ac:dyDescent="0.35">
      <c r="A487">
        <v>10486</v>
      </c>
      <c r="B487" t="s">
        <v>27</v>
      </c>
      <c r="C487" t="s">
        <v>34</v>
      </c>
      <c r="D487" t="s">
        <v>39</v>
      </c>
      <c r="E487">
        <v>31049</v>
      </c>
      <c r="F487">
        <f ca="1">DATEDIF(Table1[[#This Row],[Hire Date]], TODAY(), "Y")</f>
        <v>22</v>
      </c>
      <c r="G487" s="7">
        <f ca="1">YEARFRAC(Table1[[#This Row],[Hire Date]], TODAY())</f>
        <v>22.038888888888888</v>
      </c>
      <c r="H487" s="7">
        <v>37994</v>
      </c>
      <c r="I487">
        <v>48</v>
      </c>
      <c r="J487" t="s">
        <v>43</v>
      </c>
      <c r="K487">
        <v>3</v>
      </c>
      <c r="L487" t="s">
        <v>44</v>
      </c>
      <c r="M487">
        <v>3684.86</v>
      </c>
      <c r="N487" t="s">
        <v>48</v>
      </c>
      <c r="O487" t="s">
        <v>51</v>
      </c>
      <c r="P487">
        <v>5</v>
      </c>
      <c r="Q487" t="s">
        <v>55</v>
      </c>
      <c r="R487" t="s">
        <v>58</v>
      </c>
      <c r="S487">
        <v>15</v>
      </c>
      <c r="T487">
        <v>2019</v>
      </c>
      <c r="U487" t="s">
        <v>64</v>
      </c>
      <c r="V487">
        <v>86</v>
      </c>
      <c r="W487">
        <v>1</v>
      </c>
    </row>
    <row r="488" spans="1:23" x14ac:dyDescent="0.35">
      <c r="A488">
        <v>10487</v>
      </c>
      <c r="B488" t="s">
        <v>24</v>
      </c>
      <c r="C488" t="s">
        <v>32</v>
      </c>
      <c r="D488" t="s">
        <v>37</v>
      </c>
      <c r="E488">
        <v>83281</v>
      </c>
      <c r="F488">
        <f ca="1">DATEDIF(Table1[[#This Row],[Hire Date]], TODAY(), "Y")</f>
        <v>9</v>
      </c>
      <c r="G488" s="7">
        <f ca="1">YEARFRAC(Table1[[#This Row],[Hire Date]], TODAY())</f>
        <v>9.0027777777777782</v>
      </c>
      <c r="H488" s="7">
        <v>42756</v>
      </c>
      <c r="I488">
        <v>53</v>
      </c>
      <c r="J488" t="s">
        <v>43</v>
      </c>
      <c r="K488">
        <v>5</v>
      </c>
      <c r="L488" t="s">
        <v>44</v>
      </c>
      <c r="M488">
        <v>3764.81</v>
      </c>
      <c r="N488" t="s">
        <v>47</v>
      </c>
      <c r="O488" t="s">
        <v>51</v>
      </c>
      <c r="P488">
        <v>39</v>
      </c>
      <c r="Q488" t="s">
        <v>57</v>
      </c>
      <c r="R488" t="s">
        <v>60</v>
      </c>
      <c r="S488">
        <v>5</v>
      </c>
      <c r="T488">
        <v>2015</v>
      </c>
      <c r="U488" t="s">
        <v>64</v>
      </c>
      <c r="V488">
        <v>160</v>
      </c>
      <c r="W488">
        <v>3.7</v>
      </c>
    </row>
    <row r="489" spans="1:23" x14ac:dyDescent="0.35">
      <c r="A489">
        <v>10488</v>
      </c>
      <c r="B489" t="s">
        <v>22</v>
      </c>
      <c r="C489" t="s">
        <v>31</v>
      </c>
      <c r="D489" t="s">
        <v>40</v>
      </c>
      <c r="E489">
        <v>73271</v>
      </c>
      <c r="F489">
        <f ca="1">DATEDIF(Table1[[#This Row],[Hire Date]], TODAY(), "Y")</f>
        <v>23</v>
      </c>
      <c r="G489" s="7">
        <f ca="1">YEARFRAC(Table1[[#This Row],[Hire Date]], TODAY())</f>
        <v>23.777777777777779</v>
      </c>
      <c r="H489" s="7">
        <v>37358</v>
      </c>
      <c r="I489">
        <v>31</v>
      </c>
      <c r="J489" t="s">
        <v>42</v>
      </c>
      <c r="K489">
        <v>9</v>
      </c>
      <c r="L489" t="s">
        <v>44</v>
      </c>
      <c r="M489">
        <v>4283</v>
      </c>
      <c r="N489" t="s">
        <v>46</v>
      </c>
      <c r="O489" t="s">
        <v>53</v>
      </c>
      <c r="P489">
        <v>2</v>
      </c>
      <c r="Q489" t="s">
        <v>57</v>
      </c>
      <c r="R489" t="s">
        <v>62</v>
      </c>
      <c r="S489">
        <v>8</v>
      </c>
      <c r="T489">
        <v>2015</v>
      </c>
      <c r="U489" t="s">
        <v>65</v>
      </c>
      <c r="V489">
        <v>99</v>
      </c>
      <c r="W489">
        <v>1.5</v>
      </c>
    </row>
    <row r="490" spans="1:23" x14ac:dyDescent="0.35">
      <c r="A490">
        <v>10489</v>
      </c>
      <c r="B490" t="s">
        <v>28</v>
      </c>
      <c r="C490" t="s">
        <v>32</v>
      </c>
      <c r="D490" t="s">
        <v>41</v>
      </c>
      <c r="E490">
        <v>96697</v>
      </c>
      <c r="F490">
        <f ca="1">DATEDIF(Table1[[#This Row],[Hire Date]], TODAY(), "Y")</f>
        <v>13</v>
      </c>
      <c r="G490" s="7">
        <f ca="1">YEARFRAC(Table1[[#This Row],[Hire Date]], TODAY())</f>
        <v>13.786111111111111</v>
      </c>
      <c r="H490" s="7">
        <v>41008</v>
      </c>
      <c r="I490">
        <v>61</v>
      </c>
      <c r="J490" t="s">
        <v>42</v>
      </c>
      <c r="K490">
        <v>6</v>
      </c>
      <c r="L490" t="s">
        <v>45</v>
      </c>
      <c r="M490">
        <v>3265.82</v>
      </c>
      <c r="N490" t="s">
        <v>46</v>
      </c>
      <c r="O490" t="s">
        <v>54</v>
      </c>
      <c r="P490">
        <v>27</v>
      </c>
      <c r="Q490" t="s">
        <v>57</v>
      </c>
      <c r="R490" t="s">
        <v>62</v>
      </c>
      <c r="S490">
        <v>7</v>
      </c>
      <c r="T490">
        <v>2023</v>
      </c>
      <c r="U490" t="s">
        <v>66</v>
      </c>
      <c r="V490">
        <v>21</v>
      </c>
      <c r="W490">
        <v>2</v>
      </c>
    </row>
    <row r="491" spans="1:23" x14ac:dyDescent="0.35">
      <c r="A491">
        <v>10490</v>
      </c>
      <c r="B491" t="s">
        <v>23</v>
      </c>
      <c r="C491" t="s">
        <v>29</v>
      </c>
      <c r="D491" t="s">
        <v>40</v>
      </c>
      <c r="E491">
        <v>96351</v>
      </c>
      <c r="F491">
        <f ca="1">DATEDIF(Table1[[#This Row],[Hire Date]], TODAY(), "Y")</f>
        <v>12</v>
      </c>
      <c r="G491" s="7">
        <f ca="1">YEARFRAC(Table1[[#This Row],[Hire Date]], TODAY())</f>
        <v>12.21111111111111</v>
      </c>
      <c r="H491" s="7">
        <v>41584</v>
      </c>
      <c r="I491">
        <v>38</v>
      </c>
      <c r="J491" t="s">
        <v>42</v>
      </c>
      <c r="K491">
        <v>2</v>
      </c>
      <c r="L491" t="s">
        <v>44</v>
      </c>
      <c r="M491">
        <v>7247.29</v>
      </c>
      <c r="N491" t="s">
        <v>49</v>
      </c>
      <c r="O491" t="s">
        <v>50</v>
      </c>
      <c r="P491">
        <v>24</v>
      </c>
      <c r="Q491" t="s">
        <v>55</v>
      </c>
      <c r="R491" t="s">
        <v>61</v>
      </c>
      <c r="S491">
        <v>15</v>
      </c>
      <c r="T491">
        <v>2019</v>
      </c>
      <c r="U491" t="s">
        <v>64</v>
      </c>
      <c r="V491">
        <v>28</v>
      </c>
      <c r="W491">
        <v>2.2000000000000002</v>
      </c>
    </row>
    <row r="492" spans="1:23" x14ac:dyDescent="0.35">
      <c r="A492">
        <v>10491</v>
      </c>
      <c r="B492" t="s">
        <v>25</v>
      </c>
      <c r="C492" t="s">
        <v>31</v>
      </c>
      <c r="D492" t="s">
        <v>36</v>
      </c>
      <c r="E492">
        <v>66534</v>
      </c>
      <c r="F492">
        <f ca="1">DATEDIF(Table1[[#This Row],[Hire Date]], TODAY(), "Y")</f>
        <v>7</v>
      </c>
      <c r="G492" s="7">
        <f ca="1">YEARFRAC(Table1[[#This Row],[Hire Date]], TODAY())</f>
        <v>7.4083333333333332</v>
      </c>
      <c r="H492" s="7">
        <v>43337</v>
      </c>
      <c r="I492">
        <v>54</v>
      </c>
      <c r="J492" t="s">
        <v>43</v>
      </c>
      <c r="K492">
        <v>1</v>
      </c>
      <c r="L492" t="s">
        <v>45</v>
      </c>
      <c r="M492">
        <v>6687.9</v>
      </c>
      <c r="N492" t="s">
        <v>48</v>
      </c>
      <c r="O492" t="s">
        <v>52</v>
      </c>
      <c r="P492">
        <v>28</v>
      </c>
      <c r="Q492" t="s">
        <v>56</v>
      </c>
      <c r="R492" t="s">
        <v>59</v>
      </c>
      <c r="S492">
        <v>7</v>
      </c>
      <c r="T492">
        <v>2023</v>
      </c>
      <c r="U492" t="s">
        <v>66</v>
      </c>
      <c r="V492">
        <v>133</v>
      </c>
      <c r="W492">
        <v>4</v>
      </c>
    </row>
    <row r="493" spans="1:23" x14ac:dyDescent="0.35">
      <c r="A493">
        <v>10492</v>
      </c>
      <c r="B493" t="s">
        <v>23</v>
      </c>
      <c r="C493" t="s">
        <v>33</v>
      </c>
      <c r="D493" t="s">
        <v>41</v>
      </c>
      <c r="E493">
        <v>88097</v>
      </c>
      <c r="F493">
        <f ca="1">DATEDIF(Table1[[#This Row],[Hire Date]], TODAY(), "Y")</f>
        <v>22</v>
      </c>
      <c r="G493" s="7">
        <f ca="1">YEARFRAC(Table1[[#This Row],[Hire Date]], TODAY())</f>
        <v>22.166666666666668</v>
      </c>
      <c r="H493" s="7">
        <v>37947</v>
      </c>
      <c r="I493">
        <v>27</v>
      </c>
      <c r="J493" t="s">
        <v>43</v>
      </c>
      <c r="K493">
        <v>9</v>
      </c>
      <c r="L493" t="s">
        <v>44</v>
      </c>
      <c r="M493">
        <v>4687.3900000000003</v>
      </c>
      <c r="N493" t="s">
        <v>48</v>
      </c>
      <c r="O493" t="s">
        <v>54</v>
      </c>
      <c r="P493">
        <v>1</v>
      </c>
      <c r="Q493" t="s">
        <v>56</v>
      </c>
      <c r="R493" t="s">
        <v>60</v>
      </c>
      <c r="S493">
        <v>17</v>
      </c>
      <c r="T493">
        <v>2012</v>
      </c>
      <c r="U493" t="s">
        <v>65</v>
      </c>
      <c r="V493">
        <v>9</v>
      </c>
      <c r="W493">
        <v>3.5</v>
      </c>
    </row>
    <row r="494" spans="1:23" x14ac:dyDescent="0.35">
      <c r="A494">
        <v>10493</v>
      </c>
      <c r="B494" t="s">
        <v>28</v>
      </c>
      <c r="C494" t="s">
        <v>33</v>
      </c>
      <c r="D494" t="s">
        <v>38</v>
      </c>
      <c r="E494">
        <v>83813</v>
      </c>
      <c r="F494">
        <f ca="1">DATEDIF(Table1[[#This Row],[Hire Date]], TODAY(), "Y")</f>
        <v>25</v>
      </c>
      <c r="G494" s="7">
        <f ca="1">YEARFRAC(Table1[[#This Row],[Hire Date]], TODAY())</f>
        <v>25.277777777777779</v>
      </c>
      <c r="H494" s="7">
        <v>36811</v>
      </c>
      <c r="I494">
        <v>60</v>
      </c>
      <c r="J494" t="s">
        <v>43</v>
      </c>
      <c r="K494">
        <v>1</v>
      </c>
      <c r="L494" t="s">
        <v>44</v>
      </c>
      <c r="M494">
        <v>4279.62</v>
      </c>
      <c r="N494" t="s">
        <v>49</v>
      </c>
      <c r="O494" t="s">
        <v>53</v>
      </c>
      <c r="P494">
        <v>21</v>
      </c>
      <c r="Q494" t="s">
        <v>56</v>
      </c>
      <c r="R494" t="s">
        <v>61</v>
      </c>
      <c r="S494">
        <v>4</v>
      </c>
      <c r="T494">
        <v>2016</v>
      </c>
      <c r="U494" t="s">
        <v>64</v>
      </c>
      <c r="V494">
        <v>164</v>
      </c>
      <c r="W494">
        <v>1.7</v>
      </c>
    </row>
    <row r="495" spans="1:23" x14ac:dyDescent="0.35">
      <c r="A495">
        <v>10494</v>
      </c>
      <c r="B495" t="s">
        <v>27</v>
      </c>
      <c r="C495" t="s">
        <v>29</v>
      </c>
      <c r="D495" t="s">
        <v>37</v>
      </c>
      <c r="E495">
        <v>55037</v>
      </c>
      <c r="F495">
        <f ca="1">DATEDIF(Table1[[#This Row],[Hire Date]], TODAY(), "Y")</f>
        <v>18</v>
      </c>
      <c r="G495" s="7">
        <f ca="1">YEARFRAC(Table1[[#This Row],[Hire Date]], TODAY())</f>
        <v>18.538888888888888</v>
      </c>
      <c r="H495" s="7">
        <v>39271</v>
      </c>
      <c r="I495">
        <v>39</v>
      </c>
      <c r="J495" t="s">
        <v>42</v>
      </c>
      <c r="K495">
        <v>5</v>
      </c>
      <c r="L495" t="s">
        <v>44</v>
      </c>
      <c r="M495">
        <v>3967.99</v>
      </c>
      <c r="N495" t="s">
        <v>49</v>
      </c>
      <c r="O495" t="s">
        <v>51</v>
      </c>
      <c r="P495">
        <v>28</v>
      </c>
      <c r="Q495" t="s">
        <v>56</v>
      </c>
      <c r="R495" t="s">
        <v>62</v>
      </c>
      <c r="S495">
        <v>19</v>
      </c>
      <c r="T495">
        <v>2010</v>
      </c>
      <c r="U495" t="s">
        <v>64</v>
      </c>
      <c r="V495">
        <v>57</v>
      </c>
      <c r="W495">
        <v>3.4</v>
      </c>
    </row>
    <row r="496" spans="1:23" x14ac:dyDescent="0.35">
      <c r="A496">
        <v>10495</v>
      </c>
      <c r="B496" t="s">
        <v>23</v>
      </c>
      <c r="C496" t="s">
        <v>32</v>
      </c>
      <c r="D496" t="s">
        <v>37</v>
      </c>
      <c r="E496">
        <v>66007</v>
      </c>
      <c r="F496">
        <f ca="1">DATEDIF(Table1[[#This Row],[Hire Date]], TODAY(), "Y")</f>
        <v>15</v>
      </c>
      <c r="G496" s="7">
        <f ca="1">YEARFRAC(Table1[[#This Row],[Hire Date]], TODAY())</f>
        <v>15.747222222222222</v>
      </c>
      <c r="H496" s="7">
        <v>40291</v>
      </c>
      <c r="I496">
        <v>30</v>
      </c>
      <c r="J496" t="s">
        <v>43</v>
      </c>
      <c r="K496">
        <v>1</v>
      </c>
      <c r="L496" t="s">
        <v>45</v>
      </c>
      <c r="M496">
        <v>3192.95</v>
      </c>
      <c r="N496" t="s">
        <v>49</v>
      </c>
      <c r="O496" t="s">
        <v>51</v>
      </c>
      <c r="P496">
        <v>3</v>
      </c>
      <c r="Q496" t="s">
        <v>56</v>
      </c>
      <c r="R496" t="s">
        <v>63</v>
      </c>
      <c r="S496">
        <v>11</v>
      </c>
      <c r="T496">
        <v>2020</v>
      </c>
      <c r="U496" t="s">
        <v>65</v>
      </c>
      <c r="V496">
        <v>85</v>
      </c>
      <c r="W496">
        <v>3.8</v>
      </c>
    </row>
    <row r="497" spans="1:23" x14ac:dyDescent="0.35">
      <c r="A497">
        <v>10496</v>
      </c>
      <c r="B497" t="s">
        <v>21</v>
      </c>
      <c r="C497" t="s">
        <v>35</v>
      </c>
      <c r="D497" t="s">
        <v>38</v>
      </c>
      <c r="E497">
        <v>109478</v>
      </c>
      <c r="F497">
        <f ca="1">DATEDIF(Table1[[#This Row],[Hire Date]], TODAY(), "Y")</f>
        <v>6</v>
      </c>
      <c r="G497" s="7">
        <f ca="1">YEARFRAC(Table1[[#This Row],[Hire Date]], TODAY())</f>
        <v>6.5944444444444441</v>
      </c>
      <c r="H497" s="7">
        <v>43634</v>
      </c>
      <c r="I497">
        <v>29</v>
      </c>
      <c r="J497" t="s">
        <v>43</v>
      </c>
      <c r="K497">
        <v>5</v>
      </c>
      <c r="L497" t="s">
        <v>44</v>
      </c>
      <c r="M497">
        <v>1314.12</v>
      </c>
      <c r="N497" t="s">
        <v>49</v>
      </c>
      <c r="O497" t="s">
        <v>54</v>
      </c>
      <c r="P497">
        <v>30</v>
      </c>
      <c r="Q497" t="s">
        <v>55</v>
      </c>
      <c r="R497" t="s">
        <v>61</v>
      </c>
      <c r="S497">
        <v>5</v>
      </c>
      <c r="T497">
        <v>2017</v>
      </c>
      <c r="U497" t="s">
        <v>65</v>
      </c>
      <c r="V497">
        <v>189</v>
      </c>
      <c r="W497">
        <v>2.6</v>
      </c>
    </row>
    <row r="498" spans="1:23" x14ac:dyDescent="0.35">
      <c r="A498">
        <v>10497</v>
      </c>
      <c r="B498" t="s">
        <v>24</v>
      </c>
      <c r="C498" t="s">
        <v>29</v>
      </c>
      <c r="D498" t="s">
        <v>36</v>
      </c>
      <c r="E498">
        <v>57278</v>
      </c>
      <c r="F498">
        <f ca="1">DATEDIF(Table1[[#This Row],[Hire Date]], TODAY(), "Y")</f>
        <v>13</v>
      </c>
      <c r="G498" s="7">
        <f ca="1">YEARFRAC(Table1[[#This Row],[Hire Date]], TODAY())</f>
        <v>13.833333333333334</v>
      </c>
      <c r="H498" s="7">
        <v>40990</v>
      </c>
      <c r="I498">
        <v>46</v>
      </c>
      <c r="J498" t="s">
        <v>42</v>
      </c>
      <c r="K498">
        <v>5</v>
      </c>
      <c r="L498" t="s">
        <v>44</v>
      </c>
      <c r="M498">
        <v>3047.94</v>
      </c>
      <c r="N498" t="s">
        <v>46</v>
      </c>
      <c r="O498" t="s">
        <v>50</v>
      </c>
      <c r="P498">
        <v>1</v>
      </c>
      <c r="Q498" t="s">
        <v>57</v>
      </c>
      <c r="R498" t="s">
        <v>58</v>
      </c>
      <c r="S498">
        <v>1</v>
      </c>
      <c r="T498">
        <v>2017</v>
      </c>
      <c r="U498" t="s">
        <v>66</v>
      </c>
      <c r="V498">
        <v>175</v>
      </c>
      <c r="W498">
        <v>2</v>
      </c>
    </row>
    <row r="499" spans="1:23" x14ac:dyDescent="0.35">
      <c r="A499">
        <v>10498</v>
      </c>
      <c r="B499" t="s">
        <v>22</v>
      </c>
      <c r="C499" t="s">
        <v>30</v>
      </c>
      <c r="D499" t="s">
        <v>38</v>
      </c>
      <c r="E499">
        <v>38272</v>
      </c>
      <c r="F499">
        <f ca="1">DATEDIF(Table1[[#This Row],[Hire Date]], TODAY(), "Y")</f>
        <v>7</v>
      </c>
      <c r="G499" s="7">
        <f ca="1">YEARFRAC(Table1[[#This Row],[Hire Date]], TODAY())</f>
        <v>7.4444444444444446</v>
      </c>
      <c r="H499" s="7">
        <v>43324</v>
      </c>
      <c r="I499">
        <v>52</v>
      </c>
      <c r="J499" t="s">
        <v>43</v>
      </c>
      <c r="K499">
        <v>7</v>
      </c>
      <c r="L499" t="s">
        <v>45</v>
      </c>
      <c r="M499">
        <v>3551.41</v>
      </c>
      <c r="N499" t="s">
        <v>49</v>
      </c>
      <c r="O499" t="s">
        <v>53</v>
      </c>
      <c r="P499">
        <v>18</v>
      </c>
      <c r="Q499" t="s">
        <v>55</v>
      </c>
      <c r="R499" t="s">
        <v>62</v>
      </c>
      <c r="S499">
        <v>3</v>
      </c>
      <c r="T499">
        <v>2017</v>
      </c>
      <c r="U499" t="s">
        <v>66</v>
      </c>
      <c r="V499">
        <v>90</v>
      </c>
      <c r="W499">
        <v>3.7</v>
      </c>
    </row>
    <row r="500" spans="1:23" x14ac:dyDescent="0.35">
      <c r="A500">
        <v>10499</v>
      </c>
      <c r="B500" t="s">
        <v>28</v>
      </c>
      <c r="C500" t="s">
        <v>31</v>
      </c>
      <c r="D500" t="s">
        <v>39</v>
      </c>
      <c r="E500">
        <v>87183</v>
      </c>
      <c r="F500">
        <f ca="1">DATEDIF(Table1[[#This Row],[Hire Date]], TODAY(), "Y")</f>
        <v>22</v>
      </c>
      <c r="G500" s="7">
        <f ca="1">YEARFRAC(Table1[[#This Row],[Hire Date]], TODAY())</f>
        <v>22.1</v>
      </c>
      <c r="H500" s="7">
        <v>37971</v>
      </c>
      <c r="I500">
        <v>63</v>
      </c>
      <c r="J500" t="s">
        <v>42</v>
      </c>
      <c r="K500">
        <v>7</v>
      </c>
      <c r="L500" t="s">
        <v>45</v>
      </c>
      <c r="M500">
        <v>5703</v>
      </c>
      <c r="N500" t="s">
        <v>48</v>
      </c>
      <c r="O500" t="s">
        <v>53</v>
      </c>
      <c r="P500">
        <v>33</v>
      </c>
      <c r="Q500" t="s">
        <v>56</v>
      </c>
      <c r="R500" t="s">
        <v>58</v>
      </c>
      <c r="S500">
        <v>15</v>
      </c>
      <c r="T500">
        <v>2018</v>
      </c>
      <c r="U500" t="s">
        <v>65</v>
      </c>
      <c r="V500">
        <v>107</v>
      </c>
      <c r="W500">
        <v>3.4</v>
      </c>
    </row>
    <row r="501" spans="1:23" x14ac:dyDescent="0.35">
      <c r="A501">
        <v>10500</v>
      </c>
      <c r="B501" t="s">
        <v>22</v>
      </c>
      <c r="C501" t="s">
        <v>31</v>
      </c>
      <c r="D501" t="s">
        <v>36</v>
      </c>
      <c r="E501">
        <v>68294</v>
      </c>
      <c r="F501">
        <f ca="1">DATEDIF(Table1[[#This Row],[Hire Date]], TODAY(), "Y")</f>
        <v>10</v>
      </c>
      <c r="G501" s="7">
        <f ca="1">YEARFRAC(Table1[[#This Row],[Hire Date]], TODAY())</f>
        <v>10.074999999999999</v>
      </c>
      <c r="H501" s="7">
        <v>42363</v>
      </c>
      <c r="I501">
        <v>25</v>
      </c>
      <c r="J501" t="s">
        <v>42</v>
      </c>
      <c r="K501">
        <v>1</v>
      </c>
      <c r="L501" t="s">
        <v>44</v>
      </c>
      <c r="M501">
        <v>7850.99</v>
      </c>
      <c r="N501" t="s">
        <v>47</v>
      </c>
      <c r="O501" t="s">
        <v>50</v>
      </c>
      <c r="P501">
        <v>15</v>
      </c>
      <c r="Q501" t="s">
        <v>55</v>
      </c>
      <c r="R501" t="s">
        <v>60</v>
      </c>
      <c r="S501">
        <v>13</v>
      </c>
      <c r="T501">
        <v>2013</v>
      </c>
      <c r="U501" t="s">
        <v>65</v>
      </c>
      <c r="V501">
        <v>171</v>
      </c>
      <c r="W501">
        <v>1.3</v>
      </c>
    </row>
    <row r="502" spans="1:23" x14ac:dyDescent="0.35">
      <c r="A502">
        <v>10501</v>
      </c>
      <c r="B502" t="s">
        <v>21</v>
      </c>
      <c r="C502" t="s">
        <v>34</v>
      </c>
      <c r="D502" t="s">
        <v>41</v>
      </c>
      <c r="E502">
        <v>103277</v>
      </c>
      <c r="F502">
        <f ca="1">DATEDIF(Table1[[#This Row],[Hire Date]], TODAY(), "Y")</f>
        <v>7</v>
      </c>
      <c r="G502" s="7">
        <f ca="1">YEARFRAC(Table1[[#This Row],[Hire Date]], TODAY())</f>
        <v>7.447222222222222</v>
      </c>
      <c r="H502" s="7">
        <v>43323</v>
      </c>
      <c r="I502">
        <v>41</v>
      </c>
      <c r="J502" t="s">
        <v>42</v>
      </c>
      <c r="K502">
        <v>9</v>
      </c>
      <c r="L502" t="s">
        <v>44</v>
      </c>
      <c r="M502">
        <v>4259.17</v>
      </c>
      <c r="N502" t="s">
        <v>48</v>
      </c>
      <c r="O502" t="s">
        <v>50</v>
      </c>
      <c r="P502">
        <v>24</v>
      </c>
      <c r="Q502" t="s">
        <v>55</v>
      </c>
      <c r="R502" t="s">
        <v>59</v>
      </c>
      <c r="S502">
        <v>16</v>
      </c>
      <c r="T502">
        <v>2015</v>
      </c>
      <c r="U502" t="s">
        <v>65</v>
      </c>
      <c r="V502">
        <v>166</v>
      </c>
      <c r="W502">
        <v>3.7</v>
      </c>
    </row>
    <row r="503" spans="1:23" x14ac:dyDescent="0.35">
      <c r="A503">
        <v>10502</v>
      </c>
      <c r="B503" t="s">
        <v>23</v>
      </c>
      <c r="C503" t="s">
        <v>33</v>
      </c>
      <c r="D503" t="s">
        <v>38</v>
      </c>
      <c r="E503">
        <v>92509</v>
      </c>
      <c r="F503">
        <f ca="1">DATEDIF(Table1[[#This Row],[Hire Date]], TODAY(), "Y")</f>
        <v>7</v>
      </c>
      <c r="G503" s="7">
        <f ca="1">YEARFRAC(Table1[[#This Row],[Hire Date]], TODAY())</f>
        <v>7.3305555555555557</v>
      </c>
      <c r="H503" s="7">
        <v>43366</v>
      </c>
      <c r="I503">
        <v>49</v>
      </c>
      <c r="J503" t="s">
        <v>43</v>
      </c>
      <c r="K503">
        <v>1</v>
      </c>
      <c r="L503" t="s">
        <v>44</v>
      </c>
      <c r="M503">
        <v>9475.19</v>
      </c>
      <c r="N503" t="s">
        <v>49</v>
      </c>
      <c r="O503" t="s">
        <v>54</v>
      </c>
      <c r="P503">
        <v>36</v>
      </c>
      <c r="Q503" t="s">
        <v>55</v>
      </c>
      <c r="R503" t="s">
        <v>59</v>
      </c>
      <c r="S503">
        <v>18</v>
      </c>
      <c r="T503">
        <v>2020</v>
      </c>
      <c r="U503" t="s">
        <v>64</v>
      </c>
      <c r="V503">
        <v>84</v>
      </c>
      <c r="W503">
        <v>3</v>
      </c>
    </row>
    <row r="504" spans="1:23" x14ac:dyDescent="0.35">
      <c r="A504">
        <v>10503</v>
      </c>
      <c r="B504" t="s">
        <v>23</v>
      </c>
      <c r="C504" t="s">
        <v>31</v>
      </c>
      <c r="D504" t="s">
        <v>36</v>
      </c>
      <c r="E504">
        <v>34694</v>
      </c>
      <c r="F504">
        <f ca="1">DATEDIF(Table1[[#This Row],[Hire Date]], TODAY(), "Y")</f>
        <v>22</v>
      </c>
      <c r="G504" s="7">
        <f ca="1">YEARFRAC(Table1[[#This Row],[Hire Date]], TODAY())</f>
        <v>22.044444444444444</v>
      </c>
      <c r="H504" s="7">
        <v>37992</v>
      </c>
      <c r="I504">
        <v>61</v>
      </c>
      <c r="J504" t="s">
        <v>43</v>
      </c>
      <c r="K504">
        <v>5</v>
      </c>
      <c r="L504" t="s">
        <v>45</v>
      </c>
      <c r="M504">
        <v>8359.82</v>
      </c>
      <c r="N504" t="s">
        <v>46</v>
      </c>
      <c r="O504" t="s">
        <v>54</v>
      </c>
      <c r="P504">
        <v>34</v>
      </c>
      <c r="Q504" t="s">
        <v>56</v>
      </c>
      <c r="R504" t="s">
        <v>62</v>
      </c>
      <c r="S504">
        <v>3</v>
      </c>
      <c r="T504">
        <v>2021</v>
      </c>
      <c r="U504" t="s">
        <v>65</v>
      </c>
      <c r="V504">
        <v>9</v>
      </c>
      <c r="W504">
        <v>4</v>
      </c>
    </row>
    <row r="505" spans="1:23" x14ac:dyDescent="0.35">
      <c r="A505">
        <v>10504</v>
      </c>
      <c r="B505" t="s">
        <v>25</v>
      </c>
      <c r="C505" t="s">
        <v>29</v>
      </c>
      <c r="D505" t="s">
        <v>41</v>
      </c>
      <c r="E505">
        <v>88150</v>
      </c>
      <c r="F505">
        <f ca="1">DATEDIF(Table1[[#This Row],[Hire Date]], TODAY(), "Y")</f>
        <v>21</v>
      </c>
      <c r="G505" s="7">
        <f ca="1">YEARFRAC(Table1[[#This Row],[Hire Date]], TODAY())</f>
        <v>21.197222222222223</v>
      </c>
      <c r="H505" s="7">
        <v>38302</v>
      </c>
      <c r="I505">
        <v>22</v>
      </c>
      <c r="J505" t="s">
        <v>42</v>
      </c>
      <c r="K505">
        <v>7</v>
      </c>
      <c r="L505" t="s">
        <v>45</v>
      </c>
      <c r="M505">
        <v>9855.6200000000008</v>
      </c>
      <c r="N505" t="s">
        <v>49</v>
      </c>
      <c r="O505" t="s">
        <v>51</v>
      </c>
      <c r="P505">
        <v>26</v>
      </c>
      <c r="Q505" t="s">
        <v>56</v>
      </c>
      <c r="R505" t="s">
        <v>62</v>
      </c>
      <c r="S505">
        <v>17</v>
      </c>
      <c r="T505">
        <v>2016</v>
      </c>
      <c r="U505" t="s">
        <v>64</v>
      </c>
      <c r="V505">
        <v>22</v>
      </c>
      <c r="W505">
        <v>1.8</v>
      </c>
    </row>
    <row r="506" spans="1:23" x14ac:dyDescent="0.35">
      <c r="A506">
        <v>10505</v>
      </c>
      <c r="B506" t="s">
        <v>21</v>
      </c>
      <c r="C506" t="s">
        <v>31</v>
      </c>
      <c r="D506" t="s">
        <v>38</v>
      </c>
      <c r="E506">
        <v>97470</v>
      </c>
      <c r="F506">
        <f ca="1">DATEDIF(Table1[[#This Row],[Hire Date]], TODAY(), "Y")</f>
        <v>10</v>
      </c>
      <c r="G506" s="7">
        <f ca="1">YEARFRAC(Table1[[#This Row],[Hire Date]], TODAY())</f>
        <v>10.616666666666667</v>
      </c>
      <c r="H506" s="7">
        <v>42165</v>
      </c>
      <c r="I506">
        <v>61</v>
      </c>
      <c r="J506" t="s">
        <v>43</v>
      </c>
      <c r="K506">
        <v>8</v>
      </c>
      <c r="L506" t="s">
        <v>44</v>
      </c>
      <c r="M506">
        <v>8823.93</v>
      </c>
      <c r="N506" t="s">
        <v>47</v>
      </c>
      <c r="O506" t="s">
        <v>51</v>
      </c>
      <c r="P506">
        <v>22</v>
      </c>
      <c r="Q506" t="s">
        <v>56</v>
      </c>
      <c r="R506" t="s">
        <v>59</v>
      </c>
      <c r="S506">
        <v>11</v>
      </c>
      <c r="T506">
        <v>2011</v>
      </c>
      <c r="U506" t="s">
        <v>65</v>
      </c>
      <c r="V506">
        <v>136</v>
      </c>
      <c r="W506">
        <v>2</v>
      </c>
    </row>
    <row r="507" spans="1:23" x14ac:dyDescent="0.35">
      <c r="A507">
        <v>10506</v>
      </c>
      <c r="B507" t="s">
        <v>28</v>
      </c>
      <c r="C507" t="s">
        <v>29</v>
      </c>
      <c r="D507" t="s">
        <v>37</v>
      </c>
      <c r="E507">
        <v>51556</v>
      </c>
      <c r="F507">
        <f ca="1">DATEDIF(Table1[[#This Row],[Hire Date]], TODAY(), "Y")</f>
        <v>6</v>
      </c>
      <c r="G507" s="7">
        <f ca="1">YEARFRAC(Table1[[#This Row],[Hire Date]], TODAY())</f>
        <v>6.4333333333333336</v>
      </c>
      <c r="H507" s="7">
        <v>43693</v>
      </c>
      <c r="I507">
        <v>44</v>
      </c>
      <c r="J507" t="s">
        <v>42</v>
      </c>
      <c r="K507">
        <v>2</v>
      </c>
      <c r="L507" t="s">
        <v>44</v>
      </c>
      <c r="M507">
        <v>6358.9</v>
      </c>
      <c r="N507" t="s">
        <v>49</v>
      </c>
      <c r="O507" t="s">
        <v>50</v>
      </c>
      <c r="P507">
        <v>16</v>
      </c>
      <c r="Q507" t="s">
        <v>55</v>
      </c>
      <c r="R507" t="s">
        <v>61</v>
      </c>
      <c r="S507">
        <v>1</v>
      </c>
      <c r="T507">
        <v>2015</v>
      </c>
      <c r="U507" t="s">
        <v>64</v>
      </c>
      <c r="V507">
        <v>113</v>
      </c>
      <c r="W507">
        <v>3.2</v>
      </c>
    </row>
    <row r="508" spans="1:23" x14ac:dyDescent="0.35">
      <c r="A508">
        <v>10507</v>
      </c>
      <c r="B508" t="s">
        <v>25</v>
      </c>
      <c r="C508" t="s">
        <v>35</v>
      </c>
      <c r="D508" t="s">
        <v>38</v>
      </c>
      <c r="E508">
        <v>94471</v>
      </c>
      <c r="F508">
        <f ca="1">DATEDIF(Table1[[#This Row],[Hire Date]], TODAY(), "Y")</f>
        <v>16</v>
      </c>
      <c r="G508" s="7">
        <f ca="1">YEARFRAC(Table1[[#This Row],[Hire Date]], TODAY())</f>
        <v>16.052777777777777</v>
      </c>
      <c r="H508" s="7">
        <v>40181</v>
      </c>
      <c r="I508">
        <v>34</v>
      </c>
      <c r="J508" t="s">
        <v>43</v>
      </c>
      <c r="K508">
        <v>1</v>
      </c>
      <c r="L508" t="s">
        <v>44</v>
      </c>
      <c r="M508">
        <v>6185.55</v>
      </c>
      <c r="N508" t="s">
        <v>47</v>
      </c>
      <c r="O508" t="s">
        <v>52</v>
      </c>
      <c r="P508">
        <v>16</v>
      </c>
      <c r="Q508" t="s">
        <v>55</v>
      </c>
      <c r="R508" t="s">
        <v>59</v>
      </c>
      <c r="S508">
        <v>5</v>
      </c>
      <c r="T508">
        <v>2017</v>
      </c>
      <c r="U508" t="s">
        <v>66</v>
      </c>
      <c r="V508">
        <v>95</v>
      </c>
      <c r="W508">
        <v>2.9</v>
      </c>
    </row>
    <row r="509" spans="1:23" x14ac:dyDescent="0.35">
      <c r="A509">
        <v>10508</v>
      </c>
      <c r="B509" t="s">
        <v>24</v>
      </c>
      <c r="C509" t="s">
        <v>34</v>
      </c>
      <c r="D509" t="s">
        <v>40</v>
      </c>
      <c r="E509">
        <v>79855</v>
      </c>
      <c r="F509">
        <f ca="1">DATEDIF(Table1[[#This Row],[Hire Date]], TODAY(), "Y")</f>
        <v>23</v>
      </c>
      <c r="G509" s="7">
        <f ca="1">YEARFRAC(Table1[[#This Row],[Hire Date]], TODAY())</f>
        <v>23.552777777777777</v>
      </c>
      <c r="H509" s="7">
        <v>37440</v>
      </c>
      <c r="I509">
        <v>37</v>
      </c>
      <c r="J509" t="s">
        <v>42</v>
      </c>
      <c r="K509">
        <v>4</v>
      </c>
      <c r="L509" t="s">
        <v>44</v>
      </c>
      <c r="M509">
        <v>1730.5</v>
      </c>
      <c r="N509" t="s">
        <v>49</v>
      </c>
      <c r="O509" t="s">
        <v>52</v>
      </c>
      <c r="P509">
        <v>5</v>
      </c>
      <c r="Q509" t="s">
        <v>57</v>
      </c>
      <c r="R509" t="s">
        <v>59</v>
      </c>
      <c r="S509">
        <v>5</v>
      </c>
      <c r="T509">
        <v>2013</v>
      </c>
      <c r="U509" t="s">
        <v>66</v>
      </c>
      <c r="V509">
        <v>74</v>
      </c>
      <c r="W509">
        <v>2.5</v>
      </c>
    </row>
    <row r="510" spans="1:23" x14ac:dyDescent="0.35">
      <c r="A510">
        <v>10509</v>
      </c>
      <c r="B510" t="s">
        <v>25</v>
      </c>
      <c r="C510" t="s">
        <v>33</v>
      </c>
      <c r="D510" t="s">
        <v>38</v>
      </c>
      <c r="E510">
        <v>79086</v>
      </c>
      <c r="F510">
        <f ca="1">DATEDIF(Table1[[#This Row],[Hire Date]], TODAY(), "Y")</f>
        <v>25</v>
      </c>
      <c r="G510" s="7">
        <f ca="1">YEARFRAC(Table1[[#This Row],[Hire Date]], TODAY())</f>
        <v>25.272222222222222</v>
      </c>
      <c r="H510" s="7">
        <v>36813</v>
      </c>
      <c r="I510">
        <v>47</v>
      </c>
      <c r="J510" t="s">
        <v>42</v>
      </c>
      <c r="K510">
        <v>4</v>
      </c>
      <c r="L510" t="s">
        <v>45</v>
      </c>
      <c r="M510">
        <v>7362.79</v>
      </c>
      <c r="N510" t="s">
        <v>46</v>
      </c>
      <c r="O510" t="s">
        <v>52</v>
      </c>
      <c r="P510">
        <v>6</v>
      </c>
      <c r="Q510" t="s">
        <v>57</v>
      </c>
      <c r="R510" t="s">
        <v>61</v>
      </c>
      <c r="S510">
        <v>2</v>
      </c>
      <c r="T510">
        <v>2014</v>
      </c>
      <c r="U510" t="s">
        <v>64</v>
      </c>
      <c r="V510">
        <v>143</v>
      </c>
      <c r="W510">
        <v>4</v>
      </c>
    </row>
    <row r="511" spans="1:23" x14ac:dyDescent="0.35">
      <c r="A511">
        <v>10510</v>
      </c>
      <c r="B511" t="s">
        <v>26</v>
      </c>
      <c r="C511" t="s">
        <v>31</v>
      </c>
      <c r="D511" t="s">
        <v>40</v>
      </c>
      <c r="E511">
        <v>48907</v>
      </c>
      <c r="F511">
        <f ca="1">DATEDIF(Table1[[#This Row],[Hire Date]], TODAY(), "Y")</f>
        <v>14</v>
      </c>
      <c r="G511" s="7">
        <f ca="1">YEARFRAC(Table1[[#This Row],[Hire Date]], TODAY())</f>
        <v>14.583333333333334</v>
      </c>
      <c r="H511" s="7">
        <v>40716</v>
      </c>
      <c r="I511">
        <v>52</v>
      </c>
      <c r="J511" t="s">
        <v>43</v>
      </c>
      <c r="K511">
        <v>6</v>
      </c>
      <c r="L511" t="s">
        <v>45</v>
      </c>
      <c r="M511">
        <v>6201.97</v>
      </c>
      <c r="N511" t="s">
        <v>48</v>
      </c>
      <c r="O511" t="s">
        <v>53</v>
      </c>
      <c r="P511">
        <v>24</v>
      </c>
      <c r="Q511" t="s">
        <v>56</v>
      </c>
      <c r="R511" t="s">
        <v>58</v>
      </c>
      <c r="S511">
        <v>7</v>
      </c>
      <c r="T511">
        <v>2017</v>
      </c>
      <c r="U511" t="s">
        <v>66</v>
      </c>
      <c r="V511">
        <v>179</v>
      </c>
      <c r="W511">
        <v>3.3</v>
      </c>
    </row>
    <row r="512" spans="1:23" x14ac:dyDescent="0.35">
      <c r="A512">
        <v>10511</v>
      </c>
      <c r="B512" t="s">
        <v>28</v>
      </c>
      <c r="C512" t="s">
        <v>29</v>
      </c>
      <c r="D512" t="s">
        <v>41</v>
      </c>
      <c r="E512">
        <v>101695</v>
      </c>
      <c r="F512">
        <f ca="1">DATEDIF(Table1[[#This Row],[Hire Date]], TODAY(), "Y")</f>
        <v>7</v>
      </c>
      <c r="G512" s="7">
        <f ca="1">YEARFRAC(Table1[[#This Row],[Hire Date]], TODAY())</f>
        <v>7.4055555555555559</v>
      </c>
      <c r="H512" s="7">
        <v>43338</v>
      </c>
      <c r="I512">
        <v>22</v>
      </c>
      <c r="J512" t="s">
        <v>42</v>
      </c>
      <c r="K512">
        <v>1</v>
      </c>
      <c r="L512" t="s">
        <v>45</v>
      </c>
      <c r="M512">
        <v>5315.85</v>
      </c>
      <c r="N512" t="s">
        <v>47</v>
      </c>
      <c r="O512" t="s">
        <v>54</v>
      </c>
      <c r="P512">
        <v>30</v>
      </c>
      <c r="Q512" t="s">
        <v>57</v>
      </c>
      <c r="R512" t="s">
        <v>61</v>
      </c>
      <c r="S512">
        <v>11</v>
      </c>
      <c r="T512">
        <v>2012</v>
      </c>
      <c r="U512" t="s">
        <v>66</v>
      </c>
      <c r="V512">
        <v>85</v>
      </c>
      <c r="W512">
        <v>3.8</v>
      </c>
    </row>
    <row r="513" spans="1:23" x14ac:dyDescent="0.35">
      <c r="A513">
        <v>10512</v>
      </c>
      <c r="B513" t="s">
        <v>26</v>
      </c>
      <c r="C513" t="s">
        <v>32</v>
      </c>
      <c r="D513" t="s">
        <v>38</v>
      </c>
      <c r="E513">
        <v>78487</v>
      </c>
      <c r="F513">
        <f ca="1">DATEDIF(Table1[[#This Row],[Hire Date]], TODAY(), "Y")</f>
        <v>20</v>
      </c>
      <c r="G513" s="7">
        <f ca="1">YEARFRAC(Table1[[#This Row],[Hire Date]], TODAY())</f>
        <v>20.341666666666665</v>
      </c>
      <c r="H513" s="7">
        <v>38614</v>
      </c>
      <c r="I513">
        <v>38</v>
      </c>
      <c r="J513" t="s">
        <v>42</v>
      </c>
      <c r="K513">
        <v>1</v>
      </c>
      <c r="L513" t="s">
        <v>44</v>
      </c>
      <c r="M513">
        <v>7086.23</v>
      </c>
      <c r="N513" t="s">
        <v>48</v>
      </c>
      <c r="O513" t="s">
        <v>50</v>
      </c>
      <c r="P513">
        <v>37</v>
      </c>
      <c r="Q513" t="s">
        <v>56</v>
      </c>
      <c r="R513" t="s">
        <v>63</v>
      </c>
      <c r="S513">
        <v>2</v>
      </c>
      <c r="T513">
        <v>2015</v>
      </c>
      <c r="U513" t="s">
        <v>64</v>
      </c>
      <c r="V513">
        <v>35</v>
      </c>
      <c r="W513">
        <v>1.6</v>
      </c>
    </row>
    <row r="514" spans="1:23" x14ac:dyDescent="0.35">
      <c r="A514">
        <v>10513</v>
      </c>
      <c r="B514" t="s">
        <v>21</v>
      </c>
      <c r="C514" t="s">
        <v>33</v>
      </c>
      <c r="D514" t="s">
        <v>41</v>
      </c>
      <c r="E514">
        <v>59158</v>
      </c>
      <c r="F514">
        <f ca="1">DATEDIF(Table1[[#This Row],[Hire Date]], TODAY(), "Y")</f>
        <v>13</v>
      </c>
      <c r="G514" s="7">
        <f ca="1">YEARFRAC(Table1[[#This Row],[Hire Date]], TODAY())</f>
        <v>13.941666666666666</v>
      </c>
      <c r="H514" s="7">
        <v>40952</v>
      </c>
      <c r="I514">
        <v>37</v>
      </c>
      <c r="J514" t="s">
        <v>42</v>
      </c>
      <c r="K514">
        <v>3</v>
      </c>
      <c r="L514" t="s">
        <v>44</v>
      </c>
      <c r="M514">
        <v>4718.45</v>
      </c>
      <c r="N514" t="s">
        <v>49</v>
      </c>
      <c r="O514" t="s">
        <v>51</v>
      </c>
      <c r="P514">
        <v>32</v>
      </c>
      <c r="Q514" t="s">
        <v>56</v>
      </c>
      <c r="R514" t="s">
        <v>62</v>
      </c>
      <c r="S514">
        <v>1</v>
      </c>
      <c r="T514">
        <v>2023</v>
      </c>
      <c r="U514" t="s">
        <v>65</v>
      </c>
      <c r="V514">
        <v>17</v>
      </c>
      <c r="W514">
        <v>3.9</v>
      </c>
    </row>
    <row r="515" spans="1:23" x14ac:dyDescent="0.35">
      <c r="A515">
        <v>10514</v>
      </c>
      <c r="B515" t="s">
        <v>27</v>
      </c>
      <c r="C515" t="s">
        <v>35</v>
      </c>
      <c r="D515" t="s">
        <v>41</v>
      </c>
      <c r="E515">
        <v>50293</v>
      </c>
      <c r="F515">
        <f ca="1">DATEDIF(Table1[[#This Row],[Hire Date]], TODAY(), "Y")</f>
        <v>9</v>
      </c>
      <c r="G515" s="7">
        <f ca="1">YEARFRAC(Table1[[#This Row],[Hire Date]], TODAY())</f>
        <v>9.8138888888888882</v>
      </c>
      <c r="H515" s="7">
        <v>42458</v>
      </c>
      <c r="I515">
        <v>58</v>
      </c>
      <c r="J515" t="s">
        <v>42</v>
      </c>
      <c r="K515">
        <v>5</v>
      </c>
      <c r="L515" t="s">
        <v>45</v>
      </c>
      <c r="M515">
        <v>5476.67</v>
      </c>
      <c r="N515" t="s">
        <v>48</v>
      </c>
      <c r="O515" t="s">
        <v>52</v>
      </c>
      <c r="P515">
        <v>19</v>
      </c>
      <c r="Q515" t="s">
        <v>55</v>
      </c>
      <c r="R515" t="s">
        <v>59</v>
      </c>
      <c r="S515">
        <v>0</v>
      </c>
      <c r="T515">
        <v>2010</v>
      </c>
      <c r="U515" t="s">
        <v>65</v>
      </c>
      <c r="V515">
        <v>27</v>
      </c>
      <c r="W515">
        <v>2.8</v>
      </c>
    </row>
    <row r="516" spans="1:23" x14ac:dyDescent="0.35">
      <c r="A516">
        <v>10515</v>
      </c>
      <c r="B516" t="s">
        <v>26</v>
      </c>
      <c r="C516" t="s">
        <v>29</v>
      </c>
      <c r="D516" t="s">
        <v>36</v>
      </c>
      <c r="E516">
        <v>75761</v>
      </c>
      <c r="F516">
        <f ca="1">DATEDIF(Table1[[#This Row],[Hire Date]], TODAY(), "Y")</f>
        <v>21</v>
      </c>
      <c r="G516" s="7">
        <f ca="1">YEARFRAC(Table1[[#This Row],[Hire Date]], TODAY())</f>
        <v>21.119444444444444</v>
      </c>
      <c r="H516" s="7">
        <v>38330</v>
      </c>
      <c r="I516">
        <v>31</v>
      </c>
      <c r="J516" t="s">
        <v>42</v>
      </c>
      <c r="K516">
        <v>6</v>
      </c>
      <c r="L516" t="s">
        <v>44</v>
      </c>
      <c r="M516">
        <v>4284.3500000000004</v>
      </c>
      <c r="N516" t="s">
        <v>46</v>
      </c>
      <c r="O516" t="s">
        <v>51</v>
      </c>
      <c r="P516">
        <v>28</v>
      </c>
      <c r="Q516" t="s">
        <v>57</v>
      </c>
      <c r="R516" t="s">
        <v>60</v>
      </c>
      <c r="S516">
        <v>17</v>
      </c>
      <c r="T516">
        <v>2013</v>
      </c>
      <c r="U516" t="s">
        <v>64</v>
      </c>
      <c r="V516">
        <v>69</v>
      </c>
      <c r="W516">
        <v>1.1000000000000001</v>
      </c>
    </row>
    <row r="517" spans="1:23" x14ac:dyDescent="0.35">
      <c r="A517">
        <v>10516</v>
      </c>
      <c r="B517" t="s">
        <v>24</v>
      </c>
      <c r="C517" t="s">
        <v>30</v>
      </c>
      <c r="D517" t="s">
        <v>41</v>
      </c>
      <c r="E517">
        <v>63387</v>
      </c>
      <c r="F517">
        <f ca="1">DATEDIF(Table1[[#This Row],[Hire Date]], TODAY(), "Y")</f>
        <v>22</v>
      </c>
      <c r="G517" s="7">
        <f ca="1">YEARFRAC(Table1[[#This Row],[Hire Date]], TODAY())</f>
        <v>22.827777777777779</v>
      </c>
      <c r="H517" s="7">
        <v>37704</v>
      </c>
      <c r="I517">
        <v>59</v>
      </c>
      <c r="J517" t="s">
        <v>43</v>
      </c>
      <c r="K517">
        <v>5</v>
      </c>
      <c r="L517" t="s">
        <v>45</v>
      </c>
      <c r="M517">
        <v>7315.02</v>
      </c>
      <c r="N517" t="s">
        <v>46</v>
      </c>
      <c r="O517" t="s">
        <v>54</v>
      </c>
      <c r="P517">
        <v>8</v>
      </c>
      <c r="Q517" t="s">
        <v>56</v>
      </c>
      <c r="R517" t="s">
        <v>62</v>
      </c>
      <c r="S517">
        <v>17</v>
      </c>
      <c r="T517">
        <v>2023</v>
      </c>
      <c r="U517" t="s">
        <v>66</v>
      </c>
      <c r="V517">
        <v>34</v>
      </c>
      <c r="W517">
        <v>1.9</v>
      </c>
    </row>
    <row r="518" spans="1:23" x14ac:dyDescent="0.35">
      <c r="A518">
        <v>10517</v>
      </c>
      <c r="B518" t="s">
        <v>25</v>
      </c>
      <c r="C518" t="s">
        <v>30</v>
      </c>
      <c r="D518" t="s">
        <v>41</v>
      </c>
      <c r="E518">
        <v>70750</v>
      </c>
      <c r="F518">
        <f ca="1">DATEDIF(Table1[[#This Row],[Hire Date]], TODAY(), "Y")</f>
        <v>19</v>
      </c>
      <c r="G518" s="7">
        <f ca="1">YEARFRAC(Table1[[#This Row],[Hire Date]], TODAY())</f>
        <v>19.072222222222223</v>
      </c>
      <c r="H518" s="7">
        <v>39077</v>
      </c>
      <c r="I518">
        <v>52</v>
      </c>
      <c r="J518" t="s">
        <v>43</v>
      </c>
      <c r="K518">
        <v>5</v>
      </c>
      <c r="L518" t="s">
        <v>44</v>
      </c>
      <c r="M518">
        <v>8827.7999999999993</v>
      </c>
      <c r="N518" t="s">
        <v>48</v>
      </c>
      <c r="O518" t="s">
        <v>50</v>
      </c>
      <c r="P518">
        <v>1</v>
      </c>
      <c r="Q518" t="s">
        <v>56</v>
      </c>
      <c r="R518" t="s">
        <v>59</v>
      </c>
      <c r="S518">
        <v>7</v>
      </c>
      <c r="T518">
        <v>2015</v>
      </c>
      <c r="U518" t="s">
        <v>65</v>
      </c>
      <c r="V518">
        <v>163</v>
      </c>
      <c r="W518">
        <v>1.1000000000000001</v>
      </c>
    </row>
    <row r="519" spans="1:23" x14ac:dyDescent="0.35">
      <c r="A519">
        <v>10518</v>
      </c>
      <c r="B519" t="s">
        <v>27</v>
      </c>
      <c r="C519" t="s">
        <v>34</v>
      </c>
      <c r="D519" t="s">
        <v>38</v>
      </c>
      <c r="E519">
        <v>98602</v>
      </c>
      <c r="F519">
        <f ca="1">DATEDIF(Table1[[#This Row],[Hire Date]], TODAY(), "Y")</f>
        <v>14</v>
      </c>
      <c r="G519" s="7">
        <f ca="1">YEARFRAC(Table1[[#This Row],[Hire Date]], TODAY())</f>
        <v>14.091666666666667</v>
      </c>
      <c r="H519" s="7">
        <v>40896</v>
      </c>
      <c r="I519">
        <v>31</v>
      </c>
      <c r="J519" t="s">
        <v>42</v>
      </c>
      <c r="K519">
        <v>9</v>
      </c>
      <c r="L519" t="s">
        <v>44</v>
      </c>
      <c r="M519">
        <v>8488.0300000000007</v>
      </c>
      <c r="N519" t="s">
        <v>48</v>
      </c>
      <c r="O519" t="s">
        <v>52</v>
      </c>
      <c r="P519">
        <v>4</v>
      </c>
      <c r="Q519" t="s">
        <v>57</v>
      </c>
      <c r="R519" t="s">
        <v>58</v>
      </c>
      <c r="S519">
        <v>13</v>
      </c>
      <c r="T519">
        <v>2012</v>
      </c>
      <c r="U519" t="s">
        <v>65</v>
      </c>
      <c r="V519">
        <v>51</v>
      </c>
      <c r="W519">
        <v>2.8</v>
      </c>
    </row>
    <row r="520" spans="1:23" x14ac:dyDescent="0.35">
      <c r="A520">
        <v>10519</v>
      </c>
      <c r="B520" t="s">
        <v>25</v>
      </c>
      <c r="C520" t="s">
        <v>34</v>
      </c>
      <c r="D520" t="s">
        <v>38</v>
      </c>
      <c r="E520">
        <v>51256</v>
      </c>
      <c r="F520">
        <f ca="1">DATEDIF(Table1[[#This Row],[Hire Date]], TODAY(), "Y")</f>
        <v>21</v>
      </c>
      <c r="G520" s="7">
        <f ca="1">YEARFRAC(Table1[[#This Row],[Hire Date]], TODAY())</f>
        <v>21.708333333333332</v>
      </c>
      <c r="H520" s="7">
        <v>38114</v>
      </c>
      <c r="I520">
        <v>55</v>
      </c>
      <c r="J520" t="s">
        <v>43</v>
      </c>
      <c r="K520">
        <v>2</v>
      </c>
      <c r="L520" t="s">
        <v>44</v>
      </c>
      <c r="M520">
        <v>7967.24</v>
      </c>
      <c r="N520" t="s">
        <v>46</v>
      </c>
      <c r="O520" t="s">
        <v>52</v>
      </c>
      <c r="P520">
        <v>22</v>
      </c>
      <c r="Q520" t="s">
        <v>57</v>
      </c>
      <c r="R520" t="s">
        <v>59</v>
      </c>
      <c r="S520">
        <v>12</v>
      </c>
      <c r="T520">
        <v>2010</v>
      </c>
      <c r="U520" t="s">
        <v>66</v>
      </c>
      <c r="V520">
        <v>148</v>
      </c>
      <c r="W520">
        <v>2.2999999999999998</v>
      </c>
    </row>
    <row r="521" spans="1:23" x14ac:dyDescent="0.35">
      <c r="A521">
        <v>10520</v>
      </c>
      <c r="B521" t="s">
        <v>26</v>
      </c>
      <c r="C521" t="s">
        <v>35</v>
      </c>
      <c r="D521" t="s">
        <v>37</v>
      </c>
      <c r="E521">
        <v>35594</v>
      </c>
      <c r="F521">
        <f ca="1">DATEDIF(Table1[[#This Row],[Hire Date]], TODAY(), "Y")</f>
        <v>8</v>
      </c>
      <c r="G521" s="7">
        <f ca="1">YEARFRAC(Table1[[#This Row],[Hire Date]], TODAY())</f>
        <v>8.7472222222222218</v>
      </c>
      <c r="H521" s="7">
        <v>42848</v>
      </c>
      <c r="I521">
        <v>27</v>
      </c>
      <c r="J521" t="s">
        <v>42</v>
      </c>
      <c r="K521">
        <v>1</v>
      </c>
      <c r="L521" t="s">
        <v>45</v>
      </c>
      <c r="M521">
        <v>630.98</v>
      </c>
      <c r="N521" t="s">
        <v>47</v>
      </c>
      <c r="O521" t="s">
        <v>50</v>
      </c>
      <c r="P521">
        <v>22</v>
      </c>
      <c r="Q521" t="s">
        <v>57</v>
      </c>
      <c r="R521" t="s">
        <v>61</v>
      </c>
      <c r="S521">
        <v>14</v>
      </c>
      <c r="T521">
        <v>2015</v>
      </c>
      <c r="U521" t="s">
        <v>64</v>
      </c>
      <c r="V521">
        <v>175</v>
      </c>
      <c r="W521">
        <v>4.9000000000000004</v>
      </c>
    </row>
    <row r="522" spans="1:23" x14ac:dyDescent="0.35">
      <c r="A522">
        <v>10521</v>
      </c>
      <c r="B522" t="s">
        <v>25</v>
      </c>
      <c r="C522" t="s">
        <v>35</v>
      </c>
      <c r="D522" t="s">
        <v>36</v>
      </c>
      <c r="E522">
        <v>32460</v>
      </c>
      <c r="F522">
        <f ca="1">DATEDIF(Table1[[#This Row],[Hire Date]], TODAY(), "Y")</f>
        <v>20</v>
      </c>
      <c r="G522" s="7">
        <f ca="1">YEARFRAC(Table1[[#This Row],[Hire Date]], TODAY())</f>
        <v>20.7</v>
      </c>
      <c r="H522" s="7">
        <v>38482</v>
      </c>
      <c r="I522">
        <v>49</v>
      </c>
      <c r="J522" t="s">
        <v>42</v>
      </c>
      <c r="K522">
        <v>6</v>
      </c>
      <c r="L522" t="s">
        <v>44</v>
      </c>
      <c r="M522">
        <v>9162.86</v>
      </c>
      <c r="N522" t="s">
        <v>47</v>
      </c>
      <c r="O522" t="s">
        <v>51</v>
      </c>
      <c r="P522">
        <v>30</v>
      </c>
      <c r="Q522" t="s">
        <v>57</v>
      </c>
      <c r="R522" t="s">
        <v>62</v>
      </c>
      <c r="S522">
        <v>14</v>
      </c>
      <c r="T522">
        <v>2023</v>
      </c>
      <c r="U522" t="s">
        <v>64</v>
      </c>
      <c r="V522">
        <v>135</v>
      </c>
      <c r="W522">
        <v>4.5</v>
      </c>
    </row>
    <row r="523" spans="1:23" x14ac:dyDescent="0.35">
      <c r="A523">
        <v>10522</v>
      </c>
      <c r="B523" t="s">
        <v>21</v>
      </c>
      <c r="C523" t="s">
        <v>34</v>
      </c>
      <c r="D523" t="s">
        <v>41</v>
      </c>
      <c r="E523">
        <v>102356</v>
      </c>
      <c r="F523">
        <f ca="1">DATEDIF(Table1[[#This Row],[Hire Date]], TODAY(), "Y")</f>
        <v>21</v>
      </c>
      <c r="G523" s="7">
        <f ca="1">YEARFRAC(Table1[[#This Row],[Hire Date]], TODAY())</f>
        <v>21.2</v>
      </c>
      <c r="H523" s="7">
        <v>38301</v>
      </c>
      <c r="I523">
        <v>49</v>
      </c>
      <c r="J523" t="s">
        <v>42</v>
      </c>
      <c r="K523">
        <v>9</v>
      </c>
      <c r="L523" t="s">
        <v>44</v>
      </c>
      <c r="M523">
        <v>3111.32</v>
      </c>
      <c r="N523" t="s">
        <v>46</v>
      </c>
      <c r="O523" t="s">
        <v>54</v>
      </c>
      <c r="P523">
        <v>27</v>
      </c>
      <c r="Q523" t="s">
        <v>57</v>
      </c>
      <c r="R523" t="s">
        <v>61</v>
      </c>
      <c r="S523">
        <v>12</v>
      </c>
      <c r="T523">
        <v>2012</v>
      </c>
      <c r="U523" t="s">
        <v>65</v>
      </c>
      <c r="V523">
        <v>16</v>
      </c>
      <c r="W523">
        <v>4.3</v>
      </c>
    </row>
    <row r="524" spans="1:23" x14ac:dyDescent="0.35">
      <c r="A524">
        <v>10523</v>
      </c>
      <c r="B524" t="s">
        <v>27</v>
      </c>
      <c r="C524" t="s">
        <v>31</v>
      </c>
      <c r="D524" t="s">
        <v>36</v>
      </c>
      <c r="E524">
        <v>84698</v>
      </c>
      <c r="F524">
        <f ca="1">DATEDIF(Table1[[#This Row],[Hire Date]], TODAY(), "Y")</f>
        <v>8</v>
      </c>
      <c r="G524" s="7">
        <f ca="1">YEARFRAC(Table1[[#This Row],[Hire Date]], TODAY())</f>
        <v>8.8611111111111107</v>
      </c>
      <c r="H524" s="7">
        <v>42806</v>
      </c>
      <c r="I524">
        <v>34</v>
      </c>
      <c r="J524" t="s">
        <v>42</v>
      </c>
      <c r="K524">
        <v>7</v>
      </c>
      <c r="L524" t="s">
        <v>45</v>
      </c>
      <c r="M524">
        <v>8935.75</v>
      </c>
      <c r="N524" t="s">
        <v>46</v>
      </c>
      <c r="O524" t="s">
        <v>54</v>
      </c>
      <c r="P524">
        <v>27</v>
      </c>
      <c r="Q524" t="s">
        <v>57</v>
      </c>
      <c r="R524" t="s">
        <v>59</v>
      </c>
      <c r="S524">
        <v>3</v>
      </c>
      <c r="T524">
        <v>2017</v>
      </c>
      <c r="U524" t="s">
        <v>64</v>
      </c>
      <c r="V524">
        <v>143</v>
      </c>
      <c r="W524">
        <v>3</v>
      </c>
    </row>
    <row r="525" spans="1:23" x14ac:dyDescent="0.35">
      <c r="A525">
        <v>10524</v>
      </c>
      <c r="B525" t="s">
        <v>21</v>
      </c>
      <c r="C525" t="s">
        <v>31</v>
      </c>
      <c r="D525" t="s">
        <v>40</v>
      </c>
      <c r="E525">
        <v>46191</v>
      </c>
      <c r="F525">
        <f ca="1">DATEDIF(Table1[[#This Row],[Hire Date]], TODAY(), "Y")</f>
        <v>12</v>
      </c>
      <c r="G525" s="7">
        <f ca="1">YEARFRAC(Table1[[#This Row],[Hire Date]], TODAY())</f>
        <v>12.744444444444444</v>
      </c>
      <c r="H525" s="7">
        <v>41388</v>
      </c>
      <c r="I525">
        <v>62</v>
      </c>
      <c r="J525" t="s">
        <v>42</v>
      </c>
      <c r="K525">
        <v>8</v>
      </c>
      <c r="L525" t="s">
        <v>44</v>
      </c>
      <c r="M525">
        <v>2371.1999999999998</v>
      </c>
      <c r="N525" t="s">
        <v>47</v>
      </c>
      <c r="O525" t="s">
        <v>54</v>
      </c>
      <c r="P525">
        <v>13</v>
      </c>
      <c r="Q525" t="s">
        <v>57</v>
      </c>
      <c r="R525" t="s">
        <v>58</v>
      </c>
      <c r="S525">
        <v>3</v>
      </c>
      <c r="T525">
        <v>2016</v>
      </c>
      <c r="U525" t="s">
        <v>66</v>
      </c>
      <c r="V525">
        <v>20</v>
      </c>
      <c r="W525">
        <v>4.2</v>
      </c>
    </row>
    <row r="526" spans="1:23" x14ac:dyDescent="0.35">
      <c r="A526">
        <v>10525</v>
      </c>
      <c r="B526" t="s">
        <v>26</v>
      </c>
      <c r="C526" t="s">
        <v>29</v>
      </c>
      <c r="D526" t="s">
        <v>41</v>
      </c>
      <c r="E526">
        <v>114631</v>
      </c>
      <c r="F526">
        <f ca="1">DATEDIF(Table1[[#This Row],[Hire Date]], TODAY(), "Y")</f>
        <v>23</v>
      </c>
      <c r="G526" s="7">
        <f ca="1">YEARFRAC(Table1[[#This Row],[Hire Date]], TODAY())</f>
        <v>23.355555555555554</v>
      </c>
      <c r="H526" s="7">
        <v>37513</v>
      </c>
      <c r="I526">
        <v>33</v>
      </c>
      <c r="J526" t="s">
        <v>43</v>
      </c>
      <c r="K526">
        <v>5</v>
      </c>
      <c r="L526" t="s">
        <v>44</v>
      </c>
      <c r="M526">
        <v>4676.63</v>
      </c>
      <c r="N526" t="s">
        <v>48</v>
      </c>
      <c r="O526" t="s">
        <v>51</v>
      </c>
      <c r="P526">
        <v>39</v>
      </c>
      <c r="Q526" t="s">
        <v>56</v>
      </c>
      <c r="R526" t="s">
        <v>61</v>
      </c>
      <c r="S526">
        <v>4</v>
      </c>
      <c r="T526">
        <v>2020</v>
      </c>
      <c r="U526" t="s">
        <v>64</v>
      </c>
      <c r="V526">
        <v>161</v>
      </c>
      <c r="W526">
        <v>2.1</v>
      </c>
    </row>
    <row r="527" spans="1:23" x14ac:dyDescent="0.35">
      <c r="A527">
        <v>10526</v>
      </c>
      <c r="B527" t="s">
        <v>21</v>
      </c>
      <c r="C527" t="s">
        <v>32</v>
      </c>
      <c r="D527" t="s">
        <v>36</v>
      </c>
      <c r="E527">
        <v>40529</v>
      </c>
      <c r="F527">
        <f ca="1">DATEDIF(Table1[[#This Row],[Hire Date]], TODAY(), "Y")</f>
        <v>10</v>
      </c>
      <c r="G527" s="7">
        <f ca="1">YEARFRAC(Table1[[#This Row],[Hire Date]], TODAY())</f>
        <v>10.027777777777779</v>
      </c>
      <c r="H527" s="7">
        <v>42381</v>
      </c>
      <c r="I527">
        <v>61</v>
      </c>
      <c r="J527" t="s">
        <v>43</v>
      </c>
      <c r="K527">
        <v>4</v>
      </c>
      <c r="L527" t="s">
        <v>45</v>
      </c>
      <c r="M527">
        <v>7619.29</v>
      </c>
      <c r="N527" t="s">
        <v>48</v>
      </c>
      <c r="O527" t="s">
        <v>51</v>
      </c>
      <c r="P527">
        <v>27</v>
      </c>
      <c r="Q527" t="s">
        <v>55</v>
      </c>
      <c r="R527" t="s">
        <v>60</v>
      </c>
      <c r="S527">
        <v>2</v>
      </c>
      <c r="T527">
        <v>2016</v>
      </c>
      <c r="U527" t="s">
        <v>64</v>
      </c>
      <c r="V527">
        <v>121</v>
      </c>
      <c r="W527">
        <v>3.2</v>
      </c>
    </row>
    <row r="528" spans="1:23" x14ac:dyDescent="0.35">
      <c r="A528">
        <v>10527</v>
      </c>
      <c r="B528" t="s">
        <v>24</v>
      </c>
      <c r="C528" t="s">
        <v>29</v>
      </c>
      <c r="D528" t="s">
        <v>37</v>
      </c>
      <c r="E528">
        <v>62175</v>
      </c>
      <c r="F528">
        <f ca="1">DATEDIF(Table1[[#This Row],[Hire Date]], TODAY(), "Y")</f>
        <v>22</v>
      </c>
      <c r="G528" s="7">
        <f ca="1">YEARFRAC(Table1[[#This Row],[Hire Date]], TODAY())</f>
        <v>22.761111111111113</v>
      </c>
      <c r="H528" s="7">
        <v>37729</v>
      </c>
      <c r="I528">
        <v>23</v>
      </c>
      <c r="J528" t="s">
        <v>43</v>
      </c>
      <c r="K528">
        <v>6</v>
      </c>
      <c r="L528" t="s">
        <v>44</v>
      </c>
      <c r="M528">
        <v>6582.65</v>
      </c>
      <c r="N528" t="s">
        <v>49</v>
      </c>
      <c r="O528" t="s">
        <v>52</v>
      </c>
      <c r="P528">
        <v>39</v>
      </c>
      <c r="Q528" t="s">
        <v>56</v>
      </c>
      <c r="R528" t="s">
        <v>59</v>
      </c>
      <c r="S528">
        <v>11</v>
      </c>
      <c r="T528">
        <v>2022</v>
      </c>
      <c r="U528" t="s">
        <v>64</v>
      </c>
      <c r="V528">
        <v>153</v>
      </c>
      <c r="W528">
        <v>2.6</v>
      </c>
    </row>
    <row r="529" spans="1:23" x14ac:dyDescent="0.35">
      <c r="A529">
        <v>10528</v>
      </c>
      <c r="B529" t="s">
        <v>26</v>
      </c>
      <c r="C529" t="s">
        <v>32</v>
      </c>
      <c r="D529" t="s">
        <v>37</v>
      </c>
      <c r="E529">
        <v>47675</v>
      </c>
      <c r="F529">
        <f ca="1">DATEDIF(Table1[[#This Row],[Hire Date]], TODAY(), "Y")</f>
        <v>16</v>
      </c>
      <c r="G529" s="7">
        <f ca="1">YEARFRAC(Table1[[#This Row],[Hire Date]], TODAY())</f>
        <v>16.944444444444443</v>
      </c>
      <c r="H529" s="7">
        <v>39856</v>
      </c>
      <c r="I529">
        <v>29</v>
      </c>
      <c r="J529" t="s">
        <v>43</v>
      </c>
      <c r="K529">
        <v>3</v>
      </c>
      <c r="L529" t="s">
        <v>45</v>
      </c>
      <c r="M529">
        <v>4451.26</v>
      </c>
      <c r="N529" t="s">
        <v>47</v>
      </c>
      <c r="O529" t="s">
        <v>51</v>
      </c>
      <c r="P529">
        <v>38</v>
      </c>
      <c r="Q529" t="s">
        <v>56</v>
      </c>
      <c r="R529" t="s">
        <v>58</v>
      </c>
      <c r="S529">
        <v>19</v>
      </c>
      <c r="T529">
        <v>2021</v>
      </c>
      <c r="U529" t="s">
        <v>64</v>
      </c>
      <c r="V529">
        <v>113</v>
      </c>
      <c r="W529">
        <v>1.7</v>
      </c>
    </row>
    <row r="530" spans="1:23" x14ac:dyDescent="0.35">
      <c r="A530">
        <v>10529</v>
      </c>
      <c r="B530" t="s">
        <v>26</v>
      </c>
      <c r="C530" t="s">
        <v>35</v>
      </c>
      <c r="D530" t="s">
        <v>41</v>
      </c>
      <c r="E530">
        <v>73158</v>
      </c>
      <c r="F530">
        <f ca="1">DATEDIF(Table1[[#This Row],[Hire Date]], TODAY(), "Y")</f>
        <v>8</v>
      </c>
      <c r="G530" s="7">
        <f ca="1">YEARFRAC(Table1[[#This Row],[Hire Date]], TODAY())</f>
        <v>8.5722222222222229</v>
      </c>
      <c r="H530" s="7">
        <v>42912</v>
      </c>
      <c r="I530">
        <v>63</v>
      </c>
      <c r="J530" t="s">
        <v>43</v>
      </c>
      <c r="K530">
        <v>1</v>
      </c>
      <c r="L530" t="s">
        <v>44</v>
      </c>
      <c r="M530">
        <v>6946.93</v>
      </c>
      <c r="N530" t="s">
        <v>46</v>
      </c>
      <c r="O530" t="s">
        <v>53</v>
      </c>
      <c r="P530">
        <v>8</v>
      </c>
      <c r="Q530" t="s">
        <v>55</v>
      </c>
      <c r="R530" t="s">
        <v>62</v>
      </c>
      <c r="S530">
        <v>11</v>
      </c>
      <c r="T530">
        <v>2017</v>
      </c>
      <c r="U530" t="s">
        <v>66</v>
      </c>
      <c r="V530">
        <v>62</v>
      </c>
      <c r="W530">
        <v>1.3</v>
      </c>
    </row>
    <row r="531" spans="1:23" x14ac:dyDescent="0.35">
      <c r="A531">
        <v>10530</v>
      </c>
      <c r="B531" t="s">
        <v>26</v>
      </c>
      <c r="C531" t="s">
        <v>33</v>
      </c>
      <c r="D531" t="s">
        <v>40</v>
      </c>
      <c r="E531">
        <v>76798</v>
      </c>
      <c r="F531">
        <f ca="1">DATEDIF(Table1[[#This Row],[Hire Date]], TODAY(), "Y")</f>
        <v>22</v>
      </c>
      <c r="G531" s="7">
        <f ca="1">YEARFRAC(Table1[[#This Row],[Hire Date]], TODAY())</f>
        <v>22.994444444444444</v>
      </c>
      <c r="H531" s="7">
        <v>37645</v>
      </c>
      <c r="I531">
        <v>30</v>
      </c>
      <c r="J531" t="s">
        <v>43</v>
      </c>
      <c r="K531">
        <v>4</v>
      </c>
      <c r="L531" t="s">
        <v>44</v>
      </c>
      <c r="M531">
        <v>5715.02</v>
      </c>
      <c r="N531" t="s">
        <v>49</v>
      </c>
      <c r="O531" t="s">
        <v>50</v>
      </c>
      <c r="P531">
        <v>12</v>
      </c>
      <c r="Q531" t="s">
        <v>55</v>
      </c>
      <c r="R531" t="s">
        <v>62</v>
      </c>
      <c r="S531">
        <v>19</v>
      </c>
      <c r="T531">
        <v>2016</v>
      </c>
      <c r="U531" t="s">
        <v>64</v>
      </c>
      <c r="V531">
        <v>175</v>
      </c>
      <c r="W531">
        <v>3.2</v>
      </c>
    </row>
    <row r="532" spans="1:23" x14ac:dyDescent="0.35">
      <c r="A532">
        <v>10531</v>
      </c>
      <c r="B532" t="s">
        <v>28</v>
      </c>
      <c r="C532" t="s">
        <v>29</v>
      </c>
      <c r="D532" t="s">
        <v>37</v>
      </c>
      <c r="E532">
        <v>100910</v>
      </c>
      <c r="F532">
        <f ca="1">DATEDIF(Table1[[#This Row],[Hire Date]], TODAY(), "Y")</f>
        <v>25</v>
      </c>
      <c r="G532" s="7">
        <f ca="1">YEARFRAC(Table1[[#This Row],[Hire Date]], TODAY())</f>
        <v>25.519444444444446</v>
      </c>
      <c r="H532" s="7">
        <v>36722</v>
      </c>
      <c r="I532">
        <v>29</v>
      </c>
      <c r="J532" t="s">
        <v>42</v>
      </c>
      <c r="K532">
        <v>9</v>
      </c>
      <c r="L532" t="s">
        <v>45</v>
      </c>
      <c r="M532">
        <v>3119.49</v>
      </c>
      <c r="N532" t="s">
        <v>48</v>
      </c>
      <c r="O532" t="s">
        <v>51</v>
      </c>
      <c r="P532">
        <v>24</v>
      </c>
      <c r="Q532" t="s">
        <v>55</v>
      </c>
      <c r="R532" t="s">
        <v>60</v>
      </c>
      <c r="S532">
        <v>6</v>
      </c>
      <c r="T532">
        <v>2014</v>
      </c>
      <c r="U532" t="s">
        <v>65</v>
      </c>
      <c r="V532">
        <v>9</v>
      </c>
      <c r="W532">
        <v>1.4</v>
      </c>
    </row>
    <row r="533" spans="1:23" x14ac:dyDescent="0.35">
      <c r="A533">
        <v>10532</v>
      </c>
      <c r="B533" t="s">
        <v>25</v>
      </c>
      <c r="C533" t="s">
        <v>29</v>
      </c>
      <c r="D533" t="s">
        <v>37</v>
      </c>
      <c r="E533">
        <v>55976</v>
      </c>
      <c r="F533">
        <f ca="1">DATEDIF(Table1[[#This Row],[Hire Date]], TODAY(), "Y")</f>
        <v>15</v>
      </c>
      <c r="G533" s="7">
        <f ca="1">YEARFRAC(Table1[[#This Row],[Hire Date]], TODAY())</f>
        <v>15.175000000000001</v>
      </c>
      <c r="H533" s="7">
        <v>40501</v>
      </c>
      <c r="I533">
        <v>24</v>
      </c>
      <c r="J533" t="s">
        <v>43</v>
      </c>
      <c r="K533">
        <v>4</v>
      </c>
      <c r="L533" t="s">
        <v>44</v>
      </c>
      <c r="M533">
        <v>6640.13</v>
      </c>
      <c r="N533" t="s">
        <v>47</v>
      </c>
      <c r="O533" t="s">
        <v>54</v>
      </c>
      <c r="P533">
        <v>18</v>
      </c>
      <c r="Q533" t="s">
        <v>57</v>
      </c>
      <c r="R533" t="s">
        <v>63</v>
      </c>
      <c r="S533">
        <v>6</v>
      </c>
      <c r="T533">
        <v>2019</v>
      </c>
      <c r="U533" t="s">
        <v>64</v>
      </c>
      <c r="V533">
        <v>184</v>
      </c>
      <c r="W533">
        <v>3.9</v>
      </c>
    </row>
    <row r="534" spans="1:23" x14ac:dyDescent="0.35">
      <c r="A534">
        <v>10533</v>
      </c>
      <c r="B534" t="s">
        <v>28</v>
      </c>
      <c r="C534" t="s">
        <v>32</v>
      </c>
      <c r="D534" t="s">
        <v>40</v>
      </c>
      <c r="E534">
        <v>93116</v>
      </c>
      <c r="F534">
        <f ca="1">DATEDIF(Table1[[#This Row],[Hire Date]], TODAY(), "Y")</f>
        <v>24</v>
      </c>
      <c r="G534" s="7">
        <f ca="1">YEARFRAC(Table1[[#This Row],[Hire Date]], TODAY())</f>
        <v>24.619444444444444</v>
      </c>
      <c r="H534" s="7">
        <v>37051</v>
      </c>
      <c r="I534">
        <v>30</v>
      </c>
      <c r="J534" t="s">
        <v>42</v>
      </c>
      <c r="K534">
        <v>1</v>
      </c>
      <c r="L534" t="s">
        <v>45</v>
      </c>
      <c r="M534">
        <v>2440.35</v>
      </c>
      <c r="N534" t="s">
        <v>49</v>
      </c>
      <c r="O534" t="s">
        <v>51</v>
      </c>
      <c r="P534">
        <v>15</v>
      </c>
      <c r="Q534" t="s">
        <v>57</v>
      </c>
      <c r="R534" t="s">
        <v>61</v>
      </c>
      <c r="S534">
        <v>0</v>
      </c>
      <c r="T534">
        <v>2017</v>
      </c>
      <c r="U534" t="s">
        <v>65</v>
      </c>
      <c r="V534">
        <v>145</v>
      </c>
      <c r="W534">
        <v>4.7</v>
      </c>
    </row>
    <row r="535" spans="1:23" x14ac:dyDescent="0.35">
      <c r="A535">
        <v>10534</v>
      </c>
      <c r="B535" t="s">
        <v>28</v>
      </c>
      <c r="C535" t="s">
        <v>35</v>
      </c>
      <c r="D535" t="s">
        <v>36</v>
      </c>
      <c r="E535">
        <v>108678</v>
      </c>
      <c r="F535">
        <f ca="1">DATEDIF(Table1[[#This Row],[Hire Date]], TODAY(), "Y")</f>
        <v>13</v>
      </c>
      <c r="G535" s="7">
        <f ca="1">YEARFRAC(Table1[[#This Row],[Hire Date]], TODAY())</f>
        <v>13.116666666666667</v>
      </c>
      <c r="H535" s="7">
        <v>41253</v>
      </c>
      <c r="I535">
        <v>34</v>
      </c>
      <c r="J535" t="s">
        <v>42</v>
      </c>
      <c r="K535">
        <v>4</v>
      </c>
      <c r="L535" t="s">
        <v>44</v>
      </c>
      <c r="M535">
        <v>7092.89</v>
      </c>
      <c r="N535" t="s">
        <v>48</v>
      </c>
      <c r="O535" t="s">
        <v>52</v>
      </c>
      <c r="P535">
        <v>16</v>
      </c>
      <c r="Q535" t="s">
        <v>57</v>
      </c>
      <c r="R535" t="s">
        <v>59</v>
      </c>
      <c r="S535">
        <v>11</v>
      </c>
      <c r="T535">
        <v>2023</v>
      </c>
      <c r="U535" t="s">
        <v>66</v>
      </c>
      <c r="V535">
        <v>85</v>
      </c>
      <c r="W535">
        <v>1.6</v>
      </c>
    </row>
    <row r="536" spans="1:23" x14ac:dyDescent="0.35">
      <c r="A536">
        <v>10535</v>
      </c>
      <c r="B536" t="s">
        <v>24</v>
      </c>
      <c r="C536" t="s">
        <v>35</v>
      </c>
      <c r="D536" t="s">
        <v>37</v>
      </c>
      <c r="E536">
        <v>92821</v>
      </c>
      <c r="F536">
        <f ca="1">DATEDIF(Table1[[#This Row],[Hire Date]], TODAY(), "Y")</f>
        <v>22</v>
      </c>
      <c r="G536" s="7">
        <f ca="1">YEARFRAC(Table1[[#This Row],[Hire Date]], TODAY())</f>
        <v>22.197222222222223</v>
      </c>
      <c r="H536" s="7">
        <v>37936</v>
      </c>
      <c r="I536">
        <v>30</v>
      </c>
      <c r="J536" t="s">
        <v>43</v>
      </c>
      <c r="K536">
        <v>7</v>
      </c>
      <c r="L536" t="s">
        <v>45</v>
      </c>
      <c r="M536">
        <v>529.54999999999995</v>
      </c>
      <c r="N536" t="s">
        <v>46</v>
      </c>
      <c r="O536" t="s">
        <v>50</v>
      </c>
      <c r="P536">
        <v>33</v>
      </c>
      <c r="Q536" t="s">
        <v>56</v>
      </c>
      <c r="R536" t="s">
        <v>62</v>
      </c>
      <c r="S536">
        <v>2</v>
      </c>
      <c r="T536">
        <v>2017</v>
      </c>
      <c r="U536" t="s">
        <v>64</v>
      </c>
      <c r="V536">
        <v>144</v>
      </c>
      <c r="W536">
        <v>2.9</v>
      </c>
    </row>
    <row r="537" spans="1:23" x14ac:dyDescent="0.35">
      <c r="A537">
        <v>10536</v>
      </c>
      <c r="B537" t="s">
        <v>27</v>
      </c>
      <c r="C537" t="s">
        <v>30</v>
      </c>
      <c r="D537" t="s">
        <v>38</v>
      </c>
      <c r="E537">
        <v>42204</v>
      </c>
      <c r="F537">
        <f ca="1">DATEDIF(Table1[[#This Row],[Hire Date]], TODAY(), "Y")</f>
        <v>13</v>
      </c>
      <c r="G537" s="7">
        <f ca="1">YEARFRAC(Table1[[#This Row],[Hire Date]], TODAY())</f>
        <v>13.727777777777778</v>
      </c>
      <c r="H537" s="7">
        <v>41029</v>
      </c>
      <c r="I537">
        <v>52</v>
      </c>
      <c r="J537" t="s">
        <v>43</v>
      </c>
      <c r="K537">
        <v>3</v>
      </c>
      <c r="L537" t="s">
        <v>44</v>
      </c>
      <c r="M537">
        <v>5713.34</v>
      </c>
      <c r="N537" t="s">
        <v>48</v>
      </c>
      <c r="O537" t="s">
        <v>50</v>
      </c>
      <c r="P537">
        <v>10</v>
      </c>
      <c r="Q537" t="s">
        <v>55</v>
      </c>
      <c r="R537" t="s">
        <v>59</v>
      </c>
      <c r="S537">
        <v>14</v>
      </c>
      <c r="T537">
        <v>2020</v>
      </c>
      <c r="U537" t="s">
        <v>65</v>
      </c>
      <c r="V537">
        <v>5</v>
      </c>
      <c r="W537">
        <v>4</v>
      </c>
    </row>
    <row r="538" spans="1:23" x14ac:dyDescent="0.35">
      <c r="A538">
        <v>10537</v>
      </c>
      <c r="B538" t="s">
        <v>25</v>
      </c>
      <c r="C538" t="s">
        <v>32</v>
      </c>
      <c r="D538" t="s">
        <v>39</v>
      </c>
      <c r="E538">
        <v>85665</v>
      </c>
      <c r="F538">
        <f ca="1">DATEDIF(Table1[[#This Row],[Hire Date]], TODAY(), "Y")</f>
        <v>22</v>
      </c>
      <c r="G538" s="7">
        <f ca="1">YEARFRAC(Table1[[#This Row],[Hire Date]], TODAY())</f>
        <v>22.516666666666666</v>
      </c>
      <c r="H538" s="7">
        <v>37818</v>
      </c>
      <c r="I538">
        <v>46</v>
      </c>
      <c r="J538" t="s">
        <v>42</v>
      </c>
      <c r="K538">
        <v>6</v>
      </c>
      <c r="L538" t="s">
        <v>44</v>
      </c>
      <c r="M538">
        <v>4310.1400000000003</v>
      </c>
      <c r="N538" t="s">
        <v>48</v>
      </c>
      <c r="O538" t="s">
        <v>54</v>
      </c>
      <c r="P538">
        <v>24</v>
      </c>
      <c r="Q538" t="s">
        <v>55</v>
      </c>
      <c r="R538" t="s">
        <v>60</v>
      </c>
      <c r="S538">
        <v>8</v>
      </c>
      <c r="T538">
        <v>2017</v>
      </c>
      <c r="U538" t="s">
        <v>64</v>
      </c>
      <c r="V538">
        <v>12</v>
      </c>
      <c r="W538">
        <v>2.1</v>
      </c>
    </row>
    <row r="539" spans="1:23" x14ac:dyDescent="0.35">
      <c r="A539">
        <v>10538</v>
      </c>
      <c r="B539" t="s">
        <v>21</v>
      </c>
      <c r="C539" t="s">
        <v>35</v>
      </c>
      <c r="D539" t="s">
        <v>39</v>
      </c>
      <c r="E539">
        <v>37394</v>
      </c>
      <c r="F539">
        <f ca="1">DATEDIF(Table1[[#This Row],[Hire Date]], TODAY(), "Y")</f>
        <v>22</v>
      </c>
      <c r="G539" s="7">
        <f ca="1">YEARFRAC(Table1[[#This Row],[Hire Date]], TODAY())</f>
        <v>22.786111111111111</v>
      </c>
      <c r="H539" s="7">
        <v>37720</v>
      </c>
      <c r="I539">
        <v>29</v>
      </c>
      <c r="J539" t="s">
        <v>42</v>
      </c>
      <c r="K539">
        <v>1</v>
      </c>
      <c r="L539" t="s">
        <v>44</v>
      </c>
      <c r="M539">
        <v>3379.49</v>
      </c>
      <c r="N539" t="s">
        <v>47</v>
      </c>
      <c r="O539" t="s">
        <v>50</v>
      </c>
      <c r="P539">
        <v>19</v>
      </c>
      <c r="Q539" t="s">
        <v>56</v>
      </c>
      <c r="R539" t="s">
        <v>61</v>
      </c>
      <c r="S539">
        <v>19</v>
      </c>
      <c r="T539">
        <v>2021</v>
      </c>
      <c r="U539" t="s">
        <v>64</v>
      </c>
      <c r="V539">
        <v>148</v>
      </c>
      <c r="W539">
        <v>4.7</v>
      </c>
    </row>
    <row r="540" spans="1:23" x14ac:dyDescent="0.35">
      <c r="A540">
        <v>10539</v>
      </c>
      <c r="B540" t="s">
        <v>23</v>
      </c>
      <c r="C540" t="s">
        <v>34</v>
      </c>
      <c r="D540" t="s">
        <v>37</v>
      </c>
      <c r="E540">
        <v>94814</v>
      </c>
      <c r="F540">
        <f ca="1">DATEDIF(Table1[[#This Row],[Hire Date]], TODAY(), "Y")</f>
        <v>20</v>
      </c>
      <c r="G540" s="7">
        <f ca="1">YEARFRAC(Table1[[#This Row],[Hire Date]], TODAY())</f>
        <v>20.722222222222221</v>
      </c>
      <c r="H540" s="7">
        <v>38474</v>
      </c>
      <c r="I540">
        <v>52</v>
      </c>
      <c r="J540" t="s">
        <v>42</v>
      </c>
      <c r="K540">
        <v>4</v>
      </c>
      <c r="L540" t="s">
        <v>44</v>
      </c>
      <c r="M540">
        <v>5399.23</v>
      </c>
      <c r="N540" t="s">
        <v>46</v>
      </c>
      <c r="O540" t="s">
        <v>53</v>
      </c>
      <c r="P540">
        <v>27</v>
      </c>
      <c r="Q540" t="s">
        <v>57</v>
      </c>
      <c r="R540" t="s">
        <v>58</v>
      </c>
      <c r="S540">
        <v>8</v>
      </c>
      <c r="T540">
        <v>2019</v>
      </c>
      <c r="U540" t="s">
        <v>65</v>
      </c>
      <c r="V540">
        <v>147</v>
      </c>
      <c r="W540">
        <v>4.5999999999999996</v>
      </c>
    </row>
    <row r="541" spans="1:23" x14ac:dyDescent="0.35">
      <c r="A541">
        <v>10540</v>
      </c>
      <c r="B541" t="s">
        <v>26</v>
      </c>
      <c r="C541" t="s">
        <v>31</v>
      </c>
      <c r="D541" t="s">
        <v>36</v>
      </c>
      <c r="E541">
        <v>63593</v>
      </c>
      <c r="F541">
        <f ca="1">DATEDIF(Table1[[#This Row],[Hire Date]], TODAY(), "Y")</f>
        <v>16</v>
      </c>
      <c r="G541" s="7">
        <f ca="1">YEARFRAC(Table1[[#This Row],[Hire Date]], TODAY())</f>
        <v>16.052777777777777</v>
      </c>
      <c r="H541" s="7">
        <v>40181</v>
      </c>
      <c r="I541">
        <v>52</v>
      </c>
      <c r="J541" t="s">
        <v>42</v>
      </c>
      <c r="K541">
        <v>3</v>
      </c>
      <c r="L541" t="s">
        <v>44</v>
      </c>
      <c r="M541">
        <v>6630.46</v>
      </c>
      <c r="N541" t="s">
        <v>47</v>
      </c>
      <c r="O541" t="s">
        <v>50</v>
      </c>
      <c r="P541">
        <v>31</v>
      </c>
      <c r="Q541" t="s">
        <v>55</v>
      </c>
      <c r="R541" t="s">
        <v>59</v>
      </c>
      <c r="S541">
        <v>13</v>
      </c>
      <c r="T541">
        <v>2015</v>
      </c>
      <c r="U541" t="s">
        <v>66</v>
      </c>
      <c r="V541">
        <v>23</v>
      </c>
      <c r="W541">
        <v>1.4</v>
      </c>
    </row>
    <row r="542" spans="1:23" x14ac:dyDescent="0.35">
      <c r="A542">
        <v>10541</v>
      </c>
      <c r="B542" t="s">
        <v>21</v>
      </c>
      <c r="C542" t="s">
        <v>30</v>
      </c>
      <c r="D542" t="s">
        <v>36</v>
      </c>
      <c r="E542">
        <v>71964</v>
      </c>
      <c r="F542">
        <f ca="1">DATEDIF(Table1[[#This Row],[Hire Date]], TODAY(), "Y")</f>
        <v>12</v>
      </c>
      <c r="G542" s="7">
        <f ca="1">YEARFRAC(Table1[[#This Row],[Hire Date]], TODAY())</f>
        <v>12.958333333333334</v>
      </c>
      <c r="H542" s="7">
        <v>41312</v>
      </c>
      <c r="I542">
        <v>38</v>
      </c>
      <c r="J542" t="s">
        <v>42</v>
      </c>
      <c r="K542">
        <v>1</v>
      </c>
      <c r="L542" t="s">
        <v>45</v>
      </c>
      <c r="M542">
        <v>9670.4699999999993</v>
      </c>
      <c r="N542" t="s">
        <v>46</v>
      </c>
      <c r="O542" t="s">
        <v>54</v>
      </c>
      <c r="P542">
        <v>21</v>
      </c>
      <c r="Q542" t="s">
        <v>56</v>
      </c>
      <c r="R542" t="s">
        <v>60</v>
      </c>
      <c r="S542">
        <v>2</v>
      </c>
      <c r="T542">
        <v>2011</v>
      </c>
      <c r="U542" t="s">
        <v>66</v>
      </c>
      <c r="V542">
        <v>157</v>
      </c>
      <c r="W542">
        <v>1.1000000000000001</v>
      </c>
    </row>
    <row r="543" spans="1:23" x14ac:dyDescent="0.35">
      <c r="A543">
        <v>10542</v>
      </c>
      <c r="B543" t="s">
        <v>26</v>
      </c>
      <c r="C543" t="s">
        <v>34</v>
      </c>
      <c r="D543" t="s">
        <v>41</v>
      </c>
      <c r="E543">
        <v>107188</v>
      </c>
      <c r="F543">
        <f ca="1">DATEDIF(Table1[[#This Row],[Hire Date]], TODAY(), "Y")</f>
        <v>19</v>
      </c>
      <c r="G543" s="7">
        <f ca="1">YEARFRAC(Table1[[#This Row],[Hire Date]], TODAY())</f>
        <v>19.988888888888887</v>
      </c>
      <c r="H543" s="7">
        <v>38743</v>
      </c>
      <c r="I543">
        <v>40</v>
      </c>
      <c r="J543" t="s">
        <v>43</v>
      </c>
      <c r="K543">
        <v>3</v>
      </c>
      <c r="L543" t="s">
        <v>44</v>
      </c>
      <c r="M543">
        <v>8414.11</v>
      </c>
      <c r="N543" t="s">
        <v>49</v>
      </c>
      <c r="O543" t="s">
        <v>50</v>
      </c>
      <c r="P543">
        <v>16</v>
      </c>
      <c r="Q543" t="s">
        <v>57</v>
      </c>
      <c r="R543" t="s">
        <v>58</v>
      </c>
      <c r="S543">
        <v>7</v>
      </c>
      <c r="T543">
        <v>2017</v>
      </c>
      <c r="U543" t="s">
        <v>66</v>
      </c>
      <c r="V543">
        <v>35</v>
      </c>
      <c r="W543">
        <v>4.9000000000000004</v>
      </c>
    </row>
    <row r="544" spans="1:23" x14ac:dyDescent="0.35">
      <c r="A544">
        <v>10543</v>
      </c>
      <c r="B544" t="s">
        <v>24</v>
      </c>
      <c r="C544" t="s">
        <v>33</v>
      </c>
      <c r="D544" t="s">
        <v>38</v>
      </c>
      <c r="E544">
        <v>83365</v>
      </c>
      <c r="F544">
        <f ca="1">DATEDIF(Table1[[#This Row],[Hire Date]], TODAY(), "Y")</f>
        <v>14</v>
      </c>
      <c r="G544" s="7">
        <f ca="1">YEARFRAC(Table1[[#This Row],[Hire Date]], TODAY())</f>
        <v>14.408333333333333</v>
      </c>
      <c r="H544" s="7">
        <v>40780</v>
      </c>
      <c r="I544">
        <v>24</v>
      </c>
      <c r="J544" t="s">
        <v>43</v>
      </c>
      <c r="K544">
        <v>4</v>
      </c>
      <c r="L544" t="s">
        <v>45</v>
      </c>
      <c r="M544">
        <v>7312.92</v>
      </c>
      <c r="N544" t="s">
        <v>48</v>
      </c>
      <c r="O544" t="s">
        <v>51</v>
      </c>
      <c r="P544">
        <v>23</v>
      </c>
      <c r="Q544" t="s">
        <v>56</v>
      </c>
      <c r="R544" t="s">
        <v>58</v>
      </c>
      <c r="S544">
        <v>5</v>
      </c>
      <c r="T544">
        <v>2022</v>
      </c>
      <c r="U544" t="s">
        <v>66</v>
      </c>
      <c r="V544">
        <v>134</v>
      </c>
      <c r="W544">
        <v>4.8</v>
      </c>
    </row>
    <row r="545" spans="1:23" x14ac:dyDescent="0.35">
      <c r="A545">
        <v>10544</v>
      </c>
      <c r="B545" t="s">
        <v>26</v>
      </c>
      <c r="C545" t="s">
        <v>29</v>
      </c>
      <c r="D545" t="s">
        <v>36</v>
      </c>
      <c r="E545">
        <v>30443</v>
      </c>
      <c r="F545">
        <f ca="1">DATEDIF(Table1[[#This Row],[Hire Date]], TODAY(), "Y")</f>
        <v>16</v>
      </c>
      <c r="G545" s="7">
        <f ca="1">YEARFRAC(Table1[[#This Row],[Hire Date]], TODAY())</f>
        <v>16.255555555555556</v>
      </c>
      <c r="H545" s="7">
        <v>40106</v>
      </c>
      <c r="I545">
        <v>51</v>
      </c>
      <c r="J545" t="s">
        <v>42</v>
      </c>
      <c r="K545">
        <v>5</v>
      </c>
      <c r="L545" t="s">
        <v>45</v>
      </c>
      <c r="M545">
        <v>5050.1899999999996</v>
      </c>
      <c r="N545" t="s">
        <v>47</v>
      </c>
      <c r="O545" t="s">
        <v>52</v>
      </c>
      <c r="P545">
        <v>14</v>
      </c>
      <c r="Q545" t="s">
        <v>57</v>
      </c>
      <c r="R545" t="s">
        <v>58</v>
      </c>
      <c r="S545">
        <v>11</v>
      </c>
      <c r="T545">
        <v>2019</v>
      </c>
      <c r="U545" t="s">
        <v>66</v>
      </c>
      <c r="V545">
        <v>125</v>
      </c>
      <c r="W545">
        <v>2.7</v>
      </c>
    </row>
    <row r="546" spans="1:23" x14ac:dyDescent="0.35">
      <c r="A546">
        <v>10545</v>
      </c>
      <c r="B546" t="s">
        <v>28</v>
      </c>
      <c r="C546" t="s">
        <v>30</v>
      </c>
      <c r="D546" t="s">
        <v>40</v>
      </c>
      <c r="E546">
        <v>119439</v>
      </c>
      <c r="F546">
        <f ca="1">DATEDIF(Table1[[#This Row],[Hire Date]], TODAY(), "Y")</f>
        <v>8</v>
      </c>
      <c r="G546" s="7">
        <f ca="1">YEARFRAC(Table1[[#This Row],[Hire Date]], TODAY())</f>
        <v>8.0166666666666675</v>
      </c>
      <c r="H546" s="7">
        <v>43116</v>
      </c>
      <c r="I546">
        <v>31</v>
      </c>
      <c r="J546" t="s">
        <v>42</v>
      </c>
      <c r="K546">
        <v>6</v>
      </c>
      <c r="L546" t="s">
        <v>44</v>
      </c>
      <c r="M546">
        <v>4225.37</v>
      </c>
      <c r="N546" t="s">
        <v>46</v>
      </c>
      <c r="O546" t="s">
        <v>51</v>
      </c>
      <c r="P546">
        <v>23</v>
      </c>
      <c r="Q546" t="s">
        <v>56</v>
      </c>
      <c r="R546" t="s">
        <v>61</v>
      </c>
      <c r="S546">
        <v>1</v>
      </c>
      <c r="T546">
        <v>2010</v>
      </c>
      <c r="U546" t="s">
        <v>66</v>
      </c>
      <c r="V546">
        <v>63</v>
      </c>
      <c r="W546">
        <v>1.2</v>
      </c>
    </row>
    <row r="547" spans="1:23" x14ac:dyDescent="0.35">
      <c r="A547">
        <v>10546</v>
      </c>
      <c r="B547" t="s">
        <v>25</v>
      </c>
      <c r="C547" t="s">
        <v>33</v>
      </c>
      <c r="D547" t="s">
        <v>38</v>
      </c>
      <c r="E547">
        <v>58180</v>
      </c>
      <c r="F547">
        <f ca="1">DATEDIF(Table1[[#This Row],[Hire Date]], TODAY(), "Y")</f>
        <v>10</v>
      </c>
      <c r="G547" s="7">
        <f ca="1">YEARFRAC(Table1[[#This Row],[Hire Date]], TODAY())</f>
        <v>10.219444444444445</v>
      </c>
      <c r="H547" s="7">
        <v>42311</v>
      </c>
      <c r="I547">
        <v>50</v>
      </c>
      <c r="J547" t="s">
        <v>42</v>
      </c>
      <c r="K547">
        <v>2</v>
      </c>
      <c r="L547" t="s">
        <v>44</v>
      </c>
      <c r="M547">
        <v>809.03</v>
      </c>
      <c r="N547" t="s">
        <v>47</v>
      </c>
      <c r="O547" t="s">
        <v>53</v>
      </c>
      <c r="P547">
        <v>18</v>
      </c>
      <c r="Q547" t="s">
        <v>57</v>
      </c>
      <c r="R547" t="s">
        <v>63</v>
      </c>
      <c r="S547">
        <v>2</v>
      </c>
      <c r="T547">
        <v>2018</v>
      </c>
      <c r="U547" t="s">
        <v>64</v>
      </c>
      <c r="V547">
        <v>35</v>
      </c>
      <c r="W547">
        <v>3.5</v>
      </c>
    </row>
    <row r="548" spans="1:23" x14ac:dyDescent="0.35">
      <c r="A548">
        <v>10547</v>
      </c>
      <c r="B548" t="s">
        <v>23</v>
      </c>
      <c r="C548" t="s">
        <v>29</v>
      </c>
      <c r="D548" t="s">
        <v>39</v>
      </c>
      <c r="E548">
        <v>78791</v>
      </c>
      <c r="F548">
        <f ca="1">DATEDIF(Table1[[#This Row],[Hire Date]], TODAY(), "Y")</f>
        <v>9</v>
      </c>
      <c r="G548" s="7">
        <f ca="1">YEARFRAC(Table1[[#This Row],[Hire Date]], TODAY())</f>
        <v>9.5388888888888896</v>
      </c>
      <c r="H548" s="7">
        <v>42559</v>
      </c>
      <c r="I548">
        <v>61</v>
      </c>
      <c r="J548" t="s">
        <v>42</v>
      </c>
      <c r="K548">
        <v>2</v>
      </c>
      <c r="L548" t="s">
        <v>44</v>
      </c>
      <c r="M548">
        <v>3911.42</v>
      </c>
      <c r="N548" t="s">
        <v>48</v>
      </c>
      <c r="O548" t="s">
        <v>53</v>
      </c>
      <c r="P548">
        <v>36</v>
      </c>
      <c r="Q548" t="s">
        <v>56</v>
      </c>
      <c r="R548" t="s">
        <v>59</v>
      </c>
      <c r="S548">
        <v>13</v>
      </c>
      <c r="T548">
        <v>2018</v>
      </c>
      <c r="U548" t="s">
        <v>64</v>
      </c>
      <c r="V548">
        <v>144</v>
      </c>
      <c r="W548">
        <v>2.2000000000000002</v>
      </c>
    </row>
    <row r="549" spans="1:23" x14ac:dyDescent="0.35">
      <c r="A549">
        <v>10548</v>
      </c>
      <c r="B549" t="s">
        <v>22</v>
      </c>
      <c r="C549" t="s">
        <v>31</v>
      </c>
      <c r="D549" t="s">
        <v>38</v>
      </c>
      <c r="E549">
        <v>116655</v>
      </c>
      <c r="F549">
        <f ca="1">DATEDIF(Table1[[#This Row],[Hire Date]], TODAY(), "Y")</f>
        <v>23</v>
      </c>
      <c r="G549" s="7">
        <f ca="1">YEARFRAC(Table1[[#This Row],[Hire Date]], TODAY())</f>
        <v>23.272222222222222</v>
      </c>
      <c r="H549" s="7">
        <v>37543</v>
      </c>
      <c r="I549">
        <v>39</v>
      </c>
      <c r="J549" t="s">
        <v>42</v>
      </c>
      <c r="K549">
        <v>6</v>
      </c>
      <c r="L549" t="s">
        <v>45</v>
      </c>
      <c r="M549">
        <v>8559.58</v>
      </c>
      <c r="N549" t="s">
        <v>48</v>
      </c>
      <c r="O549" t="s">
        <v>52</v>
      </c>
      <c r="P549">
        <v>12</v>
      </c>
      <c r="Q549" t="s">
        <v>56</v>
      </c>
      <c r="R549" t="s">
        <v>58</v>
      </c>
      <c r="S549">
        <v>16</v>
      </c>
      <c r="T549">
        <v>2015</v>
      </c>
      <c r="U549" t="s">
        <v>65</v>
      </c>
      <c r="V549">
        <v>149</v>
      </c>
      <c r="W549">
        <v>4.7</v>
      </c>
    </row>
    <row r="550" spans="1:23" x14ac:dyDescent="0.35">
      <c r="A550">
        <v>10549</v>
      </c>
      <c r="B550" t="s">
        <v>26</v>
      </c>
      <c r="C550" t="s">
        <v>35</v>
      </c>
      <c r="D550" t="s">
        <v>40</v>
      </c>
      <c r="E550">
        <v>105899</v>
      </c>
      <c r="F550">
        <f ca="1">DATEDIF(Table1[[#This Row],[Hire Date]], TODAY(), "Y")</f>
        <v>17</v>
      </c>
      <c r="G550" s="7">
        <f ca="1">YEARFRAC(Table1[[#This Row],[Hire Date]], TODAY())</f>
        <v>17.425000000000001</v>
      </c>
      <c r="H550" s="7">
        <v>39679</v>
      </c>
      <c r="I550">
        <v>33</v>
      </c>
      <c r="J550" t="s">
        <v>42</v>
      </c>
      <c r="K550">
        <v>5</v>
      </c>
      <c r="L550" t="s">
        <v>44</v>
      </c>
      <c r="M550">
        <v>4148.2299999999996</v>
      </c>
      <c r="N550" t="s">
        <v>49</v>
      </c>
      <c r="O550" t="s">
        <v>52</v>
      </c>
      <c r="P550">
        <v>37</v>
      </c>
      <c r="Q550" t="s">
        <v>56</v>
      </c>
      <c r="R550" t="s">
        <v>62</v>
      </c>
      <c r="S550">
        <v>2</v>
      </c>
      <c r="T550">
        <v>2019</v>
      </c>
      <c r="U550" t="s">
        <v>66</v>
      </c>
      <c r="V550">
        <v>33</v>
      </c>
      <c r="W550">
        <v>4.2</v>
      </c>
    </row>
    <row r="551" spans="1:23" x14ac:dyDescent="0.35">
      <c r="A551">
        <v>10550</v>
      </c>
      <c r="B551" t="s">
        <v>21</v>
      </c>
      <c r="C551" t="s">
        <v>34</v>
      </c>
      <c r="D551" t="s">
        <v>37</v>
      </c>
      <c r="E551">
        <v>73665</v>
      </c>
      <c r="F551">
        <f ca="1">DATEDIF(Table1[[#This Row],[Hire Date]], TODAY(), "Y")</f>
        <v>11</v>
      </c>
      <c r="G551" s="7">
        <f ca="1">YEARFRAC(Table1[[#This Row],[Hire Date]], TODAY())</f>
        <v>11.883333333333333</v>
      </c>
      <c r="H551" s="7">
        <v>41702</v>
      </c>
      <c r="I551">
        <v>44</v>
      </c>
      <c r="J551" t="s">
        <v>42</v>
      </c>
      <c r="K551">
        <v>1</v>
      </c>
      <c r="L551" t="s">
        <v>44</v>
      </c>
      <c r="M551">
        <v>4885.0600000000004</v>
      </c>
      <c r="N551" t="s">
        <v>46</v>
      </c>
      <c r="O551" t="s">
        <v>52</v>
      </c>
      <c r="P551">
        <v>11</v>
      </c>
      <c r="Q551" t="s">
        <v>56</v>
      </c>
      <c r="R551" t="s">
        <v>61</v>
      </c>
      <c r="S551">
        <v>3</v>
      </c>
      <c r="T551">
        <v>2015</v>
      </c>
      <c r="U551" t="s">
        <v>66</v>
      </c>
      <c r="V551">
        <v>168</v>
      </c>
      <c r="W551">
        <v>3.6</v>
      </c>
    </row>
    <row r="552" spans="1:23" x14ac:dyDescent="0.35">
      <c r="A552">
        <v>10551</v>
      </c>
      <c r="B552" t="s">
        <v>28</v>
      </c>
      <c r="C552" t="s">
        <v>32</v>
      </c>
      <c r="D552" t="s">
        <v>40</v>
      </c>
      <c r="E552">
        <v>33465</v>
      </c>
      <c r="F552">
        <f ca="1">DATEDIF(Table1[[#This Row],[Hire Date]], TODAY(), "Y")</f>
        <v>16</v>
      </c>
      <c r="G552" s="7">
        <f ca="1">YEARFRAC(Table1[[#This Row],[Hire Date]], TODAY())</f>
        <v>16.227777777777778</v>
      </c>
      <c r="H552" s="7">
        <v>40116</v>
      </c>
      <c r="I552">
        <v>32</v>
      </c>
      <c r="J552" t="s">
        <v>42</v>
      </c>
      <c r="K552">
        <v>3</v>
      </c>
      <c r="L552" t="s">
        <v>44</v>
      </c>
      <c r="M552">
        <v>3082.43</v>
      </c>
      <c r="N552" t="s">
        <v>46</v>
      </c>
      <c r="O552" t="s">
        <v>52</v>
      </c>
      <c r="P552">
        <v>5</v>
      </c>
      <c r="Q552" t="s">
        <v>55</v>
      </c>
      <c r="R552" t="s">
        <v>61</v>
      </c>
      <c r="S552">
        <v>14</v>
      </c>
      <c r="T552">
        <v>2015</v>
      </c>
      <c r="U552" t="s">
        <v>66</v>
      </c>
      <c r="V552">
        <v>108</v>
      </c>
      <c r="W552">
        <v>2.1</v>
      </c>
    </row>
    <row r="553" spans="1:23" x14ac:dyDescent="0.35">
      <c r="A553">
        <v>10552</v>
      </c>
      <c r="B553" t="s">
        <v>22</v>
      </c>
      <c r="C553" t="s">
        <v>34</v>
      </c>
      <c r="D553" t="s">
        <v>40</v>
      </c>
      <c r="E553">
        <v>98247</v>
      </c>
      <c r="F553">
        <f ca="1">DATEDIF(Table1[[#This Row],[Hire Date]], TODAY(), "Y")</f>
        <v>14</v>
      </c>
      <c r="G553" s="7">
        <f ca="1">YEARFRAC(Table1[[#This Row],[Hire Date]], TODAY())</f>
        <v>14.536111111111111</v>
      </c>
      <c r="H553" s="7">
        <v>40733</v>
      </c>
      <c r="I553">
        <v>30</v>
      </c>
      <c r="J553" t="s">
        <v>43</v>
      </c>
      <c r="K553">
        <v>5</v>
      </c>
      <c r="L553" t="s">
        <v>44</v>
      </c>
      <c r="M553">
        <v>3104.26</v>
      </c>
      <c r="N553" t="s">
        <v>49</v>
      </c>
      <c r="O553" t="s">
        <v>50</v>
      </c>
      <c r="P553">
        <v>21</v>
      </c>
      <c r="Q553" t="s">
        <v>55</v>
      </c>
      <c r="R553" t="s">
        <v>58</v>
      </c>
      <c r="S553">
        <v>6</v>
      </c>
      <c r="T553">
        <v>2020</v>
      </c>
      <c r="U553" t="s">
        <v>65</v>
      </c>
      <c r="V553">
        <v>67</v>
      </c>
      <c r="W553">
        <v>3.8</v>
      </c>
    </row>
    <row r="554" spans="1:23" x14ac:dyDescent="0.35">
      <c r="A554">
        <v>10553</v>
      </c>
      <c r="B554" t="s">
        <v>23</v>
      </c>
      <c r="C554" t="s">
        <v>31</v>
      </c>
      <c r="D554" t="s">
        <v>37</v>
      </c>
      <c r="E554">
        <v>81559</v>
      </c>
      <c r="F554">
        <f ca="1">DATEDIF(Table1[[#This Row],[Hire Date]], TODAY(), "Y")</f>
        <v>14</v>
      </c>
      <c r="G554" s="7">
        <f ca="1">YEARFRAC(Table1[[#This Row],[Hire Date]], TODAY())</f>
        <v>14.919444444444444</v>
      </c>
      <c r="H554" s="7">
        <v>40595</v>
      </c>
      <c r="I554">
        <v>45</v>
      </c>
      <c r="J554" t="s">
        <v>42</v>
      </c>
      <c r="K554">
        <v>2</v>
      </c>
      <c r="L554" t="s">
        <v>44</v>
      </c>
      <c r="M554">
        <v>1087.78</v>
      </c>
      <c r="N554" t="s">
        <v>49</v>
      </c>
      <c r="O554" t="s">
        <v>51</v>
      </c>
      <c r="P554">
        <v>32</v>
      </c>
      <c r="Q554" t="s">
        <v>55</v>
      </c>
      <c r="R554" t="s">
        <v>62</v>
      </c>
      <c r="S554">
        <v>18</v>
      </c>
      <c r="T554">
        <v>2013</v>
      </c>
      <c r="U554" t="s">
        <v>64</v>
      </c>
      <c r="V554">
        <v>19</v>
      </c>
      <c r="W554">
        <v>2.2000000000000002</v>
      </c>
    </row>
    <row r="555" spans="1:23" x14ac:dyDescent="0.35">
      <c r="A555">
        <v>10554</v>
      </c>
      <c r="B555" t="s">
        <v>22</v>
      </c>
      <c r="C555" t="s">
        <v>33</v>
      </c>
      <c r="D555" t="s">
        <v>37</v>
      </c>
      <c r="E555">
        <v>55198</v>
      </c>
      <c r="F555">
        <f ca="1">DATEDIF(Table1[[#This Row],[Hire Date]], TODAY(), "Y")</f>
        <v>25</v>
      </c>
      <c r="G555" s="7">
        <f ca="1">YEARFRAC(Table1[[#This Row],[Hire Date]], TODAY())</f>
        <v>25.930555555555557</v>
      </c>
      <c r="H555" s="7">
        <v>36573</v>
      </c>
      <c r="I555">
        <v>46</v>
      </c>
      <c r="J555" t="s">
        <v>42</v>
      </c>
      <c r="K555">
        <v>1</v>
      </c>
      <c r="L555" t="s">
        <v>44</v>
      </c>
      <c r="M555">
        <v>6331.14</v>
      </c>
      <c r="N555" t="s">
        <v>46</v>
      </c>
      <c r="O555" t="s">
        <v>53</v>
      </c>
      <c r="P555">
        <v>29</v>
      </c>
      <c r="Q555" t="s">
        <v>55</v>
      </c>
      <c r="R555" t="s">
        <v>60</v>
      </c>
      <c r="S555">
        <v>13</v>
      </c>
      <c r="T555">
        <v>2010</v>
      </c>
      <c r="U555" t="s">
        <v>64</v>
      </c>
      <c r="V555">
        <v>34</v>
      </c>
      <c r="W555">
        <v>1.2</v>
      </c>
    </row>
    <row r="556" spans="1:23" x14ac:dyDescent="0.35">
      <c r="A556">
        <v>10555</v>
      </c>
      <c r="B556" t="s">
        <v>28</v>
      </c>
      <c r="C556" t="s">
        <v>32</v>
      </c>
      <c r="D556" t="s">
        <v>37</v>
      </c>
      <c r="E556">
        <v>84740</v>
      </c>
      <c r="F556">
        <f ca="1">DATEDIF(Table1[[#This Row],[Hire Date]], TODAY(), "Y")</f>
        <v>16</v>
      </c>
      <c r="G556" s="7">
        <f ca="1">YEARFRAC(Table1[[#This Row],[Hire Date]], TODAY())</f>
        <v>16.030555555555555</v>
      </c>
      <c r="H556" s="7">
        <v>40189</v>
      </c>
      <c r="I556">
        <v>46</v>
      </c>
      <c r="J556" t="s">
        <v>43</v>
      </c>
      <c r="K556">
        <v>9</v>
      </c>
      <c r="L556" t="s">
        <v>45</v>
      </c>
      <c r="M556">
        <v>4756.66</v>
      </c>
      <c r="N556" t="s">
        <v>46</v>
      </c>
      <c r="O556" t="s">
        <v>50</v>
      </c>
      <c r="P556">
        <v>7</v>
      </c>
      <c r="Q556" t="s">
        <v>56</v>
      </c>
      <c r="R556" t="s">
        <v>61</v>
      </c>
      <c r="S556">
        <v>15</v>
      </c>
      <c r="T556">
        <v>2010</v>
      </c>
      <c r="U556" t="s">
        <v>66</v>
      </c>
      <c r="V556">
        <v>183</v>
      </c>
      <c r="W556">
        <v>3</v>
      </c>
    </row>
    <row r="557" spans="1:23" x14ac:dyDescent="0.35">
      <c r="A557">
        <v>10556</v>
      </c>
      <c r="B557" t="s">
        <v>25</v>
      </c>
      <c r="C557" t="s">
        <v>35</v>
      </c>
      <c r="D557" t="s">
        <v>37</v>
      </c>
      <c r="E557">
        <v>52488</v>
      </c>
      <c r="F557">
        <f ca="1">DATEDIF(Table1[[#This Row],[Hire Date]], TODAY(), "Y")</f>
        <v>9</v>
      </c>
      <c r="G557" s="7">
        <f ca="1">YEARFRAC(Table1[[#This Row],[Hire Date]], TODAY())</f>
        <v>9.6138888888888889</v>
      </c>
      <c r="H557" s="7">
        <v>42532</v>
      </c>
      <c r="I557">
        <v>30</v>
      </c>
      <c r="J557" t="s">
        <v>42</v>
      </c>
      <c r="K557">
        <v>5</v>
      </c>
      <c r="L557" t="s">
        <v>44</v>
      </c>
      <c r="M557">
        <v>6256.63</v>
      </c>
      <c r="N557" t="s">
        <v>47</v>
      </c>
      <c r="O557" t="s">
        <v>52</v>
      </c>
      <c r="P557">
        <v>36</v>
      </c>
      <c r="Q557" t="s">
        <v>55</v>
      </c>
      <c r="R557" t="s">
        <v>58</v>
      </c>
      <c r="S557">
        <v>12</v>
      </c>
      <c r="T557">
        <v>2010</v>
      </c>
      <c r="U557" t="s">
        <v>64</v>
      </c>
      <c r="V557">
        <v>15</v>
      </c>
      <c r="W557">
        <v>3</v>
      </c>
    </row>
    <row r="558" spans="1:23" x14ac:dyDescent="0.35">
      <c r="A558">
        <v>10557</v>
      </c>
      <c r="B558" t="s">
        <v>25</v>
      </c>
      <c r="C558" t="s">
        <v>31</v>
      </c>
      <c r="D558" t="s">
        <v>37</v>
      </c>
      <c r="E558">
        <v>68515</v>
      </c>
      <c r="F558">
        <f ca="1">DATEDIF(Table1[[#This Row],[Hire Date]], TODAY(), "Y")</f>
        <v>13</v>
      </c>
      <c r="G558" s="7">
        <f ca="1">YEARFRAC(Table1[[#This Row],[Hire Date]], TODAY())</f>
        <v>13.813888888888888</v>
      </c>
      <c r="H558" s="7">
        <v>40997</v>
      </c>
      <c r="I558">
        <v>33</v>
      </c>
      <c r="J558" t="s">
        <v>42</v>
      </c>
      <c r="K558">
        <v>2</v>
      </c>
      <c r="L558" t="s">
        <v>45</v>
      </c>
      <c r="M558">
        <v>5695.43</v>
      </c>
      <c r="N558" t="s">
        <v>46</v>
      </c>
      <c r="O558" t="s">
        <v>54</v>
      </c>
      <c r="P558">
        <v>27</v>
      </c>
      <c r="Q558" t="s">
        <v>55</v>
      </c>
      <c r="R558" t="s">
        <v>59</v>
      </c>
      <c r="S558">
        <v>19</v>
      </c>
      <c r="T558">
        <v>2014</v>
      </c>
      <c r="U558" t="s">
        <v>64</v>
      </c>
      <c r="V558">
        <v>189</v>
      </c>
      <c r="W558">
        <v>4.0999999999999996</v>
      </c>
    </row>
    <row r="559" spans="1:23" x14ac:dyDescent="0.35">
      <c r="A559">
        <v>10558</v>
      </c>
      <c r="B559" t="s">
        <v>27</v>
      </c>
      <c r="C559" t="s">
        <v>32</v>
      </c>
      <c r="D559" t="s">
        <v>40</v>
      </c>
      <c r="E559">
        <v>119144</v>
      </c>
      <c r="F559">
        <f ca="1">DATEDIF(Table1[[#This Row],[Hire Date]], TODAY(), "Y")</f>
        <v>23</v>
      </c>
      <c r="G559" s="7">
        <f ca="1">YEARFRAC(Table1[[#This Row],[Hire Date]], TODAY())</f>
        <v>23.791666666666668</v>
      </c>
      <c r="H559" s="7">
        <v>37353</v>
      </c>
      <c r="I559">
        <v>32</v>
      </c>
      <c r="J559" t="s">
        <v>42</v>
      </c>
      <c r="K559">
        <v>4</v>
      </c>
      <c r="L559" t="s">
        <v>45</v>
      </c>
      <c r="M559">
        <v>8089.02</v>
      </c>
      <c r="N559" t="s">
        <v>47</v>
      </c>
      <c r="O559" t="s">
        <v>54</v>
      </c>
      <c r="P559">
        <v>6</v>
      </c>
      <c r="Q559" t="s">
        <v>56</v>
      </c>
      <c r="R559" t="s">
        <v>58</v>
      </c>
      <c r="S559">
        <v>16</v>
      </c>
      <c r="T559">
        <v>2022</v>
      </c>
      <c r="U559" t="s">
        <v>64</v>
      </c>
      <c r="V559">
        <v>17</v>
      </c>
      <c r="W559">
        <v>4.5</v>
      </c>
    </row>
    <row r="560" spans="1:23" x14ac:dyDescent="0.35">
      <c r="A560">
        <v>10559</v>
      </c>
      <c r="B560" t="s">
        <v>25</v>
      </c>
      <c r="C560" t="s">
        <v>31</v>
      </c>
      <c r="D560" t="s">
        <v>41</v>
      </c>
      <c r="E560">
        <v>57898</v>
      </c>
      <c r="F560">
        <f ca="1">DATEDIF(Table1[[#This Row],[Hire Date]], TODAY(), "Y")</f>
        <v>9</v>
      </c>
      <c r="G560" s="7">
        <f ca="1">YEARFRAC(Table1[[#This Row],[Hire Date]], TODAY())</f>
        <v>9.15</v>
      </c>
      <c r="H560" s="7">
        <v>42702</v>
      </c>
      <c r="I560">
        <v>59</v>
      </c>
      <c r="J560" t="s">
        <v>42</v>
      </c>
      <c r="K560">
        <v>3</v>
      </c>
      <c r="L560" t="s">
        <v>44</v>
      </c>
      <c r="M560">
        <v>7634.61</v>
      </c>
      <c r="N560" t="s">
        <v>47</v>
      </c>
      <c r="O560" t="s">
        <v>51</v>
      </c>
      <c r="P560">
        <v>38</v>
      </c>
      <c r="Q560" t="s">
        <v>55</v>
      </c>
      <c r="R560" t="s">
        <v>59</v>
      </c>
      <c r="S560">
        <v>16</v>
      </c>
      <c r="T560">
        <v>2016</v>
      </c>
      <c r="U560" t="s">
        <v>66</v>
      </c>
      <c r="V560">
        <v>59</v>
      </c>
      <c r="W560">
        <v>2.4</v>
      </c>
    </row>
    <row r="561" spans="1:23" x14ac:dyDescent="0.35">
      <c r="A561">
        <v>10560</v>
      </c>
      <c r="B561" t="s">
        <v>27</v>
      </c>
      <c r="C561" t="s">
        <v>31</v>
      </c>
      <c r="D561" t="s">
        <v>41</v>
      </c>
      <c r="E561">
        <v>31919</v>
      </c>
      <c r="F561">
        <f ca="1">DATEDIF(Table1[[#This Row],[Hire Date]], TODAY(), "Y")</f>
        <v>7</v>
      </c>
      <c r="G561" s="7">
        <f ca="1">YEARFRAC(Table1[[#This Row],[Hire Date]], TODAY())</f>
        <v>7.8555555555555552</v>
      </c>
      <c r="H561" s="7">
        <v>43173</v>
      </c>
      <c r="I561">
        <v>49</v>
      </c>
      <c r="J561" t="s">
        <v>43</v>
      </c>
      <c r="K561">
        <v>7</v>
      </c>
      <c r="L561" t="s">
        <v>44</v>
      </c>
      <c r="M561">
        <v>7828.81</v>
      </c>
      <c r="N561" t="s">
        <v>47</v>
      </c>
      <c r="O561" t="s">
        <v>53</v>
      </c>
      <c r="P561">
        <v>4</v>
      </c>
      <c r="Q561" t="s">
        <v>55</v>
      </c>
      <c r="R561" t="s">
        <v>59</v>
      </c>
      <c r="S561">
        <v>9</v>
      </c>
      <c r="T561">
        <v>2010</v>
      </c>
      <c r="U561" t="s">
        <v>64</v>
      </c>
      <c r="V561">
        <v>67</v>
      </c>
      <c r="W561">
        <v>2.8</v>
      </c>
    </row>
    <row r="562" spans="1:23" x14ac:dyDescent="0.35">
      <c r="A562">
        <v>10561</v>
      </c>
      <c r="B562" t="s">
        <v>22</v>
      </c>
      <c r="C562" t="s">
        <v>35</v>
      </c>
      <c r="D562" t="s">
        <v>36</v>
      </c>
      <c r="E562">
        <v>80070</v>
      </c>
      <c r="F562">
        <f ca="1">DATEDIF(Table1[[#This Row],[Hire Date]], TODAY(), "Y")</f>
        <v>13</v>
      </c>
      <c r="G562" s="7">
        <f ca="1">YEARFRAC(Table1[[#This Row],[Hire Date]], TODAY())</f>
        <v>13.130555555555556</v>
      </c>
      <c r="H562" s="7">
        <v>41248</v>
      </c>
      <c r="I562">
        <v>29</v>
      </c>
      <c r="J562" t="s">
        <v>42</v>
      </c>
      <c r="K562">
        <v>1</v>
      </c>
      <c r="L562" t="s">
        <v>45</v>
      </c>
      <c r="M562">
        <v>5242.7700000000004</v>
      </c>
      <c r="N562" t="s">
        <v>47</v>
      </c>
      <c r="O562" t="s">
        <v>53</v>
      </c>
      <c r="P562">
        <v>35</v>
      </c>
      <c r="Q562" t="s">
        <v>57</v>
      </c>
      <c r="R562" t="s">
        <v>63</v>
      </c>
      <c r="S562">
        <v>6</v>
      </c>
      <c r="T562">
        <v>2010</v>
      </c>
      <c r="U562" t="s">
        <v>64</v>
      </c>
      <c r="V562">
        <v>134</v>
      </c>
      <c r="W562">
        <v>2.9</v>
      </c>
    </row>
    <row r="563" spans="1:23" x14ac:dyDescent="0.35">
      <c r="A563">
        <v>10562</v>
      </c>
      <c r="B563" t="s">
        <v>24</v>
      </c>
      <c r="C563" t="s">
        <v>30</v>
      </c>
      <c r="D563" t="s">
        <v>41</v>
      </c>
      <c r="E563">
        <v>92613</v>
      </c>
      <c r="F563">
        <f ca="1">DATEDIF(Table1[[#This Row],[Hire Date]], TODAY(), "Y")</f>
        <v>9</v>
      </c>
      <c r="G563" s="7">
        <f ca="1">YEARFRAC(Table1[[#This Row],[Hire Date]], TODAY())</f>
        <v>9.5888888888888886</v>
      </c>
      <c r="H563" s="7">
        <v>42541</v>
      </c>
      <c r="I563">
        <v>31</v>
      </c>
      <c r="J563" t="s">
        <v>42</v>
      </c>
      <c r="K563">
        <v>4</v>
      </c>
      <c r="L563" t="s">
        <v>44</v>
      </c>
      <c r="M563">
        <v>3861.87</v>
      </c>
      <c r="N563" t="s">
        <v>48</v>
      </c>
      <c r="O563" t="s">
        <v>51</v>
      </c>
      <c r="P563">
        <v>10</v>
      </c>
      <c r="Q563" t="s">
        <v>55</v>
      </c>
      <c r="R563" t="s">
        <v>63</v>
      </c>
      <c r="S563">
        <v>19</v>
      </c>
      <c r="T563">
        <v>2023</v>
      </c>
      <c r="U563" t="s">
        <v>65</v>
      </c>
      <c r="V563">
        <v>188</v>
      </c>
      <c r="W563">
        <v>2.2999999999999998</v>
      </c>
    </row>
    <row r="564" spans="1:23" x14ac:dyDescent="0.35">
      <c r="A564">
        <v>10563</v>
      </c>
      <c r="B564" t="s">
        <v>21</v>
      </c>
      <c r="C564" t="s">
        <v>29</v>
      </c>
      <c r="D564" t="s">
        <v>39</v>
      </c>
      <c r="E564">
        <v>116135</v>
      </c>
      <c r="F564">
        <f ca="1">DATEDIF(Table1[[#This Row],[Hire Date]], TODAY(), "Y")</f>
        <v>12</v>
      </c>
      <c r="G564" s="7">
        <f ca="1">YEARFRAC(Table1[[#This Row],[Hire Date]], TODAY())</f>
        <v>12.036111111111111</v>
      </c>
      <c r="H564" s="7">
        <v>41648</v>
      </c>
      <c r="I564">
        <v>46</v>
      </c>
      <c r="J564" t="s">
        <v>42</v>
      </c>
      <c r="K564">
        <v>7</v>
      </c>
      <c r="L564" t="s">
        <v>44</v>
      </c>
      <c r="M564">
        <v>9367.65</v>
      </c>
      <c r="N564" t="s">
        <v>49</v>
      </c>
      <c r="O564" t="s">
        <v>52</v>
      </c>
      <c r="P564">
        <v>38</v>
      </c>
      <c r="Q564" t="s">
        <v>57</v>
      </c>
      <c r="R564" t="s">
        <v>60</v>
      </c>
      <c r="S564">
        <v>16</v>
      </c>
      <c r="T564">
        <v>2022</v>
      </c>
      <c r="U564" t="s">
        <v>66</v>
      </c>
      <c r="V564">
        <v>11</v>
      </c>
      <c r="W564">
        <v>4</v>
      </c>
    </row>
    <row r="565" spans="1:23" x14ac:dyDescent="0.35">
      <c r="A565">
        <v>10564</v>
      </c>
      <c r="B565" t="s">
        <v>21</v>
      </c>
      <c r="C565" t="s">
        <v>32</v>
      </c>
      <c r="D565" t="s">
        <v>41</v>
      </c>
      <c r="E565">
        <v>112501</v>
      </c>
      <c r="F565">
        <f ca="1">DATEDIF(Table1[[#This Row],[Hire Date]], TODAY(), "Y")</f>
        <v>9</v>
      </c>
      <c r="G565" s="7">
        <f ca="1">YEARFRAC(Table1[[#This Row],[Hire Date]], TODAY())</f>
        <v>9.6638888888888896</v>
      </c>
      <c r="H565" s="7">
        <v>42513</v>
      </c>
      <c r="I565">
        <v>57</v>
      </c>
      <c r="J565" t="s">
        <v>43</v>
      </c>
      <c r="K565">
        <v>5</v>
      </c>
      <c r="L565" t="s">
        <v>44</v>
      </c>
      <c r="M565">
        <v>1015.56</v>
      </c>
      <c r="N565" t="s">
        <v>49</v>
      </c>
      <c r="O565" t="s">
        <v>52</v>
      </c>
      <c r="P565">
        <v>30</v>
      </c>
      <c r="Q565" t="s">
        <v>55</v>
      </c>
      <c r="R565" t="s">
        <v>60</v>
      </c>
      <c r="S565">
        <v>11</v>
      </c>
      <c r="T565">
        <v>2021</v>
      </c>
      <c r="U565" t="s">
        <v>64</v>
      </c>
      <c r="V565">
        <v>175</v>
      </c>
      <c r="W565">
        <v>3.1</v>
      </c>
    </row>
    <row r="566" spans="1:23" x14ac:dyDescent="0.35">
      <c r="A566">
        <v>10565</v>
      </c>
      <c r="B566" t="s">
        <v>22</v>
      </c>
      <c r="C566" t="s">
        <v>35</v>
      </c>
      <c r="D566" t="s">
        <v>40</v>
      </c>
      <c r="E566">
        <v>77003</v>
      </c>
      <c r="F566">
        <f ca="1">DATEDIF(Table1[[#This Row],[Hire Date]], TODAY(), "Y")</f>
        <v>20</v>
      </c>
      <c r="G566" s="7">
        <f ca="1">YEARFRAC(Table1[[#This Row],[Hire Date]], TODAY())</f>
        <v>20.338888888888889</v>
      </c>
      <c r="H566" s="7">
        <v>38615</v>
      </c>
      <c r="I566">
        <v>64</v>
      </c>
      <c r="J566" t="s">
        <v>42</v>
      </c>
      <c r="K566">
        <v>4</v>
      </c>
      <c r="L566" t="s">
        <v>44</v>
      </c>
      <c r="M566">
        <v>1949.9</v>
      </c>
      <c r="N566" t="s">
        <v>46</v>
      </c>
      <c r="O566" t="s">
        <v>53</v>
      </c>
      <c r="P566">
        <v>9</v>
      </c>
      <c r="Q566" t="s">
        <v>56</v>
      </c>
      <c r="R566" t="s">
        <v>59</v>
      </c>
      <c r="S566">
        <v>10</v>
      </c>
      <c r="T566">
        <v>2020</v>
      </c>
      <c r="U566" t="s">
        <v>66</v>
      </c>
      <c r="V566">
        <v>163</v>
      </c>
      <c r="W566">
        <v>4.7</v>
      </c>
    </row>
    <row r="567" spans="1:23" x14ac:dyDescent="0.35">
      <c r="A567">
        <v>10566</v>
      </c>
      <c r="B567" t="s">
        <v>26</v>
      </c>
      <c r="C567" t="s">
        <v>31</v>
      </c>
      <c r="D567" t="s">
        <v>37</v>
      </c>
      <c r="E567">
        <v>78478</v>
      </c>
      <c r="F567">
        <f ca="1">DATEDIF(Table1[[#This Row],[Hire Date]], TODAY(), "Y")</f>
        <v>20</v>
      </c>
      <c r="G567" s="7">
        <f ca="1">YEARFRAC(Table1[[#This Row],[Hire Date]], TODAY())</f>
        <v>20.427777777777777</v>
      </c>
      <c r="H567" s="7">
        <v>38582</v>
      </c>
      <c r="I567">
        <v>30</v>
      </c>
      <c r="J567" t="s">
        <v>42</v>
      </c>
      <c r="K567">
        <v>4</v>
      </c>
      <c r="L567" t="s">
        <v>45</v>
      </c>
      <c r="M567">
        <v>4486.1899999999996</v>
      </c>
      <c r="N567" t="s">
        <v>49</v>
      </c>
      <c r="O567" t="s">
        <v>53</v>
      </c>
      <c r="P567">
        <v>16</v>
      </c>
      <c r="Q567" t="s">
        <v>55</v>
      </c>
      <c r="R567" t="s">
        <v>60</v>
      </c>
      <c r="S567">
        <v>9</v>
      </c>
      <c r="T567">
        <v>2021</v>
      </c>
      <c r="U567" t="s">
        <v>64</v>
      </c>
      <c r="V567">
        <v>193</v>
      </c>
      <c r="W567">
        <v>3.6</v>
      </c>
    </row>
    <row r="568" spans="1:23" x14ac:dyDescent="0.35">
      <c r="A568">
        <v>10567</v>
      </c>
      <c r="B568" t="s">
        <v>26</v>
      </c>
      <c r="C568" t="s">
        <v>35</v>
      </c>
      <c r="D568" t="s">
        <v>37</v>
      </c>
      <c r="E568">
        <v>44434</v>
      </c>
      <c r="F568">
        <f ca="1">DATEDIF(Table1[[#This Row],[Hire Date]], TODAY(), "Y")</f>
        <v>6</v>
      </c>
      <c r="G568" s="7">
        <f ca="1">YEARFRAC(Table1[[#This Row],[Hire Date]], TODAY())</f>
        <v>6.4972222222222218</v>
      </c>
      <c r="H568" s="7">
        <v>43669</v>
      </c>
      <c r="I568">
        <v>62</v>
      </c>
      <c r="J568" t="s">
        <v>43</v>
      </c>
      <c r="K568">
        <v>2</v>
      </c>
      <c r="L568" t="s">
        <v>45</v>
      </c>
      <c r="M568">
        <v>6332.6</v>
      </c>
      <c r="N568" t="s">
        <v>49</v>
      </c>
      <c r="O568" t="s">
        <v>53</v>
      </c>
      <c r="P568">
        <v>4</v>
      </c>
      <c r="Q568" t="s">
        <v>56</v>
      </c>
      <c r="R568" t="s">
        <v>60</v>
      </c>
      <c r="S568">
        <v>7</v>
      </c>
      <c r="T568">
        <v>2015</v>
      </c>
      <c r="U568" t="s">
        <v>66</v>
      </c>
      <c r="V568">
        <v>154</v>
      </c>
      <c r="W568">
        <v>1.8</v>
      </c>
    </row>
    <row r="569" spans="1:23" x14ac:dyDescent="0.35">
      <c r="A569">
        <v>10568</v>
      </c>
      <c r="B569" t="s">
        <v>25</v>
      </c>
      <c r="C569" t="s">
        <v>30</v>
      </c>
      <c r="D569" t="s">
        <v>40</v>
      </c>
      <c r="E569">
        <v>76246</v>
      </c>
      <c r="F569">
        <f ca="1">DATEDIF(Table1[[#This Row],[Hire Date]], TODAY(), "Y")</f>
        <v>23</v>
      </c>
      <c r="G569" s="7">
        <f ca="1">YEARFRAC(Table1[[#This Row],[Hire Date]], TODAY())</f>
        <v>23.81388888888889</v>
      </c>
      <c r="H569" s="7">
        <v>37344</v>
      </c>
      <c r="I569">
        <v>29</v>
      </c>
      <c r="J569" t="s">
        <v>43</v>
      </c>
      <c r="K569">
        <v>8</v>
      </c>
      <c r="L569" t="s">
        <v>45</v>
      </c>
      <c r="M569">
        <v>577.9</v>
      </c>
      <c r="N569" t="s">
        <v>48</v>
      </c>
      <c r="O569" t="s">
        <v>52</v>
      </c>
      <c r="P569">
        <v>26</v>
      </c>
      <c r="Q569" t="s">
        <v>55</v>
      </c>
      <c r="R569" t="s">
        <v>58</v>
      </c>
      <c r="S569">
        <v>14</v>
      </c>
      <c r="T569">
        <v>2020</v>
      </c>
      <c r="U569" t="s">
        <v>64</v>
      </c>
      <c r="V569">
        <v>194</v>
      </c>
      <c r="W569">
        <v>1.7</v>
      </c>
    </row>
    <row r="570" spans="1:23" x14ac:dyDescent="0.35">
      <c r="A570">
        <v>10569</v>
      </c>
      <c r="B570" t="s">
        <v>21</v>
      </c>
      <c r="C570" t="s">
        <v>29</v>
      </c>
      <c r="D570" t="s">
        <v>39</v>
      </c>
      <c r="E570">
        <v>66649</v>
      </c>
      <c r="F570">
        <f ca="1">DATEDIF(Table1[[#This Row],[Hire Date]], TODAY(), "Y")</f>
        <v>13</v>
      </c>
      <c r="G570" s="7">
        <f ca="1">YEARFRAC(Table1[[#This Row],[Hire Date]], TODAY())</f>
        <v>13.05</v>
      </c>
      <c r="H570" s="7">
        <v>41278</v>
      </c>
      <c r="I570">
        <v>24</v>
      </c>
      <c r="J570" t="s">
        <v>43</v>
      </c>
      <c r="K570">
        <v>4</v>
      </c>
      <c r="L570" t="s">
        <v>44</v>
      </c>
      <c r="M570">
        <v>7333.57</v>
      </c>
      <c r="N570" t="s">
        <v>47</v>
      </c>
      <c r="O570" t="s">
        <v>54</v>
      </c>
      <c r="P570">
        <v>29</v>
      </c>
      <c r="Q570" t="s">
        <v>55</v>
      </c>
      <c r="R570" t="s">
        <v>58</v>
      </c>
      <c r="S570">
        <v>17</v>
      </c>
      <c r="T570">
        <v>2011</v>
      </c>
      <c r="U570" t="s">
        <v>64</v>
      </c>
      <c r="V570">
        <v>32</v>
      </c>
      <c r="W570">
        <v>2.5</v>
      </c>
    </row>
    <row r="571" spans="1:23" x14ac:dyDescent="0.35">
      <c r="A571">
        <v>10570</v>
      </c>
      <c r="B571" t="s">
        <v>21</v>
      </c>
      <c r="C571" t="s">
        <v>34</v>
      </c>
      <c r="D571" t="s">
        <v>41</v>
      </c>
      <c r="E571">
        <v>89030</v>
      </c>
      <c r="F571">
        <f ca="1">DATEDIF(Table1[[#This Row],[Hire Date]], TODAY(), "Y")</f>
        <v>15</v>
      </c>
      <c r="G571" s="7">
        <f ca="1">YEARFRAC(Table1[[#This Row],[Hire Date]], TODAY())</f>
        <v>15.15</v>
      </c>
      <c r="H571" s="7">
        <v>40510</v>
      </c>
      <c r="I571">
        <v>39</v>
      </c>
      <c r="J571" t="s">
        <v>43</v>
      </c>
      <c r="K571">
        <v>2</v>
      </c>
      <c r="L571" t="s">
        <v>45</v>
      </c>
      <c r="M571">
        <v>5807.9</v>
      </c>
      <c r="N571" t="s">
        <v>47</v>
      </c>
      <c r="O571" t="s">
        <v>51</v>
      </c>
      <c r="P571">
        <v>28</v>
      </c>
      <c r="Q571" t="s">
        <v>56</v>
      </c>
      <c r="R571" t="s">
        <v>58</v>
      </c>
      <c r="S571">
        <v>12</v>
      </c>
      <c r="T571">
        <v>2011</v>
      </c>
      <c r="U571" t="s">
        <v>65</v>
      </c>
      <c r="V571">
        <v>29</v>
      </c>
      <c r="W571">
        <v>2.4</v>
      </c>
    </row>
    <row r="572" spans="1:23" x14ac:dyDescent="0.35">
      <c r="A572">
        <v>10571</v>
      </c>
      <c r="B572" t="s">
        <v>27</v>
      </c>
      <c r="C572" t="s">
        <v>32</v>
      </c>
      <c r="D572" t="s">
        <v>40</v>
      </c>
      <c r="E572">
        <v>83061</v>
      </c>
      <c r="F572">
        <f ca="1">DATEDIF(Table1[[#This Row],[Hire Date]], TODAY(), "Y")</f>
        <v>15</v>
      </c>
      <c r="G572" s="7">
        <f ca="1">YEARFRAC(Table1[[#This Row],[Hire Date]], TODAY())</f>
        <v>15.983333333333333</v>
      </c>
      <c r="H572" s="7">
        <v>40206</v>
      </c>
      <c r="I572">
        <v>56</v>
      </c>
      <c r="J572" t="s">
        <v>42</v>
      </c>
      <c r="K572">
        <v>9</v>
      </c>
      <c r="L572" t="s">
        <v>45</v>
      </c>
      <c r="M572">
        <v>5104.68</v>
      </c>
      <c r="N572" t="s">
        <v>47</v>
      </c>
      <c r="O572" t="s">
        <v>51</v>
      </c>
      <c r="P572">
        <v>11</v>
      </c>
      <c r="Q572" t="s">
        <v>56</v>
      </c>
      <c r="R572" t="s">
        <v>62</v>
      </c>
      <c r="S572">
        <v>15</v>
      </c>
      <c r="T572">
        <v>2021</v>
      </c>
      <c r="U572" t="s">
        <v>66</v>
      </c>
      <c r="V572">
        <v>197</v>
      </c>
      <c r="W572">
        <v>2.6</v>
      </c>
    </row>
    <row r="573" spans="1:23" x14ac:dyDescent="0.35">
      <c r="A573">
        <v>10572</v>
      </c>
      <c r="B573" t="s">
        <v>24</v>
      </c>
      <c r="C573" t="s">
        <v>29</v>
      </c>
      <c r="D573" t="s">
        <v>36</v>
      </c>
      <c r="E573">
        <v>31999</v>
      </c>
      <c r="F573">
        <f ca="1">DATEDIF(Table1[[#This Row],[Hire Date]], TODAY(), "Y")</f>
        <v>21</v>
      </c>
      <c r="G573" s="7">
        <f ca="1">YEARFRAC(Table1[[#This Row],[Hire Date]], TODAY())</f>
        <v>21.1</v>
      </c>
      <c r="H573" s="7">
        <v>38337</v>
      </c>
      <c r="I573">
        <v>38</v>
      </c>
      <c r="J573" t="s">
        <v>43</v>
      </c>
      <c r="K573">
        <v>7</v>
      </c>
      <c r="L573" t="s">
        <v>45</v>
      </c>
      <c r="M573">
        <v>4523.2</v>
      </c>
      <c r="N573" t="s">
        <v>49</v>
      </c>
      <c r="O573" t="s">
        <v>50</v>
      </c>
      <c r="P573">
        <v>28</v>
      </c>
      <c r="Q573" t="s">
        <v>56</v>
      </c>
      <c r="R573" t="s">
        <v>59</v>
      </c>
      <c r="S573">
        <v>12</v>
      </c>
      <c r="T573">
        <v>2022</v>
      </c>
      <c r="U573" t="s">
        <v>64</v>
      </c>
      <c r="V573">
        <v>164</v>
      </c>
      <c r="W573">
        <v>1.7</v>
      </c>
    </row>
    <row r="574" spans="1:23" x14ac:dyDescent="0.35">
      <c r="A574">
        <v>10573</v>
      </c>
      <c r="B574" t="s">
        <v>28</v>
      </c>
      <c r="C574" t="s">
        <v>33</v>
      </c>
      <c r="D574" t="s">
        <v>37</v>
      </c>
      <c r="E574">
        <v>44849</v>
      </c>
      <c r="F574">
        <f ca="1">DATEDIF(Table1[[#This Row],[Hire Date]], TODAY(), "Y")</f>
        <v>12</v>
      </c>
      <c r="G574" s="7">
        <f ca="1">YEARFRAC(Table1[[#This Row],[Hire Date]], TODAY())</f>
        <v>12.680555555555555</v>
      </c>
      <c r="H574" s="7">
        <v>41411</v>
      </c>
      <c r="I574">
        <v>57</v>
      </c>
      <c r="J574" t="s">
        <v>43</v>
      </c>
      <c r="K574">
        <v>3</v>
      </c>
      <c r="L574" t="s">
        <v>44</v>
      </c>
      <c r="M574">
        <v>5435.13</v>
      </c>
      <c r="N574" t="s">
        <v>49</v>
      </c>
      <c r="O574" t="s">
        <v>50</v>
      </c>
      <c r="P574">
        <v>32</v>
      </c>
      <c r="Q574" t="s">
        <v>56</v>
      </c>
      <c r="R574" t="s">
        <v>60</v>
      </c>
      <c r="S574">
        <v>3</v>
      </c>
      <c r="T574">
        <v>2016</v>
      </c>
      <c r="U574" t="s">
        <v>65</v>
      </c>
      <c r="V574">
        <v>180</v>
      </c>
      <c r="W574">
        <v>4.9000000000000004</v>
      </c>
    </row>
    <row r="575" spans="1:23" x14ac:dyDescent="0.35">
      <c r="A575">
        <v>10574</v>
      </c>
      <c r="B575" t="s">
        <v>26</v>
      </c>
      <c r="C575" t="s">
        <v>32</v>
      </c>
      <c r="D575" t="s">
        <v>38</v>
      </c>
      <c r="E575">
        <v>106439</v>
      </c>
      <c r="F575">
        <f ca="1">DATEDIF(Table1[[#This Row],[Hire Date]], TODAY(), "Y")</f>
        <v>10</v>
      </c>
      <c r="G575" s="7">
        <f ca="1">YEARFRAC(Table1[[#This Row],[Hire Date]], TODAY())</f>
        <v>10.844444444444445</v>
      </c>
      <c r="H575" s="7">
        <v>42081</v>
      </c>
      <c r="I575">
        <v>49</v>
      </c>
      <c r="J575" t="s">
        <v>43</v>
      </c>
      <c r="K575">
        <v>7</v>
      </c>
      <c r="L575" t="s">
        <v>44</v>
      </c>
      <c r="M575">
        <v>2036.96</v>
      </c>
      <c r="N575" t="s">
        <v>46</v>
      </c>
      <c r="O575" t="s">
        <v>54</v>
      </c>
      <c r="P575">
        <v>24</v>
      </c>
      <c r="Q575" t="s">
        <v>57</v>
      </c>
      <c r="R575" t="s">
        <v>62</v>
      </c>
      <c r="S575">
        <v>10</v>
      </c>
      <c r="T575">
        <v>2018</v>
      </c>
      <c r="U575" t="s">
        <v>65</v>
      </c>
      <c r="V575">
        <v>84</v>
      </c>
      <c r="W575">
        <v>1.6</v>
      </c>
    </row>
    <row r="576" spans="1:23" x14ac:dyDescent="0.35">
      <c r="A576">
        <v>10575</v>
      </c>
      <c r="B576" t="s">
        <v>21</v>
      </c>
      <c r="C576" t="s">
        <v>29</v>
      </c>
      <c r="D576" t="s">
        <v>36</v>
      </c>
      <c r="E576">
        <v>82800</v>
      </c>
      <c r="F576">
        <f ca="1">DATEDIF(Table1[[#This Row],[Hire Date]], TODAY(), "Y")</f>
        <v>6</v>
      </c>
      <c r="G576" s="7">
        <f ca="1">YEARFRAC(Table1[[#This Row],[Hire Date]], TODAY())</f>
        <v>6.3611111111111107</v>
      </c>
      <c r="H576" s="7">
        <v>43720</v>
      </c>
      <c r="I576">
        <v>36</v>
      </c>
      <c r="J576" t="s">
        <v>42</v>
      </c>
      <c r="K576">
        <v>1</v>
      </c>
      <c r="L576" t="s">
        <v>44</v>
      </c>
      <c r="M576">
        <v>1532.76</v>
      </c>
      <c r="N576" t="s">
        <v>48</v>
      </c>
      <c r="O576" t="s">
        <v>53</v>
      </c>
      <c r="P576">
        <v>39</v>
      </c>
      <c r="Q576" t="s">
        <v>57</v>
      </c>
      <c r="R576" t="s">
        <v>61</v>
      </c>
      <c r="S576">
        <v>18</v>
      </c>
      <c r="T576">
        <v>2017</v>
      </c>
      <c r="U576" t="s">
        <v>66</v>
      </c>
      <c r="V576">
        <v>28</v>
      </c>
      <c r="W576">
        <v>3.6</v>
      </c>
    </row>
    <row r="577" spans="1:23" x14ac:dyDescent="0.35">
      <c r="A577">
        <v>10576</v>
      </c>
      <c r="B577" t="s">
        <v>27</v>
      </c>
      <c r="C577" t="s">
        <v>31</v>
      </c>
      <c r="D577" t="s">
        <v>39</v>
      </c>
      <c r="E577">
        <v>35445</v>
      </c>
      <c r="F577">
        <f ca="1">DATEDIF(Table1[[#This Row],[Hire Date]], TODAY(), "Y")</f>
        <v>17</v>
      </c>
      <c r="G577" s="7">
        <f ca="1">YEARFRAC(Table1[[#This Row],[Hire Date]], TODAY())</f>
        <v>17.530555555555555</v>
      </c>
      <c r="H577" s="7">
        <v>39640</v>
      </c>
      <c r="I577">
        <v>40</v>
      </c>
      <c r="J577" t="s">
        <v>43</v>
      </c>
      <c r="K577">
        <v>1</v>
      </c>
      <c r="L577" t="s">
        <v>44</v>
      </c>
      <c r="M577">
        <v>3251.56</v>
      </c>
      <c r="N577" t="s">
        <v>48</v>
      </c>
      <c r="O577" t="s">
        <v>54</v>
      </c>
      <c r="P577">
        <v>7</v>
      </c>
      <c r="Q577" t="s">
        <v>56</v>
      </c>
      <c r="R577" t="s">
        <v>59</v>
      </c>
      <c r="S577">
        <v>7</v>
      </c>
      <c r="T577">
        <v>2011</v>
      </c>
      <c r="U577" t="s">
        <v>66</v>
      </c>
      <c r="V577">
        <v>85</v>
      </c>
      <c r="W577">
        <v>1.1000000000000001</v>
      </c>
    </row>
    <row r="578" spans="1:23" x14ac:dyDescent="0.35">
      <c r="A578">
        <v>10577</v>
      </c>
      <c r="B578" t="s">
        <v>23</v>
      </c>
      <c r="C578" t="s">
        <v>32</v>
      </c>
      <c r="D578" t="s">
        <v>36</v>
      </c>
      <c r="E578">
        <v>48040</v>
      </c>
      <c r="F578">
        <f ca="1">DATEDIF(Table1[[#This Row],[Hire Date]], TODAY(), "Y")</f>
        <v>11</v>
      </c>
      <c r="G578" s="7">
        <f ca="1">YEARFRAC(Table1[[#This Row],[Hire Date]], TODAY())</f>
        <v>11.680555555555555</v>
      </c>
      <c r="H578" s="7">
        <v>41776</v>
      </c>
      <c r="I578">
        <v>43</v>
      </c>
      <c r="J578" t="s">
        <v>42</v>
      </c>
      <c r="K578">
        <v>4</v>
      </c>
      <c r="L578" t="s">
        <v>44</v>
      </c>
      <c r="M578">
        <v>7240.3</v>
      </c>
      <c r="N578" t="s">
        <v>46</v>
      </c>
      <c r="O578" t="s">
        <v>50</v>
      </c>
      <c r="P578">
        <v>18</v>
      </c>
      <c r="Q578" t="s">
        <v>57</v>
      </c>
      <c r="R578" t="s">
        <v>61</v>
      </c>
      <c r="S578">
        <v>9</v>
      </c>
      <c r="T578">
        <v>2023</v>
      </c>
      <c r="U578" t="s">
        <v>65</v>
      </c>
      <c r="V578">
        <v>129</v>
      </c>
      <c r="W578">
        <v>2.6</v>
      </c>
    </row>
    <row r="579" spans="1:23" x14ac:dyDescent="0.35">
      <c r="A579">
        <v>10578</v>
      </c>
      <c r="B579" t="s">
        <v>27</v>
      </c>
      <c r="C579" t="s">
        <v>32</v>
      </c>
      <c r="D579" t="s">
        <v>40</v>
      </c>
      <c r="E579">
        <v>94315</v>
      </c>
      <c r="F579">
        <f ca="1">DATEDIF(Table1[[#This Row],[Hire Date]], TODAY(), "Y")</f>
        <v>21</v>
      </c>
      <c r="G579" s="7">
        <f ca="1">YEARFRAC(Table1[[#This Row],[Hire Date]], TODAY())</f>
        <v>21.597222222222221</v>
      </c>
      <c r="H579" s="7">
        <v>38155</v>
      </c>
      <c r="I579">
        <v>27</v>
      </c>
      <c r="J579" t="s">
        <v>42</v>
      </c>
      <c r="K579">
        <v>4</v>
      </c>
      <c r="L579" t="s">
        <v>45</v>
      </c>
      <c r="M579">
        <v>6088.73</v>
      </c>
      <c r="N579" t="s">
        <v>46</v>
      </c>
      <c r="O579" t="s">
        <v>50</v>
      </c>
      <c r="P579">
        <v>3</v>
      </c>
      <c r="Q579" t="s">
        <v>55</v>
      </c>
      <c r="R579" t="s">
        <v>58</v>
      </c>
      <c r="S579">
        <v>11</v>
      </c>
      <c r="T579">
        <v>2016</v>
      </c>
      <c r="U579" t="s">
        <v>66</v>
      </c>
      <c r="V579">
        <v>174</v>
      </c>
      <c r="W579">
        <v>2.2000000000000002</v>
      </c>
    </row>
    <row r="580" spans="1:23" x14ac:dyDescent="0.35">
      <c r="A580">
        <v>10579</v>
      </c>
      <c r="B580" t="s">
        <v>26</v>
      </c>
      <c r="C580" t="s">
        <v>35</v>
      </c>
      <c r="D580" t="s">
        <v>41</v>
      </c>
      <c r="E580">
        <v>30246</v>
      </c>
      <c r="F580">
        <f ca="1">DATEDIF(Table1[[#This Row],[Hire Date]], TODAY(), "Y")</f>
        <v>21</v>
      </c>
      <c r="G580" s="7">
        <f ca="1">YEARFRAC(Table1[[#This Row],[Hire Date]], TODAY())</f>
        <v>21.830555555555556</v>
      </c>
      <c r="H580" s="7">
        <v>38069</v>
      </c>
      <c r="I580">
        <v>28</v>
      </c>
      <c r="J580" t="s">
        <v>43</v>
      </c>
      <c r="K580">
        <v>4</v>
      </c>
      <c r="L580" t="s">
        <v>45</v>
      </c>
      <c r="M580">
        <v>5061.17</v>
      </c>
      <c r="N580" t="s">
        <v>46</v>
      </c>
      <c r="O580" t="s">
        <v>51</v>
      </c>
      <c r="P580">
        <v>20</v>
      </c>
      <c r="Q580" t="s">
        <v>55</v>
      </c>
      <c r="R580" t="s">
        <v>61</v>
      </c>
      <c r="S580">
        <v>19</v>
      </c>
      <c r="T580">
        <v>2014</v>
      </c>
      <c r="U580" t="s">
        <v>66</v>
      </c>
      <c r="V580">
        <v>74</v>
      </c>
      <c r="W580">
        <v>2.5</v>
      </c>
    </row>
    <row r="581" spans="1:23" x14ac:dyDescent="0.35">
      <c r="A581">
        <v>10580</v>
      </c>
      <c r="B581" t="s">
        <v>26</v>
      </c>
      <c r="C581" t="s">
        <v>31</v>
      </c>
      <c r="D581" t="s">
        <v>37</v>
      </c>
      <c r="E581">
        <v>61153</v>
      </c>
      <c r="F581">
        <f ca="1">DATEDIF(Table1[[#This Row],[Hire Date]], TODAY(), "Y")</f>
        <v>7</v>
      </c>
      <c r="G581" s="7">
        <f ca="1">YEARFRAC(Table1[[#This Row],[Hire Date]], TODAY())</f>
        <v>7.6</v>
      </c>
      <c r="H581" s="7">
        <v>43267</v>
      </c>
      <c r="I581">
        <v>30</v>
      </c>
      <c r="J581" t="s">
        <v>42</v>
      </c>
      <c r="K581">
        <v>9</v>
      </c>
      <c r="L581" t="s">
        <v>44</v>
      </c>
      <c r="M581">
        <v>5929.45</v>
      </c>
      <c r="N581" t="s">
        <v>47</v>
      </c>
      <c r="O581" t="s">
        <v>54</v>
      </c>
      <c r="P581">
        <v>34</v>
      </c>
      <c r="Q581" t="s">
        <v>55</v>
      </c>
      <c r="R581" t="s">
        <v>58</v>
      </c>
      <c r="S581">
        <v>10</v>
      </c>
      <c r="T581">
        <v>2022</v>
      </c>
      <c r="U581" t="s">
        <v>66</v>
      </c>
      <c r="V581">
        <v>82</v>
      </c>
      <c r="W581">
        <v>3</v>
      </c>
    </row>
    <row r="582" spans="1:23" x14ac:dyDescent="0.35">
      <c r="A582">
        <v>10581</v>
      </c>
      <c r="B582" t="s">
        <v>27</v>
      </c>
      <c r="C582" t="s">
        <v>33</v>
      </c>
      <c r="D582" t="s">
        <v>39</v>
      </c>
      <c r="E582">
        <v>35212</v>
      </c>
      <c r="F582">
        <f ca="1">DATEDIF(Table1[[#This Row],[Hire Date]], TODAY(), "Y")</f>
        <v>16</v>
      </c>
      <c r="G582" s="7">
        <f ca="1">YEARFRAC(Table1[[#This Row],[Hire Date]], TODAY())</f>
        <v>16.258333333333333</v>
      </c>
      <c r="H582" s="7">
        <v>40105</v>
      </c>
      <c r="I582">
        <v>41</v>
      </c>
      <c r="J582" t="s">
        <v>43</v>
      </c>
      <c r="K582">
        <v>6</v>
      </c>
      <c r="L582" t="s">
        <v>44</v>
      </c>
      <c r="M582">
        <v>5812.95</v>
      </c>
      <c r="N582" t="s">
        <v>47</v>
      </c>
      <c r="O582" t="s">
        <v>52</v>
      </c>
      <c r="P582">
        <v>30</v>
      </c>
      <c r="Q582" t="s">
        <v>57</v>
      </c>
      <c r="R582" t="s">
        <v>59</v>
      </c>
      <c r="S582">
        <v>19</v>
      </c>
      <c r="T582">
        <v>2020</v>
      </c>
      <c r="U582" t="s">
        <v>64</v>
      </c>
      <c r="V582">
        <v>94</v>
      </c>
      <c r="W582">
        <v>3.4</v>
      </c>
    </row>
    <row r="583" spans="1:23" x14ac:dyDescent="0.35">
      <c r="A583">
        <v>10582</v>
      </c>
      <c r="B583" t="s">
        <v>28</v>
      </c>
      <c r="C583" t="s">
        <v>34</v>
      </c>
      <c r="D583" t="s">
        <v>39</v>
      </c>
      <c r="E583">
        <v>33339</v>
      </c>
      <c r="F583">
        <f ca="1">DATEDIF(Table1[[#This Row],[Hire Date]], TODAY(), "Y")</f>
        <v>10</v>
      </c>
      <c r="G583" s="7">
        <f ca="1">YEARFRAC(Table1[[#This Row],[Hire Date]], TODAY())</f>
        <v>10.261111111111111</v>
      </c>
      <c r="H583" s="7">
        <v>42295</v>
      </c>
      <c r="I583">
        <v>58</v>
      </c>
      <c r="J583" t="s">
        <v>43</v>
      </c>
      <c r="K583">
        <v>3</v>
      </c>
      <c r="L583" t="s">
        <v>45</v>
      </c>
      <c r="M583">
        <v>3416.9</v>
      </c>
      <c r="N583" t="s">
        <v>47</v>
      </c>
      <c r="O583" t="s">
        <v>50</v>
      </c>
      <c r="P583">
        <v>9</v>
      </c>
      <c r="Q583" t="s">
        <v>57</v>
      </c>
      <c r="R583" t="s">
        <v>59</v>
      </c>
      <c r="S583">
        <v>3</v>
      </c>
      <c r="T583">
        <v>2019</v>
      </c>
      <c r="U583" t="s">
        <v>66</v>
      </c>
      <c r="V583">
        <v>128</v>
      </c>
      <c r="W583">
        <v>3.3</v>
      </c>
    </row>
    <row r="584" spans="1:23" x14ac:dyDescent="0.35">
      <c r="A584">
        <v>10583</v>
      </c>
      <c r="B584" t="s">
        <v>22</v>
      </c>
      <c r="C584" t="s">
        <v>30</v>
      </c>
      <c r="D584" t="s">
        <v>38</v>
      </c>
      <c r="E584">
        <v>118678</v>
      </c>
      <c r="F584">
        <f ca="1">DATEDIF(Table1[[#This Row],[Hire Date]], TODAY(), "Y")</f>
        <v>20</v>
      </c>
      <c r="G584" s="7">
        <f ca="1">YEARFRAC(Table1[[#This Row],[Hire Date]], TODAY())</f>
        <v>20.841666666666665</v>
      </c>
      <c r="H584" s="7">
        <v>38430</v>
      </c>
      <c r="I584">
        <v>32</v>
      </c>
      <c r="J584" t="s">
        <v>42</v>
      </c>
      <c r="K584">
        <v>6</v>
      </c>
      <c r="L584" t="s">
        <v>45</v>
      </c>
      <c r="M584">
        <v>1425.83</v>
      </c>
      <c r="N584" t="s">
        <v>47</v>
      </c>
      <c r="O584" t="s">
        <v>51</v>
      </c>
      <c r="P584">
        <v>10</v>
      </c>
      <c r="Q584" t="s">
        <v>55</v>
      </c>
      <c r="R584" t="s">
        <v>60</v>
      </c>
      <c r="S584">
        <v>18</v>
      </c>
      <c r="T584">
        <v>2021</v>
      </c>
      <c r="U584" t="s">
        <v>66</v>
      </c>
      <c r="V584">
        <v>96</v>
      </c>
      <c r="W584">
        <v>3.5</v>
      </c>
    </row>
    <row r="585" spans="1:23" x14ac:dyDescent="0.35">
      <c r="A585">
        <v>10584</v>
      </c>
      <c r="B585" t="s">
        <v>26</v>
      </c>
      <c r="C585" t="s">
        <v>29</v>
      </c>
      <c r="D585" t="s">
        <v>36</v>
      </c>
      <c r="E585">
        <v>86238</v>
      </c>
      <c r="F585">
        <f ca="1">DATEDIF(Table1[[#This Row],[Hire Date]], TODAY(), "Y")</f>
        <v>22</v>
      </c>
      <c r="G585" s="7">
        <f ca="1">YEARFRAC(Table1[[#This Row],[Hire Date]], TODAY())</f>
        <v>22.125</v>
      </c>
      <c r="H585" s="7">
        <v>37962</v>
      </c>
      <c r="I585">
        <v>23</v>
      </c>
      <c r="J585" t="s">
        <v>42</v>
      </c>
      <c r="K585">
        <v>2</v>
      </c>
      <c r="L585" t="s">
        <v>44</v>
      </c>
      <c r="M585">
        <v>9019.43</v>
      </c>
      <c r="N585" t="s">
        <v>46</v>
      </c>
      <c r="O585" t="s">
        <v>53</v>
      </c>
      <c r="P585">
        <v>6</v>
      </c>
      <c r="Q585" t="s">
        <v>56</v>
      </c>
      <c r="R585" t="s">
        <v>62</v>
      </c>
      <c r="S585">
        <v>19</v>
      </c>
      <c r="T585">
        <v>2023</v>
      </c>
      <c r="U585" t="s">
        <v>65</v>
      </c>
      <c r="V585">
        <v>115</v>
      </c>
      <c r="W585">
        <v>4.4000000000000004</v>
      </c>
    </row>
    <row r="586" spans="1:23" x14ac:dyDescent="0.35">
      <c r="A586">
        <v>10585</v>
      </c>
      <c r="B586" t="s">
        <v>27</v>
      </c>
      <c r="C586" t="s">
        <v>35</v>
      </c>
      <c r="D586" t="s">
        <v>38</v>
      </c>
      <c r="E586">
        <v>49394</v>
      </c>
      <c r="F586">
        <f ca="1">DATEDIF(Table1[[#This Row],[Hire Date]], TODAY(), "Y")</f>
        <v>12</v>
      </c>
      <c r="G586" s="7">
        <f ca="1">YEARFRAC(Table1[[#This Row],[Hire Date]], TODAY())</f>
        <v>12.283333333333333</v>
      </c>
      <c r="H586" s="7">
        <v>41557</v>
      </c>
      <c r="I586">
        <v>43</v>
      </c>
      <c r="J586" t="s">
        <v>42</v>
      </c>
      <c r="K586">
        <v>2</v>
      </c>
      <c r="L586" t="s">
        <v>44</v>
      </c>
      <c r="M586">
        <v>6199.16</v>
      </c>
      <c r="N586" t="s">
        <v>46</v>
      </c>
      <c r="O586" t="s">
        <v>54</v>
      </c>
      <c r="P586">
        <v>17</v>
      </c>
      <c r="Q586" t="s">
        <v>55</v>
      </c>
      <c r="R586" t="s">
        <v>58</v>
      </c>
      <c r="S586">
        <v>9</v>
      </c>
      <c r="T586">
        <v>2022</v>
      </c>
      <c r="U586" t="s">
        <v>65</v>
      </c>
      <c r="V586">
        <v>168</v>
      </c>
      <c r="W586">
        <v>4.5</v>
      </c>
    </row>
    <row r="587" spans="1:23" x14ac:dyDescent="0.35">
      <c r="A587">
        <v>10586</v>
      </c>
      <c r="B587" t="s">
        <v>21</v>
      </c>
      <c r="C587" t="s">
        <v>29</v>
      </c>
      <c r="D587" t="s">
        <v>41</v>
      </c>
      <c r="E587">
        <v>83871</v>
      </c>
      <c r="F587">
        <f ca="1">DATEDIF(Table1[[#This Row],[Hire Date]], TODAY(), "Y")</f>
        <v>16</v>
      </c>
      <c r="G587" s="7">
        <f ca="1">YEARFRAC(Table1[[#This Row],[Hire Date]], TODAY())</f>
        <v>16.977777777777778</v>
      </c>
      <c r="H587" s="7">
        <v>39843</v>
      </c>
      <c r="I587">
        <v>57</v>
      </c>
      <c r="J587" t="s">
        <v>42</v>
      </c>
      <c r="K587">
        <v>7</v>
      </c>
      <c r="L587" t="s">
        <v>44</v>
      </c>
      <c r="M587">
        <v>7128.61</v>
      </c>
      <c r="N587" t="s">
        <v>46</v>
      </c>
      <c r="O587" t="s">
        <v>50</v>
      </c>
      <c r="P587">
        <v>15</v>
      </c>
      <c r="Q587" t="s">
        <v>57</v>
      </c>
      <c r="R587" t="s">
        <v>63</v>
      </c>
      <c r="S587">
        <v>14</v>
      </c>
      <c r="T587">
        <v>2013</v>
      </c>
      <c r="U587" t="s">
        <v>65</v>
      </c>
      <c r="V587">
        <v>163</v>
      </c>
      <c r="W587">
        <v>3.9</v>
      </c>
    </row>
    <row r="588" spans="1:23" x14ac:dyDescent="0.35">
      <c r="A588">
        <v>10587</v>
      </c>
      <c r="B588" t="s">
        <v>27</v>
      </c>
      <c r="C588" t="s">
        <v>33</v>
      </c>
      <c r="D588" t="s">
        <v>41</v>
      </c>
      <c r="E588">
        <v>107722</v>
      </c>
      <c r="F588">
        <f ca="1">DATEDIF(Table1[[#This Row],[Hire Date]], TODAY(), "Y")</f>
        <v>16</v>
      </c>
      <c r="G588" s="7">
        <f ca="1">YEARFRAC(Table1[[#This Row],[Hire Date]], TODAY())</f>
        <v>16.419444444444444</v>
      </c>
      <c r="H588" s="7">
        <v>40046</v>
      </c>
      <c r="I588">
        <v>26</v>
      </c>
      <c r="J588" t="s">
        <v>43</v>
      </c>
      <c r="K588">
        <v>3</v>
      </c>
      <c r="L588" t="s">
        <v>45</v>
      </c>
      <c r="M588">
        <v>4907.97</v>
      </c>
      <c r="N588" t="s">
        <v>47</v>
      </c>
      <c r="O588" t="s">
        <v>52</v>
      </c>
      <c r="P588">
        <v>33</v>
      </c>
      <c r="Q588" t="s">
        <v>55</v>
      </c>
      <c r="R588" t="s">
        <v>63</v>
      </c>
      <c r="S588">
        <v>12</v>
      </c>
      <c r="T588">
        <v>2021</v>
      </c>
      <c r="U588" t="s">
        <v>66</v>
      </c>
      <c r="V588">
        <v>132</v>
      </c>
      <c r="W588">
        <v>1.3</v>
      </c>
    </row>
    <row r="589" spans="1:23" x14ac:dyDescent="0.35">
      <c r="A589">
        <v>10588</v>
      </c>
      <c r="B589" t="s">
        <v>24</v>
      </c>
      <c r="C589" t="s">
        <v>33</v>
      </c>
      <c r="D589" t="s">
        <v>38</v>
      </c>
      <c r="E589">
        <v>64607</v>
      </c>
      <c r="F589">
        <f ca="1">DATEDIF(Table1[[#This Row],[Hire Date]], TODAY(), "Y")</f>
        <v>17</v>
      </c>
      <c r="G589" s="7">
        <f ca="1">YEARFRAC(Table1[[#This Row],[Hire Date]], TODAY())</f>
        <v>17.680555555555557</v>
      </c>
      <c r="H589" s="7">
        <v>39585</v>
      </c>
      <c r="I589">
        <v>28</v>
      </c>
      <c r="J589" t="s">
        <v>42</v>
      </c>
      <c r="K589">
        <v>7</v>
      </c>
      <c r="L589" t="s">
        <v>45</v>
      </c>
      <c r="M589">
        <v>7686.57</v>
      </c>
      <c r="N589" t="s">
        <v>47</v>
      </c>
      <c r="O589" t="s">
        <v>50</v>
      </c>
      <c r="P589">
        <v>13</v>
      </c>
      <c r="Q589" t="s">
        <v>55</v>
      </c>
      <c r="R589" t="s">
        <v>60</v>
      </c>
      <c r="S589">
        <v>12</v>
      </c>
      <c r="T589">
        <v>2023</v>
      </c>
      <c r="U589" t="s">
        <v>66</v>
      </c>
      <c r="V589">
        <v>159</v>
      </c>
      <c r="W589">
        <v>4.8</v>
      </c>
    </row>
    <row r="590" spans="1:23" x14ac:dyDescent="0.35">
      <c r="A590">
        <v>10589</v>
      </c>
      <c r="B590" t="s">
        <v>22</v>
      </c>
      <c r="C590" t="s">
        <v>32</v>
      </c>
      <c r="D590" t="s">
        <v>37</v>
      </c>
      <c r="E590">
        <v>82055</v>
      </c>
      <c r="F590">
        <f ca="1">DATEDIF(Table1[[#This Row],[Hire Date]], TODAY(), "Y")</f>
        <v>14</v>
      </c>
      <c r="G590" s="7">
        <f ca="1">YEARFRAC(Table1[[#This Row],[Hire Date]], TODAY())</f>
        <v>14.786111111111111</v>
      </c>
      <c r="H590" s="7">
        <v>40642</v>
      </c>
      <c r="I590">
        <v>27</v>
      </c>
      <c r="J590" t="s">
        <v>42</v>
      </c>
      <c r="K590">
        <v>3</v>
      </c>
      <c r="L590" t="s">
        <v>44</v>
      </c>
      <c r="M590">
        <v>6052.72</v>
      </c>
      <c r="N590" t="s">
        <v>49</v>
      </c>
      <c r="O590" t="s">
        <v>52</v>
      </c>
      <c r="P590">
        <v>22</v>
      </c>
      <c r="Q590" t="s">
        <v>57</v>
      </c>
      <c r="R590" t="s">
        <v>62</v>
      </c>
      <c r="S590">
        <v>17</v>
      </c>
      <c r="T590">
        <v>2019</v>
      </c>
      <c r="U590" t="s">
        <v>65</v>
      </c>
      <c r="V590">
        <v>198</v>
      </c>
      <c r="W590">
        <v>4.8</v>
      </c>
    </row>
    <row r="591" spans="1:23" x14ac:dyDescent="0.35">
      <c r="A591">
        <v>10590</v>
      </c>
      <c r="B591" t="s">
        <v>23</v>
      </c>
      <c r="C591" t="s">
        <v>30</v>
      </c>
      <c r="D591" t="s">
        <v>41</v>
      </c>
      <c r="E591">
        <v>34395</v>
      </c>
      <c r="F591">
        <f ca="1">DATEDIF(Table1[[#This Row],[Hire Date]], TODAY(), "Y")</f>
        <v>23</v>
      </c>
      <c r="G591" s="7">
        <f ca="1">YEARFRAC(Table1[[#This Row],[Hire Date]], TODAY())</f>
        <v>23.324999999999999</v>
      </c>
      <c r="H591" s="7">
        <v>37524</v>
      </c>
      <c r="I591">
        <v>43</v>
      </c>
      <c r="J591" t="s">
        <v>42</v>
      </c>
      <c r="K591">
        <v>2</v>
      </c>
      <c r="L591" t="s">
        <v>44</v>
      </c>
      <c r="M591">
        <v>1011.11</v>
      </c>
      <c r="N591" t="s">
        <v>46</v>
      </c>
      <c r="O591" t="s">
        <v>54</v>
      </c>
      <c r="P591">
        <v>16</v>
      </c>
      <c r="Q591" t="s">
        <v>57</v>
      </c>
      <c r="R591" t="s">
        <v>58</v>
      </c>
      <c r="S591">
        <v>6</v>
      </c>
      <c r="T591">
        <v>2023</v>
      </c>
      <c r="U591" t="s">
        <v>65</v>
      </c>
      <c r="V591">
        <v>177</v>
      </c>
      <c r="W591">
        <v>3.8</v>
      </c>
    </row>
    <row r="592" spans="1:23" x14ac:dyDescent="0.35">
      <c r="A592">
        <v>10591</v>
      </c>
      <c r="B592" t="s">
        <v>28</v>
      </c>
      <c r="C592" t="s">
        <v>33</v>
      </c>
      <c r="D592" t="s">
        <v>38</v>
      </c>
      <c r="E592">
        <v>45290</v>
      </c>
      <c r="F592">
        <f ca="1">DATEDIF(Table1[[#This Row],[Hire Date]], TODAY(), "Y")</f>
        <v>22</v>
      </c>
      <c r="G592" s="7">
        <f ca="1">YEARFRAC(Table1[[#This Row],[Hire Date]], TODAY())</f>
        <v>22.138888888888889</v>
      </c>
      <c r="H592" s="7">
        <v>37957</v>
      </c>
      <c r="I592">
        <v>31</v>
      </c>
      <c r="J592" t="s">
        <v>42</v>
      </c>
      <c r="K592">
        <v>4</v>
      </c>
      <c r="L592" t="s">
        <v>45</v>
      </c>
      <c r="M592">
        <v>8955.92</v>
      </c>
      <c r="N592" t="s">
        <v>48</v>
      </c>
      <c r="O592" t="s">
        <v>52</v>
      </c>
      <c r="P592">
        <v>34</v>
      </c>
      <c r="Q592" t="s">
        <v>57</v>
      </c>
      <c r="R592" t="s">
        <v>60</v>
      </c>
      <c r="S592">
        <v>13</v>
      </c>
      <c r="T592">
        <v>2013</v>
      </c>
      <c r="U592" t="s">
        <v>64</v>
      </c>
      <c r="V592">
        <v>48</v>
      </c>
      <c r="W592">
        <v>3.1</v>
      </c>
    </row>
    <row r="593" spans="1:23" x14ac:dyDescent="0.35">
      <c r="A593">
        <v>10592</v>
      </c>
      <c r="B593" t="s">
        <v>25</v>
      </c>
      <c r="C593" t="s">
        <v>29</v>
      </c>
      <c r="D593" t="s">
        <v>36</v>
      </c>
      <c r="E593">
        <v>117687</v>
      </c>
      <c r="F593">
        <f ca="1">DATEDIF(Table1[[#This Row],[Hire Date]], TODAY(), "Y")</f>
        <v>13</v>
      </c>
      <c r="G593" s="7">
        <f ca="1">YEARFRAC(Table1[[#This Row],[Hire Date]], TODAY())</f>
        <v>13.594444444444445</v>
      </c>
      <c r="H593" s="7">
        <v>41078</v>
      </c>
      <c r="I593">
        <v>61</v>
      </c>
      <c r="J593" t="s">
        <v>43</v>
      </c>
      <c r="K593">
        <v>4</v>
      </c>
      <c r="L593" t="s">
        <v>45</v>
      </c>
      <c r="M593">
        <v>3402.59</v>
      </c>
      <c r="N593" t="s">
        <v>48</v>
      </c>
      <c r="O593" t="s">
        <v>52</v>
      </c>
      <c r="P593">
        <v>3</v>
      </c>
      <c r="Q593" t="s">
        <v>57</v>
      </c>
      <c r="R593" t="s">
        <v>62</v>
      </c>
      <c r="S593">
        <v>4</v>
      </c>
      <c r="T593">
        <v>2013</v>
      </c>
      <c r="U593" t="s">
        <v>64</v>
      </c>
      <c r="V593">
        <v>61</v>
      </c>
      <c r="W593">
        <v>2</v>
      </c>
    </row>
    <row r="594" spans="1:23" x14ac:dyDescent="0.35">
      <c r="A594">
        <v>10593</v>
      </c>
      <c r="B594" t="s">
        <v>23</v>
      </c>
      <c r="C594" t="s">
        <v>31</v>
      </c>
      <c r="D594" t="s">
        <v>38</v>
      </c>
      <c r="E594">
        <v>95078</v>
      </c>
      <c r="F594">
        <f ca="1">DATEDIF(Table1[[#This Row],[Hire Date]], TODAY(), "Y")</f>
        <v>10</v>
      </c>
      <c r="G594" s="7">
        <f ca="1">YEARFRAC(Table1[[#This Row],[Hire Date]], TODAY())</f>
        <v>10.822222222222223</v>
      </c>
      <c r="H594" s="7">
        <v>42089</v>
      </c>
      <c r="I594">
        <v>41</v>
      </c>
      <c r="J594" t="s">
        <v>43</v>
      </c>
      <c r="K594">
        <v>3</v>
      </c>
      <c r="L594" t="s">
        <v>45</v>
      </c>
      <c r="M594">
        <v>1809.96</v>
      </c>
      <c r="N594" t="s">
        <v>49</v>
      </c>
      <c r="O594" t="s">
        <v>51</v>
      </c>
      <c r="P594">
        <v>8</v>
      </c>
      <c r="Q594" t="s">
        <v>55</v>
      </c>
      <c r="R594" t="s">
        <v>63</v>
      </c>
      <c r="S594">
        <v>8</v>
      </c>
      <c r="T594">
        <v>2018</v>
      </c>
      <c r="U594" t="s">
        <v>64</v>
      </c>
      <c r="V594">
        <v>25</v>
      </c>
      <c r="W594">
        <v>4</v>
      </c>
    </row>
    <row r="595" spans="1:23" x14ac:dyDescent="0.35">
      <c r="A595">
        <v>10594</v>
      </c>
      <c r="B595" t="s">
        <v>22</v>
      </c>
      <c r="C595" t="s">
        <v>31</v>
      </c>
      <c r="D595" t="s">
        <v>38</v>
      </c>
      <c r="E595">
        <v>33691</v>
      </c>
      <c r="F595">
        <f ca="1">DATEDIF(Table1[[#This Row],[Hire Date]], TODAY(), "Y")</f>
        <v>9</v>
      </c>
      <c r="G595" s="7">
        <f ca="1">YEARFRAC(Table1[[#This Row],[Hire Date]], TODAY())</f>
        <v>9.2944444444444443</v>
      </c>
      <c r="H595" s="7">
        <v>42649</v>
      </c>
      <c r="I595">
        <v>49</v>
      </c>
      <c r="J595" t="s">
        <v>42</v>
      </c>
      <c r="K595">
        <v>9</v>
      </c>
      <c r="L595" t="s">
        <v>44</v>
      </c>
      <c r="M595">
        <v>1336.39</v>
      </c>
      <c r="N595" t="s">
        <v>47</v>
      </c>
      <c r="O595" t="s">
        <v>54</v>
      </c>
      <c r="P595">
        <v>20</v>
      </c>
      <c r="Q595" t="s">
        <v>57</v>
      </c>
      <c r="R595" t="s">
        <v>58</v>
      </c>
      <c r="S595">
        <v>16</v>
      </c>
      <c r="T595">
        <v>2016</v>
      </c>
      <c r="U595" t="s">
        <v>66</v>
      </c>
      <c r="V595">
        <v>59</v>
      </c>
      <c r="W595">
        <v>4.5</v>
      </c>
    </row>
    <row r="596" spans="1:23" x14ac:dyDescent="0.35">
      <c r="A596">
        <v>10595</v>
      </c>
      <c r="B596" t="s">
        <v>22</v>
      </c>
      <c r="C596" t="s">
        <v>32</v>
      </c>
      <c r="D596" t="s">
        <v>40</v>
      </c>
      <c r="E596">
        <v>37470</v>
      </c>
      <c r="F596">
        <f ca="1">DATEDIF(Table1[[#This Row],[Hire Date]], TODAY(), "Y")</f>
        <v>17</v>
      </c>
      <c r="G596" s="7">
        <f ca="1">YEARFRAC(Table1[[#This Row],[Hire Date]], TODAY())</f>
        <v>17.675000000000001</v>
      </c>
      <c r="H596" s="7">
        <v>39587</v>
      </c>
      <c r="I596">
        <v>44</v>
      </c>
      <c r="J596" t="s">
        <v>42</v>
      </c>
      <c r="K596">
        <v>6</v>
      </c>
      <c r="L596" t="s">
        <v>44</v>
      </c>
      <c r="M596">
        <v>7344.18</v>
      </c>
      <c r="N596" t="s">
        <v>46</v>
      </c>
      <c r="O596" t="s">
        <v>50</v>
      </c>
      <c r="P596">
        <v>24</v>
      </c>
      <c r="Q596" t="s">
        <v>56</v>
      </c>
      <c r="R596" t="s">
        <v>62</v>
      </c>
      <c r="S596">
        <v>4</v>
      </c>
      <c r="T596">
        <v>2016</v>
      </c>
      <c r="U596" t="s">
        <v>66</v>
      </c>
      <c r="V596">
        <v>113</v>
      </c>
      <c r="W596">
        <v>3.7</v>
      </c>
    </row>
    <row r="597" spans="1:23" x14ac:dyDescent="0.35">
      <c r="A597">
        <v>10596</v>
      </c>
      <c r="B597" t="s">
        <v>22</v>
      </c>
      <c r="C597" t="s">
        <v>34</v>
      </c>
      <c r="D597" t="s">
        <v>41</v>
      </c>
      <c r="E597">
        <v>33841</v>
      </c>
      <c r="F597">
        <f ca="1">DATEDIF(Table1[[#This Row],[Hire Date]], TODAY(), "Y")</f>
        <v>25</v>
      </c>
      <c r="G597" s="7">
        <f ca="1">YEARFRAC(Table1[[#This Row],[Hire Date]], TODAY())</f>
        <v>25.336111111111112</v>
      </c>
      <c r="H597" s="7">
        <v>36790</v>
      </c>
      <c r="I597">
        <v>56</v>
      </c>
      <c r="J597" t="s">
        <v>43</v>
      </c>
      <c r="K597">
        <v>5</v>
      </c>
      <c r="L597" t="s">
        <v>44</v>
      </c>
      <c r="M597">
        <v>7187.7</v>
      </c>
      <c r="N597" t="s">
        <v>47</v>
      </c>
      <c r="O597" t="s">
        <v>53</v>
      </c>
      <c r="P597">
        <v>18</v>
      </c>
      <c r="Q597" t="s">
        <v>57</v>
      </c>
      <c r="R597" t="s">
        <v>61</v>
      </c>
      <c r="S597">
        <v>15</v>
      </c>
      <c r="T597">
        <v>2023</v>
      </c>
      <c r="U597" t="s">
        <v>65</v>
      </c>
      <c r="V597">
        <v>147</v>
      </c>
      <c r="W597">
        <v>3.5</v>
      </c>
    </row>
    <row r="598" spans="1:23" x14ac:dyDescent="0.35">
      <c r="A598">
        <v>10597</v>
      </c>
      <c r="B598" t="s">
        <v>23</v>
      </c>
      <c r="C598" t="s">
        <v>29</v>
      </c>
      <c r="D598" t="s">
        <v>37</v>
      </c>
      <c r="E598">
        <v>93197</v>
      </c>
      <c r="F598">
        <f ca="1">DATEDIF(Table1[[#This Row],[Hire Date]], TODAY(), "Y")</f>
        <v>15</v>
      </c>
      <c r="G598" s="7">
        <f ca="1">YEARFRAC(Table1[[#This Row],[Hire Date]], TODAY())</f>
        <v>15.838888888888889</v>
      </c>
      <c r="H598" s="7">
        <v>40257</v>
      </c>
      <c r="I598">
        <v>22</v>
      </c>
      <c r="J598" t="s">
        <v>43</v>
      </c>
      <c r="K598">
        <v>6</v>
      </c>
      <c r="L598" t="s">
        <v>44</v>
      </c>
      <c r="M598">
        <v>7151.54</v>
      </c>
      <c r="N598" t="s">
        <v>47</v>
      </c>
      <c r="O598" t="s">
        <v>54</v>
      </c>
      <c r="P598">
        <v>23</v>
      </c>
      <c r="Q598" t="s">
        <v>57</v>
      </c>
      <c r="R598" t="s">
        <v>58</v>
      </c>
      <c r="S598">
        <v>8</v>
      </c>
      <c r="T598">
        <v>2013</v>
      </c>
      <c r="U598" t="s">
        <v>64</v>
      </c>
      <c r="V598">
        <v>166</v>
      </c>
      <c r="W598">
        <v>1.8</v>
      </c>
    </row>
    <row r="599" spans="1:23" x14ac:dyDescent="0.35">
      <c r="A599">
        <v>10598</v>
      </c>
      <c r="B599" t="s">
        <v>21</v>
      </c>
      <c r="C599" t="s">
        <v>29</v>
      </c>
      <c r="D599" t="s">
        <v>37</v>
      </c>
      <c r="E599">
        <v>85773</v>
      </c>
      <c r="F599">
        <f ca="1">DATEDIF(Table1[[#This Row],[Hire Date]], TODAY(), "Y")</f>
        <v>8</v>
      </c>
      <c r="G599" s="7">
        <f ca="1">YEARFRAC(Table1[[#This Row],[Hire Date]], TODAY())</f>
        <v>8.7333333333333325</v>
      </c>
      <c r="H599" s="7">
        <v>42853</v>
      </c>
      <c r="I599">
        <v>50</v>
      </c>
      <c r="J599" t="s">
        <v>43</v>
      </c>
      <c r="K599">
        <v>8</v>
      </c>
      <c r="L599" t="s">
        <v>45</v>
      </c>
      <c r="M599">
        <v>9199.65</v>
      </c>
      <c r="N599" t="s">
        <v>48</v>
      </c>
      <c r="O599" t="s">
        <v>54</v>
      </c>
      <c r="P599">
        <v>1</v>
      </c>
      <c r="Q599" t="s">
        <v>55</v>
      </c>
      <c r="R599" t="s">
        <v>61</v>
      </c>
      <c r="S599">
        <v>16</v>
      </c>
      <c r="T599">
        <v>2018</v>
      </c>
      <c r="U599" t="s">
        <v>66</v>
      </c>
      <c r="V599">
        <v>108</v>
      </c>
      <c r="W599">
        <v>2.4</v>
      </c>
    </row>
    <row r="600" spans="1:23" x14ac:dyDescent="0.35">
      <c r="A600">
        <v>10599</v>
      </c>
      <c r="B600" t="s">
        <v>22</v>
      </c>
      <c r="C600" t="s">
        <v>33</v>
      </c>
      <c r="D600" t="s">
        <v>40</v>
      </c>
      <c r="E600">
        <v>47776</v>
      </c>
      <c r="F600">
        <f ca="1">DATEDIF(Table1[[#This Row],[Hire Date]], TODAY(), "Y")</f>
        <v>19</v>
      </c>
      <c r="G600" s="7">
        <f ca="1">YEARFRAC(Table1[[#This Row],[Hire Date]], TODAY())</f>
        <v>19.827777777777779</v>
      </c>
      <c r="H600" s="7">
        <v>38800</v>
      </c>
      <c r="I600">
        <v>30</v>
      </c>
      <c r="J600" t="s">
        <v>43</v>
      </c>
      <c r="K600">
        <v>5</v>
      </c>
      <c r="L600" t="s">
        <v>45</v>
      </c>
      <c r="M600">
        <v>3814.96</v>
      </c>
      <c r="N600" t="s">
        <v>48</v>
      </c>
      <c r="O600" t="s">
        <v>53</v>
      </c>
      <c r="P600">
        <v>2</v>
      </c>
      <c r="Q600" t="s">
        <v>56</v>
      </c>
      <c r="R600" t="s">
        <v>59</v>
      </c>
      <c r="S600">
        <v>17</v>
      </c>
      <c r="T600">
        <v>2017</v>
      </c>
      <c r="U600" t="s">
        <v>64</v>
      </c>
      <c r="V600">
        <v>135</v>
      </c>
      <c r="W600">
        <v>3.9</v>
      </c>
    </row>
    <row r="601" spans="1:23" x14ac:dyDescent="0.35">
      <c r="A601">
        <v>10600</v>
      </c>
      <c r="B601" t="s">
        <v>27</v>
      </c>
      <c r="C601" t="s">
        <v>30</v>
      </c>
      <c r="D601" t="s">
        <v>39</v>
      </c>
      <c r="E601">
        <v>101596</v>
      </c>
      <c r="F601">
        <f ca="1">DATEDIF(Table1[[#This Row],[Hire Date]], TODAY(), "Y")</f>
        <v>15</v>
      </c>
      <c r="G601" s="7">
        <f ca="1">YEARFRAC(Table1[[#This Row],[Hire Date]], TODAY())</f>
        <v>15.447222222222223</v>
      </c>
      <c r="H601" s="7">
        <v>40401</v>
      </c>
      <c r="I601">
        <v>30</v>
      </c>
      <c r="J601" t="s">
        <v>42</v>
      </c>
      <c r="K601">
        <v>4</v>
      </c>
      <c r="L601" t="s">
        <v>44</v>
      </c>
      <c r="M601">
        <v>5830.76</v>
      </c>
      <c r="N601" t="s">
        <v>46</v>
      </c>
      <c r="O601" t="s">
        <v>50</v>
      </c>
      <c r="P601">
        <v>5</v>
      </c>
      <c r="Q601" t="s">
        <v>56</v>
      </c>
      <c r="R601" t="s">
        <v>59</v>
      </c>
      <c r="S601">
        <v>2</v>
      </c>
      <c r="T601">
        <v>2019</v>
      </c>
      <c r="U601" t="s">
        <v>64</v>
      </c>
      <c r="V601">
        <v>133</v>
      </c>
      <c r="W601">
        <v>1.1000000000000001</v>
      </c>
    </row>
    <row r="602" spans="1:23" x14ac:dyDescent="0.35">
      <c r="A602">
        <v>10601</v>
      </c>
      <c r="B602" t="s">
        <v>23</v>
      </c>
      <c r="C602" t="s">
        <v>29</v>
      </c>
      <c r="D602" t="s">
        <v>37</v>
      </c>
      <c r="E602">
        <v>57584</v>
      </c>
      <c r="F602">
        <f ca="1">DATEDIF(Table1[[#This Row],[Hire Date]], TODAY(), "Y")</f>
        <v>16</v>
      </c>
      <c r="G602" s="7">
        <f ca="1">YEARFRAC(Table1[[#This Row],[Hire Date]], TODAY())</f>
        <v>16.977777777777778</v>
      </c>
      <c r="H602" s="7">
        <v>39843</v>
      </c>
      <c r="I602">
        <v>43</v>
      </c>
      <c r="J602" t="s">
        <v>42</v>
      </c>
      <c r="K602">
        <v>7</v>
      </c>
      <c r="L602" t="s">
        <v>44</v>
      </c>
      <c r="M602">
        <v>6385.21</v>
      </c>
      <c r="N602" t="s">
        <v>46</v>
      </c>
      <c r="O602" t="s">
        <v>51</v>
      </c>
      <c r="P602">
        <v>18</v>
      </c>
      <c r="Q602" t="s">
        <v>56</v>
      </c>
      <c r="R602" t="s">
        <v>59</v>
      </c>
      <c r="S602">
        <v>4</v>
      </c>
      <c r="T602">
        <v>2013</v>
      </c>
      <c r="U602" t="s">
        <v>66</v>
      </c>
      <c r="V602">
        <v>28</v>
      </c>
      <c r="W602">
        <v>3.6</v>
      </c>
    </row>
    <row r="603" spans="1:23" x14ac:dyDescent="0.35">
      <c r="A603">
        <v>10602</v>
      </c>
      <c r="B603" t="s">
        <v>25</v>
      </c>
      <c r="C603" t="s">
        <v>35</v>
      </c>
      <c r="D603" t="s">
        <v>38</v>
      </c>
      <c r="E603">
        <v>34300</v>
      </c>
      <c r="F603">
        <f ca="1">DATEDIF(Table1[[#This Row],[Hire Date]], TODAY(), "Y")</f>
        <v>20</v>
      </c>
      <c r="G603" s="7">
        <f ca="1">YEARFRAC(Table1[[#This Row],[Hire Date]], TODAY())</f>
        <v>20.455555555555556</v>
      </c>
      <c r="H603" s="7">
        <v>38572</v>
      </c>
      <c r="I603">
        <v>23</v>
      </c>
      <c r="J603" t="s">
        <v>43</v>
      </c>
      <c r="K603">
        <v>5</v>
      </c>
      <c r="L603" t="s">
        <v>44</v>
      </c>
      <c r="M603">
        <v>9805.08</v>
      </c>
      <c r="N603" t="s">
        <v>47</v>
      </c>
      <c r="O603" t="s">
        <v>50</v>
      </c>
      <c r="P603">
        <v>16</v>
      </c>
      <c r="Q603" t="s">
        <v>57</v>
      </c>
      <c r="R603" t="s">
        <v>60</v>
      </c>
      <c r="S603">
        <v>16</v>
      </c>
      <c r="T603">
        <v>2022</v>
      </c>
      <c r="U603" t="s">
        <v>64</v>
      </c>
      <c r="V603">
        <v>175</v>
      </c>
      <c r="W603">
        <v>4.0999999999999996</v>
      </c>
    </row>
    <row r="604" spans="1:23" x14ac:dyDescent="0.35">
      <c r="A604">
        <v>10603</v>
      </c>
      <c r="B604" t="s">
        <v>22</v>
      </c>
      <c r="C604" t="s">
        <v>34</v>
      </c>
      <c r="D604" t="s">
        <v>40</v>
      </c>
      <c r="E604">
        <v>33338</v>
      </c>
      <c r="F604">
        <f ca="1">DATEDIF(Table1[[#This Row],[Hire Date]], TODAY(), "Y")</f>
        <v>17</v>
      </c>
      <c r="G604" s="7">
        <f ca="1">YEARFRAC(Table1[[#This Row],[Hire Date]], TODAY())</f>
        <v>17.45</v>
      </c>
      <c r="H604" s="7">
        <v>39670</v>
      </c>
      <c r="I604">
        <v>37</v>
      </c>
      <c r="J604" t="s">
        <v>43</v>
      </c>
      <c r="K604">
        <v>4</v>
      </c>
      <c r="L604" t="s">
        <v>44</v>
      </c>
      <c r="M604">
        <v>3467.29</v>
      </c>
      <c r="N604" t="s">
        <v>47</v>
      </c>
      <c r="O604" t="s">
        <v>53</v>
      </c>
      <c r="P604">
        <v>10</v>
      </c>
      <c r="Q604" t="s">
        <v>55</v>
      </c>
      <c r="R604" t="s">
        <v>62</v>
      </c>
      <c r="S604">
        <v>19</v>
      </c>
      <c r="T604">
        <v>2015</v>
      </c>
      <c r="U604" t="s">
        <v>65</v>
      </c>
      <c r="V604">
        <v>31</v>
      </c>
      <c r="W604">
        <v>2.2999999999999998</v>
      </c>
    </row>
    <row r="605" spans="1:23" x14ac:dyDescent="0.35">
      <c r="A605">
        <v>10604</v>
      </c>
      <c r="B605" t="s">
        <v>27</v>
      </c>
      <c r="C605" t="s">
        <v>33</v>
      </c>
      <c r="D605" t="s">
        <v>36</v>
      </c>
      <c r="E605">
        <v>92601</v>
      </c>
      <c r="F605">
        <f ca="1">DATEDIF(Table1[[#This Row],[Hire Date]], TODAY(), "Y")</f>
        <v>17</v>
      </c>
      <c r="G605" s="7">
        <f ca="1">YEARFRAC(Table1[[#This Row],[Hire Date]], TODAY())</f>
        <v>17.238888888888887</v>
      </c>
      <c r="H605" s="7">
        <v>39747</v>
      </c>
      <c r="I605">
        <v>61</v>
      </c>
      <c r="J605" t="s">
        <v>42</v>
      </c>
      <c r="K605">
        <v>5</v>
      </c>
      <c r="L605" t="s">
        <v>44</v>
      </c>
      <c r="M605">
        <v>9585.15</v>
      </c>
      <c r="N605" t="s">
        <v>49</v>
      </c>
      <c r="O605" t="s">
        <v>50</v>
      </c>
      <c r="P605">
        <v>29</v>
      </c>
      <c r="Q605" t="s">
        <v>55</v>
      </c>
      <c r="R605" t="s">
        <v>59</v>
      </c>
      <c r="S605">
        <v>3</v>
      </c>
      <c r="T605">
        <v>2013</v>
      </c>
      <c r="U605" t="s">
        <v>65</v>
      </c>
      <c r="V605">
        <v>141</v>
      </c>
      <c r="W605">
        <v>1.3</v>
      </c>
    </row>
    <row r="606" spans="1:23" x14ac:dyDescent="0.35">
      <c r="A606">
        <v>10605</v>
      </c>
      <c r="B606" t="s">
        <v>21</v>
      </c>
      <c r="C606" t="s">
        <v>35</v>
      </c>
      <c r="D606" t="s">
        <v>41</v>
      </c>
      <c r="E606">
        <v>35487</v>
      </c>
      <c r="F606">
        <f ca="1">DATEDIF(Table1[[#This Row],[Hire Date]], TODAY(), "Y")</f>
        <v>17</v>
      </c>
      <c r="G606" s="7">
        <f ca="1">YEARFRAC(Table1[[#This Row],[Hire Date]], TODAY())</f>
        <v>17.461111111111112</v>
      </c>
      <c r="H606" s="7">
        <v>39666</v>
      </c>
      <c r="I606">
        <v>27</v>
      </c>
      <c r="J606" t="s">
        <v>42</v>
      </c>
      <c r="K606">
        <v>4</v>
      </c>
      <c r="L606" t="s">
        <v>44</v>
      </c>
      <c r="M606">
        <v>1912.98</v>
      </c>
      <c r="N606" t="s">
        <v>47</v>
      </c>
      <c r="O606" t="s">
        <v>54</v>
      </c>
      <c r="P606">
        <v>35</v>
      </c>
      <c r="Q606" t="s">
        <v>57</v>
      </c>
      <c r="R606" t="s">
        <v>62</v>
      </c>
      <c r="S606">
        <v>3</v>
      </c>
      <c r="T606">
        <v>2010</v>
      </c>
      <c r="U606" t="s">
        <v>66</v>
      </c>
      <c r="V606">
        <v>92</v>
      </c>
      <c r="W606">
        <v>4.3</v>
      </c>
    </row>
    <row r="607" spans="1:23" x14ac:dyDescent="0.35">
      <c r="A607">
        <v>10606</v>
      </c>
      <c r="B607" t="s">
        <v>24</v>
      </c>
      <c r="C607" t="s">
        <v>32</v>
      </c>
      <c r="D607" t="s">
        <v>41</v>
      </c>
      <c r="E607">
        <v>66282</v>
      </c>
      <c r="F607">
        <f ca="1">DATEDIF(Table1[[#This Row],[Hire Date]], TODAY(), "Y")</f>
        <v>12</v>
      </c>
      <c r="G607" s="7">
        <f ca="1">YEARFRAC(Table1[[#This Row],[Hire Date]], TODAY())</f>
        <v>12.194444444444445</v>
      </c>
      <c r="H607" s="7">
        <v>41590</v>
      </c>
      <c r="I607">
        <v>34</v>
      </c>
      <c r="J607" t="s">
        <v>43</v>
      </c>
      <c r="K607">
        <v>8</v>
      </c>
      <c r="L607" t="s">
        <v>44</v>
      </c>
      <c r="M607">
        <v>7758.01</v>
      </c>
      <c r="N607" t="s">
        <v>49</v>
      </c>
      <c r="O607" t="s">
        <v>51</v>
      </c>
      <c r="P607">
        <v>25</v>
      </c>
      <c r="Q607" t="s">
        <v>56</v>
      </c>
      <c r="R607" t="s">
        <v>62</v>
      </c>
      <c r="S607">
        <v>6</v>
      </c>
      <c r="T607">
        <v>2014</v>
      </c>
      <c r="U607" t="s">
        <v>64</v>
      </c>
      <c r="V607">
        <v>149</v>
      </c>
      <c r="W607">
        <v>1.6</v>
      </c>
    </row>
    <row r="608" spans="1:23" x14ac:dyDescent="0.35">
      <c r="A608">
        <v>10607</v>
      </c>
      <c r="B608" t="s">
        <v>21</v>
      </c>
      <c r="C608" t="s">
        <v>31</v>
      </c>
      <c r="D608" t="s">
        <v>41</v>
      </c>
      <c r="E608">
        <v>106816</v>
      </c>
      <c r="F608">
        <f ca="1">DATEDIF(Table1[[#This Row],[Hire Date]], TODAY(), "Y")</f>
        <v>12</v>
      </c>
      <c r="G608" s="7">
        <f ca="1">YEARFRAC(Table1[[#This Row],[Hire Date]], TODAY())</f>
        <v>12.641666666666667</v>
      </c>
      <c r="H608" s="7">
        <v>41426</v>
      </c>
      <c r="I608">
        <v>54</v>
      </c>
      <c r="J608" t="s">
        <v>42</v>
      </c>
      <c r="K608">
        <v>8</v>
      </c>
      <c r="L608" t="s">
        <v>44</v>
      </c>
      <c r="M608">
        <v>6512.42</v>
      </c>
      <c r="N608" t="s">
        <v>47</v>
      </c>
      <c r="O608" t="s">
        <v>52</v>
      </c>
      <c r="P608">
        <v>24</v>
      </c>
      <c r="Q608" t="s">
        <v>56</v>
      </c>
      <c r="R608" t="s">
        <v>62</v>
      </c>
      <c r="S608">
        <v>7</v>
      </c>
      <c r="T608">
        <v>2019</v>
      </c>
      <c r="U608" t="s">
        <v>65</v>
      </c>
      <c r="V608">
        <v>96</v>
      </c>
      <c r="W608">
        <v>2.5</v>
      </c>
    </row>
    <row r="609" spans="1:23" x14ac:dyDescent="0.35">
      <c r="A609">
        <v>10608</v>
      </c>
      <c r="B609" t="s">
        <v>25</v>
      </c>
      <c r="C609" t="s">
        <v>32</v>
      </c>
      <c r="D609" t="s">
        <v>38</v>
      </c>
      <c r="E609">
        <v>58804</v>
      </c>
      <c r="F609">
        <f ca="1">DATEDIF(Table1[[#This Row],[Hire Date]], TODAY(), "Y")</f>
        <v>22</v>
      </c>
      <c r="G609" s="7">
        <f ca="1">YEARFRAC(Table1[[#This Row],[Hire Date]], TODAY())</f>
        <v>22.625</v>
      </c>
      <c r="H609" s="7">
        <v>37779</v>
      </c>
      <c r="I609">
        <v>40</v>
      </c>
      <c r="J609" t="s">
        <v>43</v>
      </c>
      <c r="K609">
        <v>1</v>
      </c>
      <c r="L609" t="s">
        <v>44</v>
      </c>
      <c r="M609">
        <v>8260.51</v>
      </c>
      <c r="N609" t="s">
        <v>47</v>
      </c>
      <c r="O609" t="s">
        <v>50</v>
      </c>
      <c r="P609">
        <v>13</v>
      </c>
      <c r="Q609" t="s">
        <v>55</v>
      </c>
      <c r="R609" t="s">
        <v>58</v>
      </c>
      <c r="S609">
        <v>1</v>
      </c>
      <c r="T609">
        <v>2023</v>
      </c>
      <c r="U609" t="s">
        <v>64</v>
      </c>
      <c r="V609">
        <v>43</v>
      </c>
      <c r="W609">
        <v>3.8</v>
      </c>
    </row>
    <row r="610" spans="1:23" x14ac:dyDescent="0.35">
      <c r="A610">
        <v>10609</v>
      </c>
      <c r="B610" t="s">
        <v>22</v>
      </c>
      <c r="C610" t="s">
        <v>31</v>
      </c>
      <c r="D610" t="s">
        <v>36</v>
      </c>
      <c r="E610">
        <v>39915</v>
      </c>
      <c r="F610">
        <f ca="1">DATEDIF(Table1[[#This Row],[Hire Date]], TODAY(), "Y")</f>
        <v>24</v>
      </c>
      <c r="G610" s="7">
        <f ca="1">YEARFRAC(Table1[[#This Row],[Hire Date]], TODAY())</f>
        <v>24.080555555555556</v>
      </c>
      <c r="H610" s="7">
        <v>37248</v>
      </c>
      <c r="I610">
        <v>36</v>
      </c>
      <c r="J610" t="s">
        <v>42</v>
      </c>
      <c r="K610">
        <v>3</v>
      </c>
      <c r="L610" t="s">
        <v>44</v>
      </c>
      <c r="M610">
        <v>772.51</v>
      </c>
      <c r="N610" t="s">
        <v>47</v>
      </c>
      <c r="O610" t="s">
        <v>52</v>
      </c>
      <c r="P610">
        <v>21</v>
      </c>
      <c r="Q610" t="s">
        <v>57</v>
      </c>
      <c r="R610" t="s">
        <v>61</v>
      </c>
      <c r="S610">
        <v>9</v>
      </c>
      <c r="T610">
        <v>2020</v>
      </c>
      <c r="U610" t="s">
        <v>65</v>
      </c>
      <c r="V610">
        <v>59</v>
      </c>
      <c r="W610">
        <v>4.3</v>
      </c>
    </row>
    <row r="611" spans="1:23" x14ac:dyDescent="0.35">
      <c r="A611">
        <v>10610</v>
      </c>
      <c r="B611" t="s">
        <v>25</v>
      </c>
      <c r="C611" t="s">
        <v>32</v>
      </c>
      <c r="D611" t="s">
        <v>40</v>
      </c>
      <c r="E611">
        <v>41158</v>
      </c>
      <c r="F611">
        <f ca="1">DATEDIF(Table1[[#This Row],[Hire Date]], TODAY(), "Y")</f>
        <v>11</v>
      </c>
      <c r="G611" s="7">
        <f ca="1">YEARFRAC(Table1[[#This Row],[Hire Date]], TODAY())</f>
        <v>11.841666666666667</v>
      </c>
      <c r="H611" s="7">
        <v>41717</v>
      </c>
      <c r="I611">
        <v>54</v>
      </c>
      <c r="J611" t="s">
        <v>42</v>
      </c>
      <c r="K611">
        <v>4</v>
      </c>
      <c r="L611" t="s">
        <v>45</v>
      </c>
      <c r="M611">
        <v>1242.24</v>
      </c>
      <c r="N611" t="s">
        <v>46</v>
      </c>
      <c r="O611" t="s">
        <v>51</v>
      </c>
      <c r="P611">
        <v>39</v>
      </c>
      <c r="Q611" t="s">
        <v>56</v>
      </c>
      <c r="R611" t="s">
        <v>61</v>
      </c>
      <c r="S611">
        <v>4</v>
      </c>
      <c r="T611">
        <v>2012</v>
      </c>
      <c r="U611" t="s">
        <v>65</v>
      </c>
      <c r="V611">
        <v>129</v>
      </c>
      <c r="W611">
        <v>4.4000000000000004</v>
      </c>
    </row>
    <row r="612" spans="1:23" x14ac:dyDescent="0.35">
      <c r="A612">
        <v>10611</v>
      </c>
      <c r="B612" t="s">
        <v>23</v>
      </c>
      <c r="C612" t="s">
        <v>29</v>
      </c>
      <c r="D612" t="s">
        <v>40</v>
      </c>
      <c r="E612">
        <v>104157</v>
      </c>
      <c r="F612">
        <f ca="1">DATEDIF(Table1[[#This Row],[Hire Date]], TODAY(), "Y")</f>
        <v>12</v>
      </c>
      <c r="G612" s="7">
        <f ca="1">YEARFRAC(Table1[[#This Row],[Hire Date]], TODAY())</f>
        <v>12.102777777777778</v>
      </c>
      <c r="H612" s="7">
        <v>41623</v>
      </c>
      <c r="I612">
        <v>31</v>
      </c>
      <c r="J612" t="s">
        <v>43</v>
      </c>
      <c r="K612">
        <v>2</v>
      </c>
      <c r="L612" t="s">
        <v>45</v>
      </c>
      <c r="M612">
        <v>1162.1099999999999</v>
      </c>
      <c r="N612" t="s">
        <v>46</v>
      </c>
      <c r="O612" t="s">
        <v>52</v>
      </c>
      <c r="P612">
        <v>34</v>
      </c>
      <c r="Q612" t="s">
        <v>57</v>
      </c>
      <c r="R612" t="s">
        <v>60</v>
      </c>
      <c r="S612">
        <v>16</v>
      </c>
      <c r="T612">
        <v>2010</v>
      </c>
      <c r="U612" t="s">
        <v>64</v>
      </c>
      <c r="V612">
        <v>49</v>
      </c>
      <c r="W612">
        <v>3.1</v>
      </c>
    </row>
    <row r="613" spans="1:23" x14ac:dyDescent="0.35">
      <c r="A613">
        <v>10612</v>
      </c>
      <c r="B613" t="s">
        <v>26</v>
      </c>
      <c r="C613" t="s">
        <v>35</v>
      </c>
      <c r="D613" t="s">
        <v>41</v>
      </c>
      <c r="E613">
        <v>40547</v>
      </c>
      <c r="F613">
        <f ca="1">DATEDIF(Table1[[#This Row],[Hire Date]], TODAY(), "Y")</f>
        <v>6</v>
      </c>
      <c r="G613" s="7">
        <f ca="1">YEARFRAC(Table1[[#This Row],[Hire Date]], TODAY())</f>
        <v>6.8388888888888886</v>
      </c>
      <c r="H613" s="7">
        <v>43544</v>
      </c>
      <c r="I613">
        <v>22</v>
      </c>
      <c r="J613" t="s">
        <v>42</v>
      </c>
      <c r="K613">
        <v>5</v>
      </c>
      <c r="L613" t="s">
        <v>45</v>
      </c>
      <c r="M613">
        <v>6133.11</v>
      </c>
      <c r="N613" t="s">
        <v>46</v>
      </c>
      <c r="O613" t="s">
        <v>50</v>
      </c>
      <c r="P613">
        <v>19</v>
      </c>
      <c r="Q613" t="s">
        <v>55</v>
      </c>
      <c r="R613" t="s">
        <v>59</v>
      </c>
      <c r="S613">
        <v>6</v>
      </c>
      <c r="T613">
        <v>2011</v>
      </c>
      <c r="U613" t="s">
        <v>66</v>
      </c>
      <c r="V613">
        <v>160</v>
      </c>
      <c r="W613">
        <v>2.9</v>
      </c>
    </row>
    <row r="614" spans="1:23" x14ac:dyDescent="0.35">
      <c r="A614">
        <v>10613</v>
      </c>
      <c r="B614" t="s">
        <v>22</v>
      </c>
      <c r="C614" t="s">
        <v>31</v>
      </c>
      <c r="D614" t="s">
        <v>36</v>
      </c>
      <c r="E614">
        <v>118713</v>
      </c>
      <c r="F614">
        <f ca="1">DATEDIF(Table1[[#This Row],[Hire Date]], TODAY(), "Y")</f>
        <v>25</v>
      </c>
      <c r="G614" s="7">
        <f ca="1">YEARFRAC(Table1[[#This Row],[Hire Date]], TODAY())</f>
        <v>25.827777777777779</v>
      </c>
      <c r="H614" s="7">
        <v>36609</v>
      </c>
      <c r="I614">
        <v>33</v>
      </c>
      <c r="J614" t="s">
        <v>43</v>
      </c>
      <c r="K614">
        <v>8</v>
      </c>
      <c r="L614" t="s">
        <v>45</v>
      </c>
      <c r="M614">
        <v>6227.89</v>
      </c>
      <c r="N614" t="s">
        <v>49</v>
      </c>
      <c r="O614" t="s">
        <v>53</v>
      </c>
      <c r="P614">
        <v>28</v>
      </c>
      <c r="Q614" t="s">
        <v>57</v>
      </c>
      <c r="R614" t="s">
        <v>60</v>
      </c>
      <c r="S614">
        <v>1</v>
      </c>
      <c r="T614">
        <v>2011</v>
      </c>
      <c r="U614" t="s">
        <v>66</v>
      </c>
      <c r="V614">
        <v>188</v>
      </c>
      <c r="W614">
        <v>4.4000000000000004</v>
      </c>
    </row>
    <row r="615" spans="1:23" x14ac:dyDescent="0.35">
      <c r="A615">
        <v>10614</v>
      </c>
      <c r="B615" t="s">
        <v>26</v>
      </c>
      <c r="C615" t="s">
        <v>33</v>
      </c>
      <c r="D615" t="s">
        <v>36</v>
      </c>
      <c r="E615">
        <v>32459</v>
      </c>
      <c r="F615">
        <f ca="1">DATEDIF(Table1[[#This Row],[Hire Date]], TODAY(), "Y")</f>
        <v>12</v>
      </c>
      <c r="G615" s="7">
        <f ca="1">YEARFRAC(Table1[[#This Row],[Hire Date]], TODAY())</f>
        <v>12.816666666666666</v>
      </c>
      <c r="H615" s="7">
        <v>41361</v>
      </c>
      <c r="I615">
        <v>64</v>
      </c>
      <c r="J615" t="s">
        <v>42</v>
      </c>
      <c r="K615">
        <v>2</v>
      </c>
      <c r="L615" t="s">
        <v>44</v>
      </c>
      <c r="M615">
        <v>9108</v>
      </c>
      <c r="N615" t="s">
        <v>49</v>
      </c>
      <c r="O615" t="s">
        <v>54</v>
      </c>
      <c r="P615">
        <v>27</v>
      </c>
      <c r="Q615" t="s">
        <v>57</v>
      </c>
      <c r="R615" t="s">
        <v>62</v>
      </c>
      <c r="S615">
        <v>5</v>
      </c>
      <c r="T615">
        <v>2017</v>
      </c>
      <c r="U615" t="s">
        <v>66</v>
      </c>
      <c r="V615">
        <v>105</v>
      </c>
      <c r="W615">
        <v>3.3</v>
      </c>
    </row>
    <row r="616" spans="1:23" x14ac:dyDescent="0.35">
      <c r="A616">
        <v>10615</v>
      </c>
      <c r="B616" t="s">
        <v>27</v>
      </c>
      <c r="C616" t="s">
        <v>35</v>
      </c>
      <c r="D616" t="s">
        <v>36</v>
      </c>
      <c r="E616">
        <v>58768</v>
      </c>
      <c r="F616">
        <f ca="1">DATEDIF(Table1[[#This Row],[Hire Date]], TODAY(), "Y")</f>
        <v>16</v>
      </c>
      <c r="G616" s="7">
        <f ca="1">YEARFRAC(Table1[[#This Row],[Hire Date]], TODAY())</f>
        <v>16.827777777777779</v>
      </c>
      <c r="H616" s="7">
        <v>39896</v>
      </c>
      <c r="I616">
        <v>50</v>
      </c>
      <c r="J616" t="s">
        <v>43</v>
      </c>
      <c r="K616">
        <v>9</v>
      </c>
      <c r="L616" t="s">
        <v>45</v>
      </c>
      <c r="M616">
        <v>4942.2299999999996</v>
      </c>
      <c r="N616" t="s">
        <v>46</v>
      </c>
      <c r="O616" t="s">
        <v>54</v>
      </c>
      <c r="P616">
        <v>26</v>
      </c>
      <c r="Q616" t="s">
        <v>57</v>
      </c>
      <c r="R616" t="s">
        <v>63</v>
      </c>
      <c r="S616">
        <v>9</v>
      </c>
      <c r="T616">
        <v>2013</v>
      </c>
      <c r="U616" t="s">
        <v>64</v>
      </c>
      <c r="V616">
        <v>161</v>
      </c>
      <c r="W616">
        <v>3.3</v>
      </c>
    </row>
    <row r="617" spans="1:23" x14ac:dyDescent="0.35">
      <c r="A617">
        <v>10616</v>
      </c>
      <c r="B617" t="s">
        <v>24</v>
      </c>
      <c r="C617" t="s">
        <v>33</v>
      </c>
      <c r="D617" t="s">
        <v>37</v>
      </c>
      <c r="E617">
        <v>93146</v>
      </c>
      <c r="F617">
        <f ca="1">DATEDIF(Table1[[#This Row],[Hire Date]], TODAY(), "Y")</f>
        <v>15</v>
      </c>
      <c r="G617" s="7">
        <f ca="1">YEARFRAC(Table1[[#This Row],[Hire Date]], TODAY())</f>
        <v>15.6</v>
      </c>
      <c r="H617" s="7">
        <v>40345</v>
      </c>
      <c r="I617">
        <v>38</v>
      </c>
      <c r="J617" t="s">
        <v>43</v>
      </c>
      <c r="K617">
        <v>7</v>
      </c>
      <c r="L617" t="s">
        <v>45</v>
      </c>
      <c r="M617">
        <v>1146.47</v>
      </c>
      <c r="N617" t="s">
        <v>49</v>
      </c>
      <c r="O617" t="s">
        <v>52</v>
      </c>
      <c r="P617">
        <v>11</v>
      </c>
      <c r="Q617" t="s">
        <v>57</v>
      </c>
      <c r="R617" t="s">
        <v>63</v>
      </c>
      <c r="S617">
        <v>8</v>
      </c>
      <c r="T617">
        <v>2012</v>
      </c>
      <c r="U617" t="s">
        <v>64</v>
      </c>
      <c r="V617">
        <v>33</v>
      </c>
      <c r="W617">
        <v>2.7</v>
      </c>
    </row>
    <row r="618" spans="1:23" x14ac:dyDescent="0.35">
      <c r="A618">
        <v>10617</v>
      </c>
      <c r="B618" t="s">
        <v>28</v>
      </c>
      <c r="C618" t="s">
        <v>35</v>
      </c>
      <c r="D618" t="s">
        <v>37</v>
      </c>
      <c r="E618">
        <v>80870</v>
      </c>
      <c r="F618">
        <f ca="1">DATEDIF(Table1[[#This Row],[Hire Date]], TODAY(), "Y")</f>
        <v>16</v>
      </c>
      <c r="G618" s="7">
        <f ca="1">YEARFRAC(Table1[[#This Row],[Hire Date]], TODAY())</f>
        <v>16.844444444444445</v>
      </c>
      <c r="H618" s="7">
        <v>39890</v>
      </c>
      <c r="I618">
        <v>25</v>
      </c>
      <c r="J618" t="s">
        <v>43</v>
      </c>
      <c r="K618">
        <v>6</v>
      </c>
      <c r="L618" t="s">
        <v>45</v>
      </c>
      <c r="M618">
        <v>2490.5300000000002</v>
      </c>
      <c r="N618" t="s">
        <v>46</v>
      </c>
      <c r="O618" t="s">
        <v>54</v>
      </c>
      <c r="P618">
        <v>35</v>
      </c>
      <c r="Q618" t="s">
        <v>56</v>
      </c>
      <c r="R618" t="s">
        <v>62</v>
      </c>
      <c r="S618">
        <v>4</v>
      </c>
      <c r="T618">
        <v>2013</v>
      </c>
      <c r="U618" t="s">
        <v>64</v>
      </c>
      <c r="V618">
        <v>73</v>
      </c>
      <c r="W618">
        <v>2.5</v>
      </c>
    </row>
    <row r="619" spans="1:23" x14ac:dyDescent="0.35">
      <c r="A619">
        <v>10618</v>
      </c>
      <c r="B619" t="s">
        <v>25</v>
      </c>
      <c r="C619" t="s">
        <v>35</v>
      </c>
      <c r="D619" t="s">
        <v>41</v>
      </c>
      <c r="E619">
        <v>80460</v>
      </c>
      <c r="F619">
        <f ca="1">DATEDIF(Table1[[#This Row],[Hire Date]], TODAY(), "Y")</f>
        <v>21</v>
      </c>
      <c r="G619" s="7">
        <f ca="1">YEARFRAC(Table1[[#This Row],[Hire Date]], TODAY())</f>
        <v>21.247222222222224</v>
      </c>
      <c r="H619" s="7">
        <v>38283</v>
      </c>
      <c r="I619">
        <v>50</v>
      </c>
      <c r="J619" t="s">
        <v>42</v>
      </c>
      <c r="K619">
        <v>8</v>
      </c>
      <c r="L619" t="s">
        <v>45</v>
      </c>
      <c r="M619">
        <v>576.69000000000005</v>
      </c>
      <c r="N619" t="s">
        <v>48</v>
      </c>
      <c r="O619" t="s">
        <v>54</v>
      </c>
      <c r="P619">
        <v>20</v>
      </c>
      <c r="Q619" t="s">
        <v>55</v>
      </c>
      <c r="R619" t="s">
        <v>59</v>
      </c>
      <c r="S619">
        <v>2</v>
      </c>
      <c r="T619">
        <v>2019</v>
      </c>
      <c r="U619" t="s">
        <v>66</v>
      </c>
      <c r="V619">
        <v>15</v>
      </c>
      <c r="W619">
        <v>2.9</v>
      </c>
    </row>
    <row r="620" spans="1:23" x14ac:dyDescent="0.35">
      <c r="A620">
        <v>10619</v>
      </c>
      <c r="B620" t="s">
        <v>21</v>
      </c>
      <c r="C620" t="s">
        <v>32</v>
      </c>
      <c r="D620" t="s">
        <v>36</v>
      </c>
      <c r="E620">
        <v>112970</v>
      </c>
      <c r="F620">
        <f ca="1">DATEDIF(Table1[[#This Row],[Hire Date]], TODAY(), "Y")</f>
        <v>9</v>
      </c>
      <c r="G620" s="7">
        <f ca="1">YEARFRAC(Table1[[#This Row],[Hire Date]], TODAY())</f>
        <v>9.3888888888888893</v>
      </c>
      <c r="H620" s="7">
        <v>42615</v>
      </c>
      <c r="I620">
        <v>28</v>
      </c>
      <c r="J620" t="s">
        <v>43</v>
      </c>
      <c r="K620">
        <v>2</v>
      </c>
      <c r="L620" t="s">
        <v>45</v>
      </c>
      <c r="M620">
        <v>7878.79</v>
      </c>
      <c r="N620" t="s">
        <v>46</v>
      </c>
      <c r="O620" t="s">
        <v>53</v>
      </c>
      <c r="P620">
        <v>12</v>
      </c>
      <c r="Q620" t="s">
        <v>56</v>
      </c>
      <c r="R620" t="s">
        <v>61</v>
      </c>
      <c r="S620">
        <v>10</v>
      </c>
      <c r="T620">
        <v>2010</v>
      </c>
      <c r="U620" t="s">
        <v>64</v>
      </c>
      <c r="V620">
        <v>134</v>
      </c>
      <c r="W620">
        <v>2.5</v>
      </c>
    </row>
    <row r="621" spans="1:23" x14ac:dyDescent="0.35">
      <c r="A621">
        <v>10620</v>
      </c>
      <c r="B621" t="s">
        <v>24</v>
      </c>
      <c r="C621" t="s">
        <v>31</v>
      </c>
      <c r="D621" t="s">
        <v>39</v>
      </c>
      <c r="E621">
        <v>90817</v>
      </c>
      <c r="F621">
        <f ca="1">DATEDIF(Table1[[#This Row],[Hire Date]], TODAY(), "Y")</f>
        <v>14</v>
      </c>
      <c r="G621" s="7">
        <f ca="1">YEARFRAC(Table1[[#This Row],[Hire Date]], TODAY())</f>
        <v>14.233333333333333</v>
      </c>
      <c r="H621" s="7">
        <v>40844</v>
      </c>
      <c r="I621">
        <v>34</v>
      </c>
      <c r="J621" t="s">
        <v>43</v>
      </c>
      <c r="K621">
        <v>5</v>
      </c>
      <c r="L621" t="s">
        <v>44</v>
      </c>
      <c r="M621">
        <v>8248.19</v>
      </c>
      <c r="N621" t="s">
        <v>48</v>
      </c>
      <c r="O621" t="s">
        <v>52</v>
      </c>
      <c r="P621">
        <v>28</v>
      </c>
      <c r="Q621" t="s">
        <v>56</v>
      </c>
      <c r="R621" t="s">
        <v>60</v>
      </c>
      <c r="S621">
        <v>9</v>
      </c>
      <c r="T621">
        <v>2010</v>
      </c>
      <c r="U621" t="s">
        <v>66</v>
      </c>
      <c r="V621">
        <v>142</v>
      </c>
      <c r="W621">
        <v>2.4</v>
      </c>
    </row>
    <row r="622" spans="1:23" x14ac:dyDescent="0.35">
      <c r="A622">
        <v>10621</v>
      </c>
      <c r="B622" t="s">
        <v>22</v>
      </c>
      <c r="C622" t="s">
        <v>31</v>
      </c>
      <c r="D622" t="s">
        <v>36</v>
      </c>
      <c r="E622">
        <v>68247</v>
      </c>
      <c r="F622">
        <f ca="1">DATEDIF(Table1[[#This Row],[Hire Date]], TODAY(), "Y")</f>
        <v>7</v>
      </c>
      <c r="G622" s="7">
        <f ca="1">YEARFRAC(Table1[[#This Row],[Hire Date]], TODAY())</f>
        <v>7.0666666666666664</v>
      </c>
      <c r="H622" s="7">
        <v>43462</v>
      </c>
      <c r="I622">
        <v>26</v>
      </c>
      <c r="J622" t="s">
        <v>42</v>
      </c>
      <c r="K622">
        <v>4</v>
      </c>
      <c r="L622" t="s">
        <v>45</v>
      </c>
      <c r="M622">
        <v>9980.43</v>
      </c>
      <c r="N622" t="s">
        <v>47</v>
      </c>
      <c r="O622" t="s">
        <v>53</v>
      </c>
      <c r="P622">
        <v>2</v>
      </c>
      <c r="Q622" t="s">
        <v>56</v>
      </c>
      <c r="R622" t="s">
        <v>58</v>
      </c>
      <c r="S622">
        <v>15</v>
      </c>
      <c r="T622">
        <v>2014</v>
      </c>
      <c r="U622" t="s">
        <v>65</v>
      </c>
      <c r="V622">
        <v>107</v>
      </c>
      <c r="W622">
        <v>5</v>
      </c>
    </row>
    <row r="623" spans="1:23" x14ac:dyDescent="0.35">
      <c r="A623">
        <v>10622</v>
      </c>
      <c r="B623" t="s">
        <v>26</v>
      </c>
      <c r="C623" t="s">
        <v>30</v>
      </c>
      <c r="D623" t="s">
        <v>40</v>
      </c>
      <c r="E623">
        <v>45419</v>
      </c>
      <c r="F623">
        <f ca="1">DATEDIF(Table1[[#This Row],[Hire Date]], TODAY(), "Y")</f>
        <v>18</v>
      </c>
      <c r="G623" s="7">
        <f ca="1">YEARFRAC(Table1[[#This Row],[Hire Date]], TODAY())</f>
        <v>18.444444444444443</v>
      </c>
      <c r="H623" s="7">
        <v>39306</v>
      </c>
      <c r="I623">
        <v>27</v>
      </c>
      <c r="J623" t="s">
        <v>42</v>
      </c>
      <c r="K623">
        <v>8</v>
      </c>
      <c r="L623" t="s">
        <v>45</v>
      </c>
      <c r="M623">
        <v>4415.8500000000004</v>
      </c>
      <c r="N623" t="s">
        <v>49</v>
      </c>
      <c r="O623" t="s">
        <v>53</v>
      </c>
      <c r="P623">
        <v>1</v>
      </c>
      <c r="Q623" t="s">
        <v>56</v>
      </c>
      <c r="R623" t="s">
        <v>63</v>
      </c>
      <c r="S623">
        <v>19</v>
      </c>
      <c r="T623">
        <v>2016</v>
      </c>
      <c r="U623" t="s">
        <v>66</v>
      </c>
      <c r="V623">
        <v>112</v>
      </c>
      <c r="W623">
        <v>2.2999999999999998</v>
      </c>
    </row>
    <row r="624" spans="1:23" x14ac:dyDescent="0.35">
      <c r="A624">
        <v>10623</v>
      </c>
      <c r="B624" t="s">
        <v>21</v>
      </c>
      <c r="C624" t="s">
        <v>35</v>
      </c>
      <c r="D624" t="s">
        <v>40</v>
      </c>
      <c r="E624">
        <v>65577</v>
      </c>
      <c r="F624">
        <f ca="1">DATEDIF(Table1[[#This Row],[Hire Date]], TODAY(), "Y")</f>
        <v>17</v>
      </c>
      <c r="G624" s="7">
        <f ca="1">YEARFRAC(Table1[[#This Row],[Hire Date]], TODAY())</f>
        <v>17.06111111111111</v>
      </c>
      <c r="H624" s="7">
        <v>39813</v>
      </c>
      <c r="I624">
        <v>55</v>
      </c>
      <c r="J624" t="s">
        <v>43</v>
      </c>
      <c r="K624">
        <v>1</v>
      </c>
      <c r="L624" t="s">
        <v>44</v>
      </c>
      <c r="M624">
        <v>683.33</v>
      </c>
      <c r="N624" t="s">
        <v>49</v>
      </c>
      <c r="O624" t="s">
        <v>51</v>
      </c>
      <c r="P624">
        <v>9</v>
      </c>
      <c r="Q624" t="s">
        <v>55</v>
      </c>
      <c r="R624" t="s">
        <v>60</v>
      </c>
      <c r="S624">
        <v>18</v>
      </c>
      <c r="T624">
        <v>2018</v>
      </c>
      <c r="U624" t="s">
        <v>66</v>
      </c>
      <c r="V624">
        <v>123</v>
      </c>
      <c r="W624">
        <v>2</v>
      </c>
    </row>
    <row r="625" spans="1:23" x14ac:dyDescent="0.35">
      <c r="A625">
        <v>10624</v>
      </c>
      <c r="B625" t="s">
        <v>26</v>
      </c>
      <c r="C625" t="s">
        <v>29</v>
      </c>
      <c r="D625" t="s">
        <v>41</v>
      </c>
      <c r="E625">
        <v>32921</v>
      </c>
      <c r="F625">
        <f ca="1">DATEDIF(Table1[[#This Row],[Hire Date]], TODAY(), "Y")</f>
        <v>19</v>
      </c>
      <c r="G625" s="7">
        <f ca="1">YEARFRAC(Table1[[#This Row],[Hire Date]], TODAY())</f>
        <v>19.344444444444445</v>
      </c>
      <c r="H625" s="7">
        <v>38978</v>
      </c>
      <c r="I625">
        <v>28</v>
      </c>
      <c r="J625" t="s">
        <v>43</v>
      </c>
      <c r="K625">
        <v>3</v>
      </c>
      <c r="L625" t="s">
        <v>45</v>
      </c>
      <c r="M625">
        <v>2729.93</v>
      </c>
      <c r="N625" t="s">
        <v>46</v>
      </c>
      <c r="O625" t="s">
        <v>52</v>
      </c>
      <c r="P625">
        <v>22</v>
      </c>
      <c r="Q625" t="s">
        <v>55</v>
      </c>
      <c r="R625" t="s">
        <v>63</v>
      </c>
      <c r="S625">
        <v>0</v>
      </c>
      <c r="T625">
        <v>2016</v>
      </c>
      <c r="U625" t="s">
        <v>66</v>
      </c>
      <c r="V625">
        <v>159</v>
      </c>
      <c r="W625">
        <v>2.4</v>
      </c>
    </row>
    <row r="626" spans="1:23" x14ac:dyDescent="0.35">
      <c r="A626">
        <v>10625</v>
      </c>
      <c r="B626" t="s">
        <v>23</v>
      </c>
      <c r="C626" t="s">
        <v>29</v>
      </c>
      <c r="D626" t="s">
        <v>39</v>
      </c>
      <c r="E626">
        <v>34676</v>
      </c>
      <c r="F626">
        <f ca="1">DATEDIF(Table1[[#This Row],[Hire Date]], TODAY(), "Y")</f>
        <v>11</v>
      </c>
      <c r="G626" s="7">
        <f ca="1">YEARFRAC(Table1[[#This Row],[Hire Date]], TODAY())</f>
        <v>11.577777777777778</v>
      </c>
      <c r="H626" s="7">
        <v>41814</v>
      </c>
      <c r="I626">
        <v>49</v>
      </c>
      <c r="J626" t="s">
        <v>42</v>
      </c>
      <c r="K626">
        <v>8</v>
      </c>
      <c r="L626" t="s">
        <v>44</v>
      </c>
      <c r="M626">
        <v>6083.8</v>
      </c>
      <c r="N626" t="s">
        <v>47</v>
      </c>
      <c r="O626" t="s">
        <v>53</v>
      </c>
      <c r="P626">
        <v>27</v>
      </c>
      <c r="Q626" t="s">
        <v>56</v>
      </c>
      <c r="R626" t="s">
        <v>61</v>
      </c>
      <c r="S626">
        <v>10</v>
      </c>
      <c r="T626">
        <v>2020</v>
      </c>
      <c r="U626" t="s">
        <v>64</v>
      </c>
      <c r="V626">
        <v>91</v>
      </c>
      <c r="W626">
        <v>3.4</v>
      </c>
    </row>
    <row r="627" spans="1:23" x14ac:dyDescent="0.35">
      <c r="A627">
        <v>10626</v>
      </c>
      <c r="B627" t="s">
        <v>26</v>
      </c>
      <c r="C627" t="s">
        <v>33</v>
      </c>
      <c r="D627" t="s">
        <v>36</v>
      </c>
      <c r="E627">
        <v>115961</v>
      </c>
      <c r="F627">
        <f ca="1">DATEDIF(Table1[[#This Row],[Hire Date]], TODAY(), "Y")</f>
        <v>25</v>
      </c>
      <c r="G627" s="7">
        <f ca="1">YEARFRAC(Table1[[#This Row],[Hire Date]], TODAY())</f>
        <v>25.161111111111111</v>
      </c>
      <c r="H627" s="7">
        <v>36854</v>
      </c>
      <c r="I627">
        <v>31</v>
      </c>
      <c r="J627" t="s">
        <v>42</v>
      </c>
      <c r="K627">
        <v>5</v>
      </c>
      <c r="L627" t="s">
        <v>45</v>
      </c>
      <c r="M627">
        <v>9638.4599999999991</v>
      </c>
      <c r="N627" t="s">
        <v>47</v>
      </c>
      <c r="O627" t="s">
        <v>50</v>
      </c>
      <c r="P627">
        <v>9</v>
      </c>
      <c r="Q627" t="s">
        <v>57</v>
      </c>
      <c r="R627" t="s">
        <v>61</v>
      </c>
      <c r="S627">
        <v>14</v>
      </c>
      <c r="T627">
        <v>2014</v>
      </c>
      <c r="U627" t="s">
        <v>66</v>
      </c>
      <c r="V627">
        <v>116</v>
      </c>
      <c r="W627">
        <v>4.5999999999999996</v>
      </c>
    </row>
    <row r="628" spans="1:23" x14ac:dyDescent="0.35">
      <c r="A628">
        <v>10627</v>
      </c>
      <c r="B628" t="s">
        <v>23</v>
      </c>
      <c r="C628" t="s">
        <v>33</v>
      </c>
      <c r="D628" t="s">
        <v>39</v>
      </c>
      <c r="E628">
        <v>79684</v>
      </c>
      <c r="F628">
        <f ca="1">DATEDIF(Table1[[#This Row],[Hire Date]], TODAY(), "Y")</f>
        <v>24</v>
      </c>
      <c r="G628" s="7">
        <f ca="1">YEARFRAC(Table1[[#This Row],[Hire Date]], TODAY())</f>
        <v>24.891666666666666</v>
      </c>
      <c r="H628" s="7">
        <v>36951</v>
      </c>
      <c r="I628">
        <v>25</v>
      </c>
      <c r="J628" t="s">
        <v>42</v>
      </c>
      <c r="K628">
        <v>4</v>
      </c>
      <c r="L628" t="s">
        <v>44</v>
      </c>
      <c r="M628">
        <v>1484</v>
      </c>
      <c r="N628" t="s">
        <v>47</v>
      </c>
      <c r="O628" t="s">
        <v>54</v>
      </c>
      <c r="P628">
        <v>7</v>
      </c>
      <c r="Q628" t="s">
        <v>57</v>
      </c>
      <c r="R628" t="s">
        <v>62</v>
      </c>
      <c r="S628">
        <v>6</v>
      </c>
      <c r="T628">
        <v>2012</v>
      </c>
      <c r="U628" t="s">
        <v>65</v>
      </c>
      <c r="V628">
        <v>167</v>
      </c>
      <c r="W628">
        <v>4.2</v>
      </c>
    </row>
    <row r="629" spans="1:23" x14ac:dyDescent="0.35">
      <c r="A629">
        <v>10628</v>
      </c>
      <c r="B629" t="s">
        <v>27</v>
      </c>
      <c r="C629" t="s">
        <v>32</v>
      </c>
      <c r="D629" t="s">
        <v>41</v>
      </c>
      <c r="E629">
        <v>43463</v>
      </c>
      <c r="F629">
        <f ca="1">DATEDIF(Table1[[#This Row],[Hire Date]], TODAY(), "Y")</f>
        <v>10</v>
      </c>
      <c r="G629" s="7">
        <f ca="1">YEARFRAC(Table1[[#This Row],[Hire Date]], TODAY())</f>
        <v>10.522222222222222</v>
      </c>
      <c r="H629" s="7">
        <v>42199</v>
      </c>
      <c r="I629">
        <v>24</v>
      </c>
      <c r="J629" t="s">
        <v>43</v>
      </c>
      <c r="K629">
        <v>6</v>
      </c>
      <c r="L629" t="s">
        <v>44</v>
      </c>
      <c r="M629">
        <v>1654.94</v>
      </c>
      <c r="N629" t="s">
        <v>47</v>
      </c>
      <c r="O629" t="s">
        <v>52</v>
      </c>
      <c r="P629">
        <v>36</v>
      </c>
      <c r="Q629" t="s">
        <v>57</v>
      </c>
      <c r="R629" t="s">
        <v>62</v>
      </c>
      <c r="S629">
        <v>7</v>
      </c>
      <c r="T629">
        <v>2017</v>
      </c>
      <c r="U629" t="s">
        <v>65</v>
      </c>
      <c r="V629">
        <v>182</v>
      </c>
      <c r="W629">
        <v>4.4000000000000004</v>
      </c>
    </row>
    <row r="630" spans="1:23" x14ac:dyDescent="0.35">
      <c r="A630">
        <v>10629</v>
      </c>
      <c r="B630" t="s">
        <v>21</v>
      </c>
      <c r="C630" t="s">
        <v>35</v>
      </c>
      <c r="D630" t="s">
        <v>40</v>
      </c>
      <c r="E630">
        <v>55474</v>
      </c>
      <c r="F630">
        <f ca="1">DATEDIF(Table1[[#This Row],[Hire Date]], TODAY(), "Y")</f>
        <v>23</v>
      </c>
      <c r="G630" s="7">
        <f ca="1">YEARFRAC(Table1[[#This Row],[Hire Date]], TODAY())</f>
        <v>23.955555555555556</v>
      </c>
      <c r="H630" s="7">
        <v>37295</v>
      </c>
      <c r="I630">
        <v>46</v>
      </c>
      <c r="J630" t="s">
        <v>42</v>
      </c>
      <c r="K630">
        <v>5</v>
      </c>
      <c r="L630" t="s">
        <v>44</v>
      </c>
      <c r="M630">
        <v>7166.71</v>
      </c>
      <c r="N630" t="s">
        <v>49</v>
      </c>
      <c r="O630" t="s">
        <v>51</v>
      </c>
      <c r="P630">
        <v>38</v>
      </c>
      <c r="Q630" t="s">
        <v>57</v>
      </c>
      <c r="R630" t="s">
        <v>63</v>
      </c>
      <c r="S630">
        <v>15</v>
      </c>
      <c r="T630">
        <v>2021</v>
      </c>
      <c r="U630" t="s">
        <v>65</v>
      </c>
      <c r="V630">
        <v>78</v>
      </c>
      <c r="W630">
        <v>4.4000000000000004</v>
      </c>
    </row>
    <row r="631" spans="1:23" x14ac:dyDescent="0.35">
      <c r="A631">
        <v>10630</v>
      </c>
      <c r="B631" t="s">
        <v>21</v>
      </c>
      <c r="C631" t="s">
        <v>33</v>
      </c>
      <c r="D631" t="s">
        <v>40</v>
      </c>
      <c r="E631">
        <v>70935</v>
      </c>
      <c r="F631">
        <f ca="1">DATEDIF(Table1[[#This Row],[Hire Date]], TODAY(), "Y")</f>
        <v>11</v>
      </c>
      <c r="G631" s="7">
        <f ca="1">YEARFRAC(Table1[[#This Row],[Hire Date]], TODAY())</f>
        <v>11.502777777777778</v>
      </c>
      <c r="H631" s="7">
        <v>41841</v>
      </c>
      <c r="I631">
        <v>44</v>
      </c>
      <c r="J631" t="s">
        <v>43</v>
      </c>
      <c r="K631">
        <v>3</v>
      </c>
      <c r="L631" t="s">
        <v>45</v>
      </c>
      <c r="M631">
        <v>6838.47</v>
      </c>
      <c r="N631" t="s">
        <v>46</v>
      </c>
      <c r="O631" t="s">
        <v>53</v>
      </c>
      <c r="P631">
        <v>2</v>
      </c>
      <c r="Q631" t="s">
        <v>57</v>
      </c>
      <c r="R631" t="s">
        <v>63</v>
      </c>
      <c r="S631">
        <v>17</v>
      </c>
      <c r="T631">
        <v>2016</v>
      </c>
      <c r="U631" t="s">
        <v>65</v>
      </c>
      <c r="V631">
        <v>6</v>
      </c>
      <c r="W631">
        <v>4.7</v>
      </c>
    </row>
    <row r="632" spans="1:23" x14ac:dyDescent="0.35">
      <c r="A632">
        <v>10631</v>
      </c>
      <c r="B632" t="s">
        <v>28</v>
      </c>
      <c r="C632" t="s">
        <v>33</v>
      </c>
      <c r="D632" t="s">
        <v>37</v>
      </c>
      <c r="E632">
        <v>97005</v>
      </c>
      <c r="F632">
        <f ca="1">DATEDIF(Table1[[#This Row],[Hire Date]], TODAY(), "Y")</f>
        <v>15</v>
      </c>
      <c r="G632" s="7">
        <f ca="1">YEARFRAC(Table1[[#This Row],[Hire Date]], TODAY())</f>
        <v>15.175000000000001</v>
      </c>
      <c r="H632" s="7">
        <v>40501</v>
      </c>
      <c r="I632">
        <v>48</v>
      </c>
      <c r="J632" t="s">
        <v>43</v>
      </c>
      <c r="K632">
        <v>5</v>
      </c>
      <c r="L632" t="s">
        <v>45</v>
      </c>
      <c r="M632">
        <v>2879.81</v>
      </c>
      <c r="N632" t="s">
        <v>46</v>
      </c>
      <c r="O632" t="s">
        <v>50</v>
      </c>
      <c r="P632">
        <v>5</v>
      </c>
      <c r="Q632" t="s">
        <v>55</v>
      </c>
      <c r="R632" t="s">
        <v>60</v>
      </c>
      <c r="S632">
        <v>10</v>
      </c>
      <c r="T632">
        <v>2013</v>
      </c>
      <c r="U632" t="s">
        <v>65</v>
      </c>
      <c r="V632">
        <v>21</v>
      </c>
      <c r="W632">
        <v>1.9</v>
      </c>
    </row>
    <row r="633" spans="1:23" x14ac:dyDescent="0.35">
      <c r="A633">
        <v>10632</v>
      </c>
      <c r="B633" t="s">
        <v>22</v>
      </c>
      <c r="C633" t="s">
        <v>34</v>
      </c>
      <c r="D633" t="s">
        <v>41</v>
      </c>
      <c r="E633">
        <v>88596</v>
      </c>
      <c r="F633">
        <f ca="1">DATEDIF(Table1[[#This Row],[Hire Date]], TODAY(), "Y")</f>
        <v>24</v>
      </c>
      <c r="G633" s="7">
        <f ca="1">YEARFRAC(Table1[[#This Row],[Hire Date]], TODAY())</f>
        <v>24.394444444444446</v>
      </c>
      <c r="H633" s="7">
        <v>37133</v>
      </c>
      <c r="I633">
        <v>35</v>
      </c>
      <c r="J633" t="s">
        <v>43</v>
      </c>
      <c r="K633">
        <v>4</v>
      </c>
      <c r="L633" t="s">
        <v>44</v>
      </c>
      <c r="M633">
        <v>8224.8799999999992</v>
      </c>
      <c r="N633" t="s">
        <v>48</v>
      </c>
      <c r="O633" t="s">
        <v>54</v>
      </c>
      <c r="P633">
        <v>17</v>
      </c>
      <c r="Q633" t="s">
        <v>57</v>
      </c>
      <c r="R633" t="s">
        <v>62</v>
      </c>
      <c r="S633">
        <v>0</v>
      </c>
      <c r="T633">
        <v>2010</v>
      </c>
      <c r="U633" t="s">
        <v>65</v>
      </c>
      <c r="V633">
        <v>99</v>
      </c>
      <c r="W633">
        <v>2.8</v>
      </c>
    </row>
    <row r="634" spans="1:23" x14ac:dyDescent="0.35">
      <c r="A634">
        <v>10633</v>
      </c>
      <c r="B634" t="s">
        <v>23</v>
      </c>
      <c r="C634" t="s">
        <v>35</v>
      </c>
      <c r="D634" t="s">
        <v>41</v>
      </c>
      <c r="E634">
        <v>102828</v>
      </c>
      <c r="F634">
        <f ca="1">DATEDIF(Table1[[#This Row],[Hire Date]], TODAY(), "Y")</f>
        <v>20</v>
      </c>
      <c r="G634" s="7">
        <f ca="1">YEARFRAC(Table1[[#This Row],[Hire Date]], TODAY())</f>
        <v>20.988888888888887</v>
      </c>
      <c r="H634" s="7">
        <v>38378</v>
      </c>
      <c r="I634">
        <v>59</v>
      </c>
      <c r="J634" t="s">
        <v>42</v>
      </c>
      <c r="K634">
        <v>1</v>
      </c>
      <c r="L634" t="s">
        <v>44</v>
      </c>
      <c r="M634">
        <v>1723.4</v>
      </c>
      <c r="N634" t="s">
        <v>49</v>
      </c>
      <c r="O634" t="s">
        <v>54</v>
      </c>
      <c r="P634">
        <v>37</v>
      </c>
      <c r="Q634" t="s">
        <v>55</v>
      </c>
      <c r="R634" t="s">
        <v>61</v>
      </c>
      <c r="S634">
        <v>15</v>
      </c>
      <c r="T634">
        <v>2022</v>
      </c>
      <c r="U634" t="s">
        <v>66</v>
      </c>
      <c r="V634">
        <v>84</v>
      </c>
      <c r="W634">
        <v>2.5</v>
      </c>
    </row>
    <row r="635" spans="1:23" x14ac:dyDescent="0.35">
      <c r="A635">
        <v>10634</v>
      </c>
      <c r="B635" t="s">
        <v>28</v>
      </c>
      <c r="C635" t="s">
        <v>32</v>
      </c>
      <c r="D635" t="s">
        <v>36</v>
      </c>
      <c r="E635">
        <v>119062</v>
      </c>
      <c r="F635">
        <f ca="1">DATEDIF(Table1[[#This Row],[Hire Date]], TODAY(), "Y")</f>
        <v>7</v>
      </c>
      <c r="G635" s="7">
        <f ca="1">YEARFRAC(Table1[[#This Row],[Hire Date]], TODAY())</f>
        <v>7.7972222222222225</v>
      </c>
      <c r="H635" s="7">
        <v>43195</v>
      </c>
      <c r="I635">
        <v>53</v>
      </c>
      <c r="J635" t="s">
        <v>42</v>
      </c>
      <c r="K635">
        <v>1</v>
      </c>
      <c r="L635" t="s">
        <v>44</v>
      </c>
      <c r="M635">
        <v>9294.5499999999993</v>
      </c>
      <c r="N635" t="s">
        <v>48</v>
      </c>
      <c r="O635" t="s">
        <v>50</v>
      </c>
      <c r="P635">
        <v>35</v>
      </c>
      <c r="Q635" t="s">
        <v>57</v>
      </c>
      <c r="R635" t="s">
        <v>59</v>
      </c>
      <c r="S635">
        <v>3</v>
      </c>
      <c r="T635">
        <v>2012</v>
      </c>
      <c r="U635" t="s">
        <v>64</v>
      </c>
      <c r="V635">
        <v>28</v>
      </c>
      <c r="W635">
        <v>2.5</v>
      </c>
    </row>
    <row r="636" spans="1:23" x14ac:dyDescent="0.35">
      <c r="A636">
        <v>10635</v>
      </c>
      <c r="B636" t="s">
        <v>26</v>
      </c>
      <c r="C636" t="s">
        <v>33</v>
      </c>
      <c r="D636" t="s">
        <v>36</v>
      </c>
      <c r="E636">
        <v>85152</v>
      </c>
      <c r="F636">
        <f ca="1">DATEDIF(Table1[[#This Row],[Hire Date]], TODAY(), "Y")</f>
        <v>18</v>
      </c>
      <c r="G636" s="7">
        <f ca="1">YEARFRAC(Table1[[#This Row],[Hire Date]], TODAY())</f>
        <v>18.738888888888887</v>
      </c>
      <c r="H636" s="7">
        <v>39198</v>
      </c>
      <c r="I636">
        <v>44</v>
      </c>
      <c r="J636" t="s">
        <v>42</v>
      </c>
      <c r="K636">
        <v>7</v>
      </c>
      <c r="L636" t="s">
        <v>44</v>
      </c>
      <c r="M636">
        <v>2409.8000000000002</v>
      </c>
      <c r="N636" t="s">
        <v>47</v>
      </c>
      <c r="O636" t="s">
        <v>52</v>
      </c>
      <c r="P636">
        <v>8</v>
      </c>
      <c r="Q636" t="s">
        <v>57</v>
      </c>
      <c r="R636" t="s">
        <v>60</v>
      </c>
      <c r="S636">
        <v>5</v>
      </c>
      <c r="T636">
        <v>2020</v>
      </c>
      <c r="U636" t="s">
        <v>64</v>
      </c>
      <c r="V636">
        <v>61</v>
      </c>
      <c r="W636">
        <v>3.6</v>
      </c>
    </row>
    <row r="637" spans="1:23" x14ac:dyDescent="0.35">
      <c r="A637">
        <v>10636</v>
      </c>
      <c r="B637" t="s">
        <v>26</v>
      </c>
      <c r="C637" t="s">
        <v>32</v>
      </c>
      <c r="D637" t="s">
        <v>37</v>
      </c>
      <c r="E637">
        <v>119001</v>
      </c>
      <c r="F637">
        <f ca="1">DATEDIF(Table1[[#This Row],[Hire Date]], TODAY(), "Y")</f>
        <v>20</v>
      </c>
      <c r="G637" s="7">
        <f ca="1">YEARFRAC(Table1[[#This Row],[Hire Date]], TODAY())</f>
        <v>20.241666666666667</v>
      </c>
      <c r="H637" s="7">
        <v>38650</v>
      </c>
      <c r="I637">
        <v>61</v>
      </c>
      <c r="J637" t="s">
        <v>43</v>
      </c>
      <c r="K637">
        <v>4</v>
      </c>
      <c r="L637" t="s">
        <v>44</v>
      </c>
      <c r="M637">
        <v>1272.8499999999999</v>
      </c>
      <c r="N637" t="s">
        <v>46</v>
      </c>
      <c r="O637" t="s">
        <v>54</v>
      </c>
      <c r="P637">
        <v>3</v>
      </c>
      <c r="Q637" t="s">
        <v>56</v>
      </c>
      <c r="R637" t="s">
        <v>60</v>
      </c>
      <c r="S637">
        <v>10</v>
      </c>
      <c r="T637">
        <v>2017</v>
      </c>
      <c r="U637" t="s">
        <v>65</v>
      </c>
      <c r="V637">
        <v>75</v>
      </c>
      <c r="W637">
        <v>2.6</v>
      </c>
    </row>
    <row r="638" spans="1:23" x14ac:dyDescent="0.35">
      <c r="A638">
        <v>10637</v>
      </c>
      <c r="B638" t="s">
        <v>28</v>
      </c>
      <c r="C638" t="s">
        <v>31</v>
      </c>
      <c r="D638" t="s">
        <v>38</v>
      </c>
      <c r="E638">
        <v>116569</v>
      </c>
      <c r="F638">
        <f ca="1">DATEDIF(Table1[[#This Row],[Hire Date]], TODAY(), "Y")</f>
        <v>9</v>
      </c>
      <c r="G638" s="7">
        <f ca="1">YEARFRAC(Table1[[#This Row],[Hire Date]], TODAY())</f>
        <v>9.2416666666666671</v>
      </c>
      <c r="H638" s="7">
        <v>42668</v>
      </c>
      <c r="I638">
        <v>58</v>
      </c>
      <c r="J638" t="s">
        <v>43</v>
      </c>
      <c r="K638">
        <v>1</v>
      </c>
      <c r="L638" t="s">
        <v>44</v>
      </c>
      <c r="M638">
        <v>3725.46</v>
      </c>
      <c r="N638" t="s">
        <v>48</v>
      </c>
      <c r="O638" t="s">
        <v>54</v>
      </c>
      <c r="P638">
        <v>3</v>
      </c>
      <c r="Q638" t="s">
        <v>56</v>
      </c>
      <c r="R638" t="s">
        <v>58</v>
      </c>
      <c r="S638">
        <v>5</v>
      </c>
      <c r="T638">
        <v>2011</v>
      </c>
      <c r="U638" t="s">
        <v>66</v>
      </c>
      <c r="V638">
        <v>87</v>
      </c>
      <c r="W638">
        <v>3.5</v>
      </c>
    </row>
    <row r="639" spans="1:23" x14ac:dyDescent="0.35">
      <c r="A639">
        <v>10638</v>
      </c>
      <c r="B639" t="s">
        <v>21</v>
      </c>
      <c r="C639" t="s">
        <v>32</v>
      </c>
      <c r="D639" t="s">
        <v>39</v>
      </c>
      <c r="E639">
        <v>102467</v>
      </c>
      <c r="F639">
        <f ca="1">DATEDIF(Table1[[#This Row],[Hire Date]], TODAY(), "Y")</f>
        <v>22</v>
      </c>
      <c r="G639" s="7">
        <f ca="1">YEARFRAC(Table1[[#This Row],[Hire Date]], TODAY())</f>
        <v>22.494444444444444</v>
      </c>
      <c r="H639" s="7">
        <v>37826</v>
      </c>
      <c r="I639">
        <v>24</v>
      </c>
      <c r="J639" t="s">
        <v>42</v>
      </c>
      <c r="K639">
        <v>6</v>
      </c>
      <c r="L639" t="s">
        <v>44</v>
      </c>
      <c r="M639">
        <v>2284.4899999999998</v>
      </c>
      <c r="N639" t="s">
        <v>49</v>
      </c>
      <c r="O639" t="s">
        <v>54</v>
      </c>
      <c r="P639">
        <v>1</v>
      </c>
      <c r="Q639" t="s">
        <v>56</v>
      </c>
      <c r="R639" t="s">
        <v>59</v>
      </c>
      <c r="S639">
        <v>9</v>
      </c>
      <c r="T639">
        <v>2018</v>
      </c>
      <c r="U639" t="s">
        <v>65</v>
      </c>
      <c r="V639">
        <v>148</v>
      </c>
      <c r="W639">
        <v>2.5</v>
      </c>
    </row>
    <row r="640" spans="1:23" x14ac:dyDescent="0.35">
      <c r="A640">
        <v>10639</v>
      </c>
      <c r="B640" t="s">
        <v>26</v>
      </c>
      <c r="C640" t="s">
        <v>29</v>
      </c>
      <c r="D640" t="s">
        <v>38</v>
      </c>
      <c r="E640">
        <v>82576</v>
      </c>
      <c r="F640">
        <f ca="1">DATEDIF(Table1[[#This Row],[Hire Date]], TODAY(), "Y")</f>
        <v>12</v>
      </c>
      <c r="G640" s="7">
        <f ca="1">YEARFRAC(Table1[[#This Row],[Hire Date]], TODAY())</f>
        <v>12.327777777777778</v>
      </c>
      <c r="H640" s="7">
        <v>41541</v>
      </c>
      <c r="I640">
        <v>56</v>
      </c>
      <c r="J640" t="s">
        <v>42</v>
      </c>
      <c r="K640">
        <v>1</v>
      </c>
      <c r="L640" t="s">
        <v>44</v>
      </c>
      <c r="M640">
        <v>5505.94</v>
      </c>
      <c r="N640" t="s">
        <v>46</v>
      </c>
      <c r="O640" t="s">
        <v>53</v>
      </c>
      <c r="P640">
        <v>24</v>
      </c>
      <c r="Q640" t="s">
        <v>55</v>
      </c>
      <c r="R640" t="s">
        <v>61</v>
      </c>
      <c r="S640">
        <v>5</v>
      </c>
      <c r="T640">
        <v>2023</v>
      </c>
      <c r="U640" t="s">
        <v>65</v>
      </c>
      <c r="V640">
        <v>101</v>
      </c>
      <c r="W640">
        <v>2.2000000000000002</v>
      </c>
    </row>
    <row r="641" spans="1:23" x14ac:dyDescent="0.35">
      <c r="A641">
        <v>10640</v>
      </c>
      <c r="B641" t="s">
        <v>25</v>
      </c>
      <c r="C641" t="s">
        <v>29</v>
      </c>
      <c r="D641" t="s">
        <v>38</v>
      </c>
      <c r="E641">
        <v>96627</v>
      </c>
      <c r="F641">
        <f ca="1">DATEDIF(Table1[[#This Row],[Hire Date]], TODAY(), "Y")</f>
        <v>6</v>
      </c>
      <c r="G641" s="7">
        <f ca="1">YEARFRAC(Table1[[#This Row],[Hire Date]], TODAY())</f>
        <v>6.6444444444444448</v>
      </c>
      <c r="H641" s="7">
        <v>43615</v>
      </c>
      <c r="I641">
        <v>34</v>
      </c>
      <c r="J641" t="s">
        <v>43</v>
      </c>
      <c r="K641">
        <v>8</v>
      </c>
      <c r="L641" t="s">
        <v>44</v>
      </c>
      <c r="M641">
        <v>7025.04</v>
      </c>
      <c r="N641" t="s">
        <v>49</v>
      </c>
      <c r="O641" t="s">
        <v>53</v>
      </c>
      <c r="P641">
        <v>30</v>
      </c>
      <c r="Q641" t="s">
        <v>55</v>
      </c>
      <c r="R641" t="s">
        <v>60</v>
      </c>
      <c r="S641">
        <v>9</v>
      </c>
      <c r="T641">
        <v>2013</v>
      </c>
      <c r="U641" t="s">
        <v>65</v>
      </c>
      <c r="V641">
        <v>40</v>
      </c>
      <c r="W641">
        <v>2.4</v>
      </c>
    </row>
    <row r="642" spans="1:23" x14ac:dyDescent="0.35">
      <c r="A642">
        <v>10641</v>
      </c>
      <c r="B642" t="s">
        <v>27</v>
      </c>
      <c r="C642" t="s">
        <v>32</v>
      </c>
      <c r="D642" t="s">
        <v>41</v>
      </c>
      <c r="E642">
        <v>55772</v>
      </c>
      <c r="F642">
        <f ca="1">DATEDIF(Table1[[#This Row],[Hire Date]], TODAY(), "Y")</f>
        <v>24</v>
      </c>
      <c r="G642" s="7">
        <f ca="1">YEARFRAC(Table1[[#This Row],[Hire Date]], TODAY())</f>
        <v>24.783333333333335</v>
      </c>
      <c r="H642" s="7">
        <v>36991</v>
      </c>
      <c r="I642">
        <v>55</v>
      </c>
      <c r="J642" t="s">
        <v>43</v>
      </c>
      <c r="K642">
        <v>9</v>
      </c>
      <c r="L642" t="s">
        <v>44</v>
      </c>
      <c r="M642">
        <v>5163.75</v>
      </c>
      <c r="N642" t="s">
        <v>46</v>
      </c>
      <c r="O642" t="s">
        <v>54</v>
      </c>
      <c r="P642">
        <v>26</v>
      </c>
      <c r="Q642" t="s">
        <v>56</v>
      </c>
      <c r="R642" t="s">
        <v>59</v>
      </c>
      <c r="S642">
        <v>4</v>
      </c>
      <c r="T642">
        <v>2023</v>
      </c>
      <c r="U642" t="s">
        <v>65</v>
      </c>
      <c r="V642">
        <v>49</v>
      </c>
      <c r="W642">
        <v>4.2</v>
      </c>
    </row>
    <row r="643" spans="1:23" x14ac:dyDescent="0.35">
      <c r="A643">
        <v>10642</v>
      </c>
      <c r="B643" t="s">
        <v>27</v>
      </c>
      <c r="C643" t="s">
        <v>29</v>
      </c>
      <c r="D643" t="s">
        <v>39</v>
      </c>
      <c r="E643">
        <v>46363</v>
      </c>
      <c r="F643">
        <f ca="1">DATEDIF(Table1[[#This Row],[Hire Date]], TODAY(), "Y")</f>
        <v>20</v>
      </c>
      <c r="G643" s="7">
        <f ca="1">YEARFRAC(Table1[[#This Row],[Hire Date]], TODAY())</f>
        <v>20.677777777777777</v>
      </c>
      <c r="H643" s="7">
        <v>38490</v>
      </c>
      <c r="I643">
        <v>45</v>
      </c>
      <c r="J643" t="s">
        <v>43</v>
      </c>
      <c r="K643">
        <v>3</v>
      </c>
      <c r="L643" t="s">
        <v>45</v>
      </c>
      <c r="M643">
        <v>6775.77</v>
      </c>
      <c r="N643" t="s">
        <v>49</v>
      </c>
      <c r="O643" t="s">
        <v>51</v>
      </c>
      <c r="P643">
        <v>38</v>
      </c>
      <c r="Q643" t="s">
        <v>56</v>
      </c>
      <c r="R643" t="s">
        <v>58</v>
      </c>
      <c r="S643">
        <v>8</v>
      </c>
      <c r="T643">
        <v>2016</v>
      </c>
      <c r="U643" t="s">
        <v>64</v>
      </c>
      <c r="V643">
        <v>14</v>
      </c>
      <c r="W643">
        <v>3.4</v>
      </c>
    </row>
    <row r="644" spans="1:23" x14ac:dyDescent="0.35">
      <c r="A644">
        <v>10643</v>
      </c>
      <c r="B644" t="s">
        <v>25</v>
      </c>
      <c r="C644" t="s">
        <v>31</v>
      </c>
      <c r="D644" t="s">
        <v>41</v>
      </c>
      <c r="E644">
        <v>58490</v>
      </c>
      <c r="F644">
        <f ca="1">DATEDIF(Table1[[#This Row],[Hire Date]], TODAY(), "Y")</f>
        <v>10</v>
      </c>
      <c r="G644" s="7">
        <f ca="1">YEARFRAC(Table1[[#This Row],[Hire Date]], TODAY())</f>
        <v>10.811111111111112</v>
      </c>
      <c r="H644" s="7">
        <v>42093</v>
      </c>
      <c r="I644">
        <v>22</v>
      </c>
      <c r="J644" t="s">
        <v>43</v>
      </c>
      <c r="K644">
        <v>7</v>
      </c>
      <c r="L644" t="s">
        <v>44</v>
      </c>
      <c r="M644">
        <v>3966.74</v>
      </c>
      <c r="N644" t="s">
        <v>49</v>
      </c>
      <c r="O644" t="s">
        <v>54</v>
      </c>
      <c r="P644">
        <v>38</v>
      </c>
      <c r="Q644" t="s">
        <v>57</v>
      </c>
      <c r="R644" t="s">
        <v>59</v>
      </c>
      <c r="S644">
        <v>6</v>
      </c>
      <c r="T644">
        <v>2019</v>
      </c>
      <c r="U644" t="s">
        <v>64</v>
      </c>
      <c r="V644">
        <v>67</v>
      </c>
      <c r="W644">
        <v>4.9000000000000004</v>
      </c>
    </row>
    <row r="645" spans="1:23" x14ac:dyDescent="0.35">
      <c r="A645">
        <v>10644</v>
      </c>
      <c r="B645" t="s">
        <v>28</v>
      </c>
      <c r="C645" t="s">
        <v>35</v>
      </c>
      <c r="D645" t="s">
        <v>39</v>
      </c>
      <c r="E645">
        <v>89004</v>
      </c>
      <c r="F645">
        <f ca="1">DATEDIF(Table1[[#This Row],[Hire Date]], TODAY(), "Y")</f>
        <v>20</v>
      </c>
      <c r="G645" s="7">
        <f ca="1">YEARFRAC(Table1[[#This Row],[Hire Date]], TODAY())</f>
        <v>20.730555555555554</v>
      </c>
      <c r="H645" s="7">
        <v>38471</v>
      </c>
      <c r="I645">
        <v>33</v>
      </c>
      <c r="J645" t="s">
        <v>42</v>
      </c>
      <c r="K645">
        <v>5</v>
      </c>
      <c r="L645" t="s">
        <v>45</v>
      </c>
      <c r="M645">
        <v>765.26</v>
      </c>
      <c r="N645" t="s">
        <v>46</v>
      </c>
      <c r="O645" t="s">
        <v>52</v>
      </c>
      <c r="P645">
        <v>3</v>
      </c>
      <c r="Q645" t="s">
        <v>55</v>
      </c>
      <c r="R645" t="s">
        <v>62</v>
      </c>
      <c r="S645">
        <v>16</v>
      </c>
      <c r="T645">
        <v>2021</v>
      </c>
      <c r="U645" t="s">
        <v>66</v>
      </c>
      <c r="V645">
        <v>47</v>
      </c>
      <c r="W645">
        <v>4.3</v>
      </c>
    </row>
    <row r="646" spans="1:23" x14ac:dyDescent="0.35">
      <c r="A646">
        <v>10645</v>
      </c>
      <c r="B646" t="s">
        <v>25</v>
      </c>
      <c r="C646" t="s">
        <v>29</v>
      </c>
      <c r="D646" t="s">
        <v>40</v>
      </c>
      <c r="E646">
        <v>83806</v>
      </c>
      <c r="F646">
        <f ca="1">DATEDIF(Table1[[#This Row],[Hire Date]], TODAY(), "Y")</f>
        <v>11</v>
      </c>
      <c r="G646" s="7">
        <f ca="1">YEARFRAC(Table1[[#This Row],[Hire Date]], TODAY())</f>
        <v>11.602777777777778</v>
      </c>
      <c r="H646" s="7">
        <v>41805</v>
      </c>
      <c r="I646">
        <v>29</v>
      </c>
      <c r="J646" t="s">
        <v>43</v>
      </c>
      <c r="K646">
        <v>3</v>
      </c>
      <c r="L646" t="s">
        <v>44</v>
      </c>
      <c r="M646">
        <v>9753.61</v>
      </c>
      <c r="N646" t="s">
        <v>49</v>
      </c>
      <c r="O646" t="s">
        <v>51</v>
      </c>
      <c r="P646">
        <v>13</v>
      </c>
      <c r="Q646" t="s">
        <v>57</v>
      </c>
      <c r="R646" t="s">
        <v>61</v>
      </c>
      <c r="S646">
        <v>11</v>
      </c>
      <c r="T646">
        <v>2016</v>
      </c>
      <c r="U646" t="s">
        <v>66</v>
      </c>
      <c r="V646">
        <v>55</v>
      </c>
      <c r="W646">
        <v>2.9</v>
      </c>
    </row>
    <row r="647" spans="1:23" x14ac:dyDescent="0.35">
      <c r="A647">
        <v>10646</v>
      </c>
      <c r="B647" t="s">
        <v>23</v>
      </c>
      <c r="C647" t="s">
        <v>29</v>
      </c>
      <c r="D647" t="s">
        <v>41</v>
      </c>
      <c r="E647">
        <v>30260</v>
      </c>
      <c r="F647">
        <f ca="1">DATEDIF(Table1[[#This Row],[Hire Date]], TODAY(), "Y")</f>
        <v>19</v>
      </c>
      <c r="G647" s="7">
        <f ca="1">YEARFRAC(Table1[[#This Row],[Hire Date]], TODAY())</f>
        <v>19.105555555555554</v>
      </c>
      <c r="H647" s="7">
        <v>39065</v>
      </c>
      <c r="I647">
        <v>40</v>
      </c>
      <c r="J647" t="s">
        <v>43</v>
      </c>
      <c r="K647">
        <v>5</v>
      </c>
      <c r="L647" t="s">
        <v>45</v>
      </c>
      <c r="M647">
        <v>8284.43</v>
      </c>
      <c r="N647" t="s">
        <v>49</v>
      </c>
      <c r="O647" t="s">
        <v>52</v>
      </c>
      <c r="P647">
        <v>36</v>
      </c>
      <c r="Q647" t="s">
        <v>57</v>
      </c>
      <c r="R647" t="s">
        <v>62</v>
      </c>
      <c r="S647">
        <v>10</v>
      </c>
      <c r="T647">
        <v>2021</v>
      </c>
      <c r="U647" t="s">
        <v>65</v>
      </c>
      <c r="V647">
        <v>111</v>
      </c>
      <c r="W647">
        <v>2</v>
      </c>
    </row>
    <row r="648" spans="1:23" x14ac:dyDescent="0.35">
      <c r="A648">
        <v>10647</v>
      </c>
      <c r="B648" t="s">
        <v>23</v>
      </c>
      <c r="C648" t="s">
        <v>32</v>
      </c>
      <c r="D648" t="s">
        <v>41</v>
      </c>
      <c r="E648">
        <v>105992</v>
      </c>
      <c r="F648">
        <f ca="1">DATEDIF(Table1[[#This Row],[Hire Date]], TODAY(), "Y")</f>
        <v>19</v>
      </c>
      <c r="G648" s="7">
        <f ca="1">YEARFRAC(Table1[[#This Row],[Hire Date]], TODAY())</f>
        <v>19.594444444444445</v>
      </c>
      <c r="H648" s="7">
        <v>38886</v>
      </c>
      <c r="I648">
        <v>30</v>
      </c>
      <c r="J648" t="s">
        <v>42</v>
      </c>
      <c r="K648">
        <v>7</v>
      </c>
      <c r="L648" t="s">
        <v>44</v>
      </c>
      <c r="M648">
        <v>1197.48</v>
      </c>
      <c r="N648" t="s">
        <v>47</v>
      </c>
      <c r="O648" t="s">
        <v>50</v>
      </c>
      <c r="P648">
        <v>12</v>
      </c>
      <c r="Q648" t="s">
        <v>56</v>
      </c>
      <c r="R648" t="s">
        <v>58</v>
      </c>
      <c r="S648">
        <v>5</v>
      </c>
      <c r="T648">
        <v>2017</v>
      </c>
      <c r="U648" t="s">
        <v>64</v>
      </c>
      <c r="V648">
        <v>7</v>
      </c>
      <c r="W648">
        <v>3.7</v>
      </c>
    </row>
    <row r="649" spans="1:23" x14ac:dyDescent="0.35">
      <c r="A649">
        <v>10648</v>
      </c>
      <c r="B649" t="s">
        <v>28</v>
      </c>
      <c r="C649" t="s">
        <v>31</v>
      </c>
      <c r="D649" t="s">
        <v>41</v>
      </c>
      <c r="E649">
        <v>52320</v>
      </c>
      <c r="F649">
        <f ca="1">DATEDIF(Table1[[#This Row],[Hire Date]], TODAY(), "Y")</f>
        <v>10</v>
      </c>
      <c r="G649" s="7">
        <f ca="1">YEARFRAC(Table1[[#This Row],[Hire Date]], TODAY())</f>
        <v>10.313888888888888</v>
      </c>
      <c r="H649" s="7">
        <v>42276</v>
      </c>
      <c r="I649">
        <v>49</v>
      </c>
      <c r="J649" t="s">
        <v>42</v>
      </c>
      <c r="K649">
        <v>7</v>
      </c>
      <c r="L649" t="s">
        <v>45</v>
      </c>
      <c r="M649">
        <v>4767.18</v>
      </c>
      <c r="N649" t="s">
        <v>46</v>
      </c>
      <c r="O649" t="s">
        <v>50</v>
      </c>
      <c r="P649">
        <v>20</v>
      </c>
      <c r="Q649" t="s">
        <v>57</v>
      </c>
      <c r="R649" t="s">
        <v>61</v>
      </c>
      <c r="S649">
        <v>10</v>
      </c>
      <c r="T649">
        <v>2016</v>
      </c>
      <c r="U649" t="s">
        <v>65</v>
      </c>
      <c r="V649">
        <v>198</v>
      </c>
      <c r="W649">
        <v>3.9</v>
      </c>
    </row>
    <row r="650" spans="1:23" x14ac:dyDescent="0.35">
      <c r="A650">
        <v>10649</v>
      </c>
      <c r="B650" t="s">
        <v>25</v>
      </c>
      <c r="C650" t="s">
        <v>30</v>
      </c>
      <c r="D650" t="s">
        <v>37</v>
      </c>
      <c r="E650">
        <v>108971</v>
      </c>
      <c r="F650">
        <f ca="1">DATEDIF(Table1[[#This Row],[Hire Date]], TODAY(), "Y")</f>
        <v>20</v>
      </c>
      <c r="G650" s="7">
        <f ca="1">YEARFRAC(Table1[[#This Row],[Hire Date]], TODAY())</f>
        <v>20.475000000000001</v>
      </c>
      <c r="H650" s="7">
        <v>38565</v>
      </c>
      <c r="I650">
        <v>35</v>
      </c>
      <c r="J650" t="s">
        <v>42</v>
      </c>
      <c r="K650">
        <v>9</v>
      </c>
      <c r="L650" t="s">
        <v>44</v>
      </c>
      <c r="M650">
        <v>6532.68</v>
      </c>
      <c r="N650" t="s">
        <v>48</v>
      </c>
      <c r="O650" t="s">
        <v>53</v>
      </c>
      <c r="P650">
        <v>39</v>
      </c>
      <c r="Q650" t="s">
        <v>57</v>
      </c>
      <c r="R650" t="s">
        <v>63</v>
      </c>
      <c r="S650">
        <v>10</v>
      </c>
      <c r="T650">
        <v>2020</v>
      </c>
      <c r="U650" t="s">
        <v>64</v>
      </c>
      <c r="V650">
        <v>167</v>
      </c>
      <c r="W650">
        <v>2.9</v>
      </c>
    </row>
    <row r="651" spans="1:23" x14ac:dyDescent="0.35">
      <c r="A651">
        <v>10650</v>
      </c>
      <c r="B651" t="s">
        <v>23</v>
      </c>
      <c r="C651" t="s">
        <v>30</v>
      </c>
      <c r="D651" t="s">
        <v>41</v>
      </c>
      <c r="E651">
        <v>72145</v>
      </c>
      <c r="F651">
        <f ca="1">DATEDIF(Table1[[#This Row],[Hire Date]], TODAY(), "Y")</f>
        <v>22</v>
      </c>
      <c r="G651" s="7">
        <f ca="1">YEARFRAC(Table1[[#This Row],[Hire Date]], TODAY())</f>
        <v>22.81111111111111</v>
      </c>
      <c r="H651" s="7">
        <v>37710</v>
      </c>
      <c r="I651">
        <v>48</v>
      </c>
      <c r="J651" t="s">
        <v>42</v>
      </c>
      <c r="K651">
        <v>8</v>
      </c>
      <c r="L651" t="s">
        <v>44</v>
      </c>
      <c r="M651">
        <v>2310.65</v>
      </c>
      <c r="N651" t="s">
        <v>46</v>
      </c>
      <c r="O651" t="s">
        <v>53</v>
      </c>
      <c r="P651">
        <v>8</v>
      </c>
      <c r="Q651" t="s">
        <v>56</v>
      </c>
      <c r="R651" t="s">
        <v>63</v>
      </c>
      <c r="S651">
        <v>13</v>
      </c>
      <c r="T651">
        <v>2013</v>
      </c>
      <c r="U651" t="s">
        <v>64</v>
      </c>
      <c r="V651">
        <v>73</v>
      </c>
      <c r="W651">
        <v>1.9</v>
      </c>
    </row>
    <row r="652" spans="1:23" x14ac:dyDescent="0.35">
      <c r="A652">
        <v>10651</v>
      </c>
      <c r="B652" t="s">
        <v>21</v>
      </c>
      <c r="C652" t="s">
        <v>30</v>
      </c>
      <c r="D652" t="s">
        <v>36</v>
      </c>
      <c r="E652">
        <v>93688</v>
      </c>
      <c r="F652">
        <f ca="1">DATEDIF(Table1[[#This Row],[Hire Date]], TODAY(), "Y")</f>
        <v>8</v>
      </c>
      <c r="G652" s="7">
        <f ca="1">YEARFRAC(Table1[[#This Row],[Hire Date]], TODAY())</f>
        <v>8.3944444444444439</v>
      </c>
      <c r="H652" s="7">
        <v>42977</v>
      </c>
      <c r="I652">
        <v>39</v>
      </c>
      <c r="J652" t="s">
        <v>43</v>
      </c>
      <c r="K652">
        <v>4</v>
      </c>
      <c r="L652" t="s">
        <v>44</v>
      </c>
      <c r="M652">
        <v>5990.89</v>
      </c>
      <c r="N652" t="s">
        <v>46</v>
      </c>
      <c r="O652" t="s">
        <v>53</v>
      </c>
      <c r="P652">
        <v>2</v>
      </c>
      <c r="Q652" t="s">
        <v>56</v>
      </c>
      <c r="R652" t="s">
        <v>63</v>
      </c>
      <c r="S652">
        <v>15</v>
      </c>
      <c r="T652">
        <v>2022</v>
      </c>
      <c r="U652" t="s">
        <v>66</v>
      </c>
      <c r="V652">
        <v>83</v>
      </c>
      <c r="W652">
        <v>3.2</v>
      </c>
    </row>
    <row r="653" spans="1:23" x14ac:dyDescent="0.35">
      <c r="A653">
        <v>10652</v>
      </c>
      <c r="B653" t="s">
        <v>25</v>
      </c>
      <c r="C653" t="s">
        <v>30</v>
      </c>
      <c r="D653" t="s">
        <v>36</v>
      </c>
      <c r="E653">
        <v>78581</v>
      </c>
      <c r="F653">
        <f ca="1">DATEDIF(Table1[[#This Row],[Hire Date]], TODAY(), "Y")</f>
        <v>15</v>
      </c>
      <c r="G653" s="7">
        <f ca="1">YEARFRAC(Table1[[#This Row],[Hire Date]], TODAY())</f>
        <v>15.286111111111111</v>
      </c>
      <c r="H653" s="7">
        <v>40460</v>
      </c>
      <c r="I653">
        <v>63</v>
      </c>
      <c r="J653" t="s">
        <v>43</v>
      </c>
      <c r="K653">
        <v>5</v>
      </c>
      <c r="L653" t="s">
        <v>45</v>
      </c>
      <c r="M653">
        <v>5569.66</v>
      </c>
      <c r="N653" t="s">
        <v>47</v>
      </c>
      <c r="O653" t="s">
        <v>50</v>
      </c>
      <c r="P653">
        <v>11</v>
      </c>
      <c r="Q653" t="s">
        <v>57</v>
      </c>
      <c r="R653" t="s">
        <v>59</v>
      </c>
      <c r="S653">
        <v>1</v>
      </c>
      <c r="T653">
        <v>2021</v>
      </c>
      <c r="U653" t="s">
        <v>66</v>
      </c>
      <c r="V653">
        <v>40</v>
      </c>
      <c r="W653">
        <v>2</v>
      </c>
    </row>
    <row r="654" spans="1:23" x14ac:dyDescent="0.35">
      <c r="A654">
        <v>10653</v>
      </c>
      <c r="B654" t="s">
        <v>21</v>
      </c>
      <c r="C654" t="s">
        <v>35</v>
      </c>
      <c r="D654" t="s">
        <v>39</v>
      </c>
      <c r="E654">
        <v>50754</v>
      </c>
      <c r="F654">
        <f ca="1">DATEDIF(Table1[[#This Row],[Hire Date]], TODAY(), "Y")</f>
        <v>17</v>
      </c>
      <c r="G654" s="7">
        <f ca="1">YEARFRAC(Table1[[#This Row],[Hire Date]], TODAY())</f>
        <v>17.25</v>
      </c>
      <c r="H654" s="7">
        <v>39743</v>
      </c>
      <c r="I654">
        <v>62</v>
      </c>
      <c r="J654" t="s">
        <v>43</v>
      </c>
      <c r="K654">
        <v>5</v>
      </c>
      <c r="L654" t="s">
        <v>44</v>
      </c>
      <c r="M654">
        <v>2478.52</v>
      </c>
      <c r="N654" t="s">
        <v>48</v>
      </c>
      <c r="O654" t="s">
        <v>52</v>
      </c>
      <c r="P654">
        <v>21</v>
      </c>
      <c r="Q654" t="s">
        <v>57</v>
      </c>
      <c r="R654" t="s">
        <v>60</v>
      </c>
      <c r="S654">
        <v>1</v>
      </c>
      <c r="T654">
        <v>2016</v>
      </c>
      <c r="U654" t="s">
        <v>64</v>
      </c>
      <c r="V654">
        <v>53</v>
      </c>
      <c r="W654">
        <v>4.8</v>
      </c>
    </row>
    <row r="655" spans="1:23" x14ac:dyDescent="0.35">
      <c r="A655">
        <v>10654</v>
      </c>
      <c r="B655" t="s">
        <v>23</v>
      </c>
      <c r="C655" t="s">
        <v>32</v>
      </c>
      <c r="D655" t="s">
        <v>40</v>
      </c>
      <c r="E655">
        <v>99837</v>
      </c>
      <c r="F655">
        <f ca="1">DATEDIF(Table1[[#This Row],[Hire Date]], TODAY(), "Y")</f>
        <v>10</v>
      </c>
      <c r="G655" s="7">
        <f ca="1">YEARFRAC(Table1[[#This Row],[Hire Date]], TODAY())</f>
        <v>10.194444444444445</v>
      </c>
      <c r="H655" s="7">
        <v>42320</v>
      </c>
      <c r="I655">
        <v>27</v>
      </c>
      <c r="J655" t="s">
        <v>43</v>
      </c>
      <c r="K655">
        <v>2</v>
      </c>
      <c r="L655" t="s">
        <v>44</v>
      </c>
      <c r="M655">
        <v>1841.5</v>
      </c>
      <c r="N655" t="s">
        <v>48</v>
      </c>
      <c r="O655" t="s">
        <v>51</v>
      </c>
      <c r="P655">
        <v>37</v>
      </c>
      <c r="Q655" t="s">
        <v>57</v>
      </c>
      <c r="R655" t="s">
        <v>59</v>
      </c>
      <c r="S655">
        <v>4</v>
      </c>
      <c r="T655">
        <v>2014</v>
      </c>
      <c r="U655" t="s">
        <v>66</v>
      </c>
      <c r="V655">
        <v>5</v>
      </c>
      <c r="W655">
        <v>3.5</v>
      </c>
    </row>
    <row r="656" spans="1:23" x14ac:dyDescent="0.35">
      <c r="A656">
        <v>10655</v>
      </c>
      <c r="B656" t="s">
        <v>27</v>
      </c>
      <c r="C656" t="s">
        <v>32</v>
      </c>
      <c r="D656" t="s">
        <v>37</v>
      </c>
      <c r="E656">
        <v>37207</v>
      </c>
      <c r="F656">
        <f ca="1">DATEDIF(Table1[[#This Row],[Hire Date]], TODAY(), "Y")</f>
        <v>7</v>
      </c>
      <c r="G656" s="7">
        <f ca="1">YEARFRAC(Table1[[#This Row],[Hire Date]], TODAY())</f>
        <v>7.3472222222222223</v>
      </c>
      <c r="H656" s="7">
        <v>43360</v>
      </c>
      <c r="I656">
        <v>54</v>
      </c>
      <c r="J656" t="s">
        <v>43</v>
      </c>
      <c r="K656">
        <v>7</v>
      </c>
      <c r="L656" t="s">
        <v>44</v>
      </c>
      <c r="M656">
        <v>7710.14</v>
      </c>
      <c r="N656" t="s">
        <v>48</v>
      </c>
      <c r="O656" t="s">
        <v>53</v>
      </c>
      <c r="P656">
        <v>6</v>
      </c>
      <c r="Q656" t="s">
        <v>55</v>
      </c>
      <c r="R656" t="s">
        <v>59</v>
      </c>
      <c r="S656">
        <v>13</v>
      </c>
      <c r="T656">
        <v>2021</v>
      </c>
      <c r="U656" t="s">
        <v>65</v>
      </c>
      <c r="V656">
        <v>174</v>
      </c>
      <c r="W656">
        <v>2.2000000000000002</v>
      </c>
    </row>
    <row r="657" spans="1:23" x14ac:dyDescent="0.35">
      <c r="A657">
        <v>10656</v>
      </c>
      <c r="B657" t="s">
        <v>23</v>
      </c>
      <c r="C657" t="s">
        <v>34</v>
      </c>
      <c r="D657" t="s">
        <v>39</v>
      </c>
      <c r="E657">
        <v>57920</v>
      </c>
      <c r="F657">
        <f ca="1">DATEDIF(Table1[[#This Row],[Hire Date]], TODAY(), "Y")</f>
        <v>8</v>
      </c>
      <c r="G657" s="7">
        <f ca="1">YEARFRAC(Table1[[#This Row],[Hire Date]], TODAY())</f>
        <v>8.9972222222222218</v>
      </c>
      <c r="H657" s="7">
        <v>42758</v>
      </c>
      <c r="I657">
        <v>58</v>
      </c>
      <c r="J657" t="s">
        <v>42</v>
      </c>
      <c r="K657">
        <v>7</v>
      </c>
      <c r="L657" t="s">
        <v>45</v>
      </c>
      <c r="M657">
        <v>3564.57</v>
      </c>
      <c r="N657" t="s">
        <v>49</v>
      </c>
      <c r="O657" t="s">
        <v>50</v>
      </c>
      <c r="P657">
        <v>19</v>
      </c>
      <c r="Q657" t="s">
        <v>57</v>
      </c>
      <c r="R657" t="s">
        <v>59</v>
      </c>
      <c r="S657">
        <v>9</v>
      </c>
      <c r="T657">
        <v>2019</v>
      </c>
      <c r="U657" t="s">
        <v>64</v>
      </c>
      <c r="V657">
        <v>173</v>
      </c>
      <c r="W657">
        <v>1.9</v>
      </c>
    </row>
    <row r="658" spans="1:23" x14ac:dyDescent="0.35">
      <c r="A658">
        <v>10657</v>
      </c>
      <c r="B658" t="s">
        <v>21</v>
      </c>
      <c r="C658" t="s">
        <v>31</v>
      </c>
      <c r="D658" t="s">
        <v>36</v>
      </c>
      <c r="E658">
        <v>117739</v>
      </c>
      <c r="F658">
        <f ca="1">DATEDIF(Table1[[#This Row],[Hire Date]], TODAY(), "Y")</f>
        <v>18</v>
      </c>
      <c r="G658" s="7">
        <f ca="1">YEARFRAC(Table1[[#This Row],[Hire Date]], TODAY())</f>
        <v>18.43888888888889</v>
      </c>
      <c r="H658" s="7">
        <v>39308</v>
      </c>
      <c r="I658">
        <v>63</v>
      </c>
      <c r="J658" t="s">
        <v>42</v>
      </c>
      <c r="K658">
        <v>9</v>
      </c>
      <c r="L658" t="s">
        <v>45</v>
      </c>
      <c r="M658">
        <v>2818.39</v>
      </c>
      <c r="N658" t="s">
        <v>49</v>
      </c>
      <c r="O658" t="s">
        <v>53</v>
      </c>
      <c r="P658">
        <v>30</v>
      </c>
      <c r="Q658" t="s">
        <v>56</v>
      </c>
      <c r="R658" t="s">
        <v>59</v>
      </c>
      <c r="S658">
        <v>9</v>
      </c>
      <c r="T658">
        <v>2016</v>
      </c>
      <c r="U658" t="s">
        <v>64</v>
      </c>
      <c r="V658">
        <v>77</v>
      </c>
      <c r="W658">
        <v>3.9</v>
      </c>
    </row>
    <row r="659" spans="1:23" x14ac:dyDescent="0.35">
      <c r="A659">
        <v>10658</v>
      </c>
      <c r="B659" t="s">
        <v>24</v>
      </c>
      <c r="C659" t="s">
        <v>30</v>
      </c>
      <c r="D659" t="s">
        <v>37</v>
      </c>
      <c r="E659">
        <v>117081</v>
      </c>
      <c r="F659">
        <f ca="1">DATEDIF(Table1[[#This Row],[Hire Date]], TODAY(), "Y")</f>
        <v>23</v>
      </c>
      <c r="G659" s="7">
        <f ca="1">YEARFRAC(Table1[[#This Row],[Hire Date]], TODAY())</f>
        <v>23.933333333333334</v>
      </c>
      <c r="H659" s="7">
        <v>37303</v>
      </c>
      <c r="I659">
        <v>46</v>
      </c>
      <c r="J659" t="s">
        <v>43</v>
      </c>
      <c r="K659">
        <v>9</v>
      </c>
      <c r="L659" t="s">
        <v>44</v>
      </c>
      <c r="M659">
        <v>7509.84</v>
      </c>
      <c r="N659" t="s">
        <v>49</v>
      </c>
      <c r="O659" t="s">
        <v>54</v>
      </c>
      <c r="P659">
        <v>39</v>
      </c>
      <c r="Q659" t="s">
        <v>57</v>
      </c>
      <c r="R659" t="s">
        <v>63</v>
      </c>
      <c r="S659">
        <v>17</v>
      </c>
      <c r="T659">
        <v>2012</v>
      </c>
      <c r="U659" t="s">
        <v>64</v>
      </c>
      <c r="V659">
        <v>189</v>
      </c>
      <c r="W659">
        <v>3.8</v>
      </c>
    </row>
    <row r="660" spans="1:23" x14ac:dyDescent="0.35">
      <c r="A660">
        <v>10659</v>
      </c>
      <c r="B660" t="s">
        <v>22</v>
      </c>
      <c r="C660" t="s">
        <v>35</v>
      </c>
      <c r="D660" t="s">
        <v>37</v>
      </c>
      <c r="E660">
        <v>54016</v>
      </c>
      <c r="F660">
        <f ca="1">DATEDIF(Table1[[#This Row],[Hire Date]], TODAY(), "Y")</f>
        <v>7</v>
      </c>
      <c r="G660" s="7">
        <f ca="1">YEARFRAC(Table1[[#This Row],[Hire Date]], TODAY())</f>
        <v>7.1833333333333336</v>
      </c>
      <c r="H660" s="7">
        <v>43420</v>
      </c>
      <c r="I660">
        <v>34</v>
      </c>
      <c r="J660" t="s">
        <v>42</v>
      </c>
      <c r="K660">
        <v>4</v>
      </c>
      <c r="L660" t="s">
        <v>44</v>
      </c>
      <c r="M660">
        <v>7492.65</v>
      </c>
      <c r="N660" t="s">
        <v>48</v>
      </c>
      <c r="O660" t="s">
        <v>51</v>
      </c>
      <c r="P660">
        <v>36</v>
      </c>
      <c r="Q660" t="s">
        <v>55</v>
      </c>
      <c r="R660" t="s">
        <v>60</v>
      </c>
      <c r="S660">
        <v>19</v>
      </c>
      <c r="T660">
        <v>2019</v>
      </c>
      <c r="U660" t="s">
        <v>65</v>
      </c>
      <c r="V660">
        <v>120</v>
      </c>
      <c r="W660">
        <v>3.4</v>
      </c>
    </row>
    <row r="661" spans="1:23" x14ac:dyDescent="0.35">
      <c r="A661">
        <v>10660</v>
      </c>
      <c r="B661" t="s">
        <v>26</v>
      </c>
      <c r="C661" t="s">
        <v>31</v>
      </c>
      <c r="D661" t="s">
        <v>40</v>
      </c>
      <c r="E661">
        <v>90522</v>
      </c>
      <c r="F661">
        <f ca="1">DATEDIF(Table1[[#This Row],[Hire Date]], TODAY(), "Y")</f>
        <v>16</v>
      </c>
      <c r="G661" s="7">
        <f ca="1">YEARFRAC(Table1[[#This Row],[Hire Date]], TODAY())</f>
        <v>16.805555555555557</v>
      </c>
      <c r="H661" s="7">
        <v>39905</v>
      </c>
      <c r="I661">
        <v>44</v>
      </c>
      <c r="J661" t="s">
        <v>43</v>
      </c>
      <c r="K661">
        <v>5</v>
      </c>
      <c r="L661" t="s">
        <v>45</v>
      </c>
      <c r="M661">
        <v>3125.82</v>
      </c>
      <c r="N661" t="s">
        <v>46</v>
      </c>
      <c r="O661" t="s">
        <v>52</v>
      </c>
      <c r="P661">
        <v>20</v>
      </c>
      <c r="Q661" t="s">
        <v>57</v>
      </c>
      <c r="R661" t="s">
        <v>60</v>
      </c>
      <c r="S661">
        <v>8</v>
      </c>
      <c r="T661">
        <v>2020</v>
      </c>
      <c r="U661" t="s">
        <v>64</v>
      </c>
      <c r="V661">
        <v>152</v>
      </c>
      <c r="W661">
        <v>3.5</v>
      </c>
    </row>
    <row r="662" spans="1:23" x14ac:dyDescent="0.35">
      <c r="A662">
        <v>10661</v>
      </c>
      <c r="B662" t="s">
        <v>25</v>
      </c>
      <c r="C662" t="s">
        <v>30</v>
      </c>
      <c r="D662" t="s">
        <v>37</v>
      </c>
      <c r="E662">
        <v>104092</v>
      </c>
      <c r="F662">
        <f ca="1">DATEDIF(Table1[[#This Row],[Hire Date]], TODAY(), "Y")</f>
        <v>19</v>
      </c>
      <c r="G662" s="7">
        <f ca="1">YEARFRAC(Table1[[#This Row],[Hire Date]], TODAY())</f>
        <v>19.43611111111111</v>
      </c>
      <c r="H662" s="7">
        <v>38944</v>
      </c>
      <c r="I662">
        <v>57</v>
      </c>
      <c r="J662" t="s">
        <v>43</v>
      </c>
      <c r="K662">
        <v>7</v>
      </c>
      <c r="L662" t="s">
        <v>45</v>
      </c>
      <c r="M662">
        <v>8789.4</v>
      </c>
      <c r="N662" t="s">
        <v>46</v>
      </c>
      <c r="O662" t="s">
        <v>53</v>
      </c>
      <c r="P662">
        <v>10</v>
      </c>
      <c r="Q662" t="s">
        <v>55</v>
      </c>
      <c r="R662" t="s">
        <v>58</v>
      </c>
      <c r="S662">
        <v>3</v>
      </c>
      <c r="T662">
        <v>2016</v>
      </c>
      <c r="U662" t="s">
        <v>66</v>
      </c>
      <c r="V662">
        <v>18</v>
      </c>
      <c r="W662">
        <v>3.4</v>
      </c>
    </row>
    <row r="663" spans="1:23" x14ac:dyDescent="0.35">
      <c r="A663">
        <v>10662</v>
      </c>
      <c r="B663" t="s">
        <v>24</v>
      </c>
      <c r="C663" t="s">
        <v>35</v>
      </c>
      <c r="D663" t="s">
        <v>41</v>
      </c>
      <c r="E663">
        <v>84068</v>
      </c>
      <c r="F663">
        <f ca="1">DATEDIF(Table1[[#This Row],[Hire Date]], TODAY(), "Y")</f>
        <v>8</v>
      </c>
      <c r="G663" s="7">
        <f ca="1">YEARFRAC(Table1[[#This Row],[Hire Date]], TODAY())</f>
        <v>8.0055555555555564</v>
      </c>
      <c r="H663" s="7">
        <v>43120</v>
      </c>
      <c r="I663">
        <v>54</v>
      </c>
      <c r="J663" t="s">
        <v>43</v>
      </c>
      <c r="K663">
        <v>7</v>
      </c>
      <c r="L663" t="s">
        <v>44</v>
      </c>
      <c r="M663">
        <v>7038.38</v>
      </c>
      <c r="N663" t="s">
        <v>48</v>
      </c>
      <c r="O663" t="s">
        <v>54</v>
      </c>
      <c r="P663">
        <v>24</v>
      </c>
      <c r="Q663" t="s">
        <v>55</v>
      </c>
      <c r="R663" t="s">
        <v>63</v>
      </c>
      <c r="S663">
        <v>16</v>
      </c>
      <c r="T663">
        <v>2016</v>
      </c>
      <c r="U663" t="s">
        <v>65</v>
      </c>
      <c r="V663">
        <v>126</v>
      </c>
      <c r="W663">
        <v>2.4</v>
      </c>
    </row>
    <row r="664" spans="1:23" x14ac:dyDescent="0.35">
      <c r="A664">
        <v>10663</v>
      </c>
      <c r="B664" t="s">
        <v>23</v>
      </c>
      <c r="C664" t="s">
        <v>31</v>
      </c>
      <c r="D664" t="s">
        <v>37</v>
      </c>
      <c r="E664">
        <v>50102</v>
      </c>
      <c r="F664">
        <f ca="1">DATEDIF(Table1[[#This Row],[Hire Date]], TODAY(), "Y")</f>
        <v>14</v>
      </c>
      <c r="G664" s="7">
        <f ca="1">YEARFRAC(Table1[[#This Row],[Hire Date]], TODAY())</f>
        <v>14.891666666666667</v>
      </c>
      <c r="H664" s="7">
        <v>40603</v>
      </c>
      <c r="I664">
        <v>42</v>
      </c>
      <c r="J664" t="s">
        <v>43</v>
      </c>
      <c r="K664">
        <v>8</v>
      </c>
      <c r="L664" t="s">
        <v>44</v>
      </c>
      <c r="M664">
        <v>3784.76</v>
      </c>
      <c r="N664" t="s">
        <v>48</v>
      </c>
      <c r="O664" t="s">
        <v>54</v>
      </c>
      <c r="P664">
        <v>33</v>
      </c>
      <c r="Q664" t="s">
        <v>56</v>
      </c>
      <c r="R664" t="s">
        <v>61</v>
      </c>
      <c r="S664">
        <v>1</v>
      </c>
      <c r="T664">
        <v>2011</v>
      </c>
      <c r="U664" t="s">
        <v>64</v>
      </c>
      <c r="V664">
        <v>97</v>
      </c>
      <c r="W664">
        <v>4.7</v>
      </c>
    </row>
    <row r="665" spans="1:23" x14ac:dyDescent="0.35">
      <c r="A665">
        <v>10664</v>
      </c>
      <c r="B665" t="s">
        <v>27</v>
      </c>
      <c r="C665" t="s">
        <v>32</v>
      </c>
      <c r="D665" t="s">
        <v>40</v>
      </c>
      <c r="E665">
        <v>31924</v>
      </c>
      <c r="F665">
        <f ca="1">DATEDIF(Table1[[#This Row],[Hire Date]], TODAY(), "Y")</f>
        <v>14</v>
      </c>
      <c r="G665" s="7">
        <f ca="1">YEARFRAC(Table1[[#This Row],[Hire Date]], TODAY())</f>
        <v>14.388888888888889</v>
      </c>
      <c r="H665" s="7">
        <v>40788</v>
      </c>
      <c r="I665">
        <v>55</v>
      </c>
      <c r="J665" t="s">
        <v>43</v>
      </c>
      <c r="K665">
        <v>8</v>
      </c>
      <c r="L665" t="s">
        <v>44</v>
      </c>
      <c r="M665">
        <v>4561.1499999999996</v>
      </c>
      <c r="N665" t="s">
        <v>47</v>
      </c>
      <c r="O665" t="s">
        <v>51</v>
      </c>
      <c r="P665">
        <v>29</v>
      </c>
      <c r="Q665" t="s">
        <v>57</v>
      </c>
      <c r="R665" t="s">
        <v>59</v>
      </c>
      <c r="S665">
        <v>13</v>
      </c>
      <c r="T665">
        <v>2017</v>
      </c>
      <c r="U665" t="s">
        <v>65</v>
      </c>
      <c r="V665">
        <v>184</v>
      </c>
      <c r="W665">
        <v>2.9</v>
      </c>
    </row>
    <row r="666" spans="1:23" x14ac:dyDescent="0.35">
      <c r="A666">
        <v>10665</v>
      </c>
      <c r="B666" t="s">
        <v>28</v>
      </c>
      <c r="C666" t="s">
        <v>32</v>
      </c>
      <c r="D666" t="s">
        <v>39</v>
      </c>
      <c r="E666">
        <v>115015</v>
      </c>
      <c r="F666">
        <f ca="1">DATEDIF(Table1[[#This Row],[Hire Date]], TODAY(), "Y")</f>
        <v>19</v>
      </c>
      <c r="G666" s="7">
        <f ca="1">YEARFRAC(Table1[[#This Row],[Hire Date]], TODAY())</f>
        <v>19.380555555555556</v>
      </c>
      <c r="H666" s="7">
        <v>38965</v>
      </c>
      <c r="I666">
        <v>57</v>
      </c>
      <c r="J666" t="s">
        <v>42</v>
      </c>
      <c r="K666">
        <v>2</v>
      </c>
      <c r="L666" t="s">
        <v>45</v>
      </c>
      <c r="M666">
        <v>7403.74</v>
      </c>
      <c r="N666" t="s">
        <v>49</v>
      </c>
      <c r="O666" t="s">
        <v>50</v>
      </c>
      <c r="P666">
        <v>30</v>
      </c>
      <c r="Q666" t="s">
        <v>55</v>
      </c>
      <c r="R666" t="s">
        <v>60</v>
      </c>
      <c r="S666">
        <v>0</v>
      </c>
      <c r="T666">
        <v>2016</v>
      </c>
      <c r="U666" t="s">
        <v>65</v>
      </c>
      <c r="V666">
        <v>58</v>
      </c>
      <c r="W666">
        <v>1.1000000000000001</v>
      </c>
    </row>
    <row r="667" spans="1:23" x14ac:dyDescent="0.35">
      <c r="A667">
        <v>10666</v>
      </c>
      <c r="B667" t="s">
        <v>23</v>
      </c>
      <c r="C667" t="s">
        <v>33</v>
      </c>
      <c r="D667" t="s">
        <v>40</v>
      </c>
      <c r="E667">
        <v>84333</v>
      </c>
      <c r="F667">
        <f ca="1">DATEDIF(Table1[[#This Row],[Hire Date]], TODAY(), "Y")</f>
        <v>12</v>
      </c>
      <c r="G667" s="7">
        <f ca="1">YEARFRAC(Table1[[#This Row],[Hire Date]], TODAY())</f>
        <v>12.827777777777778</v>
      </c>
      <c r="H667" s="7">
        <v>41357</v>
      </c>
      <c r="I667">
        <v>38</v>
      </c>
      <c r="J667" t="s">
        <v>42</v>
      </c>
      <c r="K667">
        <v>9</v>
      </c>
      <c r="L667" t="s">
        <v>45</v>
      </c>
      <c r="M667">
        <v>2510.0500000000002</v>
      </c>
      <c r="N667" t="s">
        <v>49</v>
      </c>
      <c r="O667" t="s">
        <v>50</v>
      </c>
      <c r="P667">
        <v>36</v>
      </c>
      <c r="Q667" t="s">
        <v>57</v>
      </c>
      <c r="R667" t="s">
        <v>58</v>
      </c>
      <c r="S667">
        <v>6</v>
      </c>
      <c r="T667">
        <v>2018</v>
      </c>
      <c r="U667" t="s">
        <v>66</v>
      </c>
      <c r="V667">
        <v>53</v>
      </c>
      <c r="W667">
        <v>2.4</v>
      </c>
    </row>
    <row r="668" spans="1:23" x14ac:dyDescent="0.35">
      <c r="A668">
        <v>10667</v>
      </c>
      <c r="B668" t="s">
        <v>27</v>
      </c>
      <c r="C668" t="s">
        <v>29</v>
      </c>
      <c r="D668" t="s">
        <v>40</v>
      </c>
      <c r="E668">
        <v>114458</v>
      </c>
      <c r="F668">
        <f ca="1">DATEDIF(Table1[[#This Row],[Hire Date]], TODAY(), "Y")</f>
        <v>7</v>
      </c>
      <c r="G668" s="7">
        <f ca="1">YEARFRAC(Table1[[#This Row],[Hire Date]], TODAY())</f>
        <v>7.8916666666666666</v>
      </c>
      <c r="H668" s="7">
        <v>43160</v>
      </c>
      <c r="I668">
        <v>31</v>
      </c>
      <c r="J668" t="s">
        <v>43</v>
      </c>
      <c r="K668">
        <v>4</v>
      </c>
      <c r="L668" t="s">
        <v>44</v>
      </c>
      <c r="M668">
        <v>4953.2299999999996</v>
      </c>
      <c r="N668" t="s">
        <v>49</v>
      </c>
      <c r="O668" t="s">
        <v>53</v>
      </c>
      <c r="P668">
        <v>6</v>
      </c>
      <c r="Q668" t="s">
        <v>55</v>
      </c>
      <c r="R668" t="s">
        <v>60</v>
      </c>
      <c r="S668">
        <v>3</v>
      </c>
      <c r="T668">
        <v>2021</v>
      </c>
      <c r="U668" t="s">
        <v>66</v>
      </c>
      <c r="V668">
        <v>34</v>
      </c>
      <c r="W668">
        <v>1.5</v>
      </c>
    </row>
    <row r="669" spans="1:23" x14ac:dyDescent="0.35">
      <c r="A669">
        <v>10668</v>
      </c>
      <c r="B669" t="s">
        <v>22</v>
      </c>
      <c r="C669" t="s">
        <v>30</v>
      </c>
      <c r="D669" t="s">
        <v>36</v>
      </c>
      <c r="E669">
        <v>114196</v>
      </c>
      <c r="F669">
        <f ca="1">DATEDIF(Table1[[#This Row],[Hire Date]], TODAY(), "Y")</f>
        <v>12</v>
      </c>
      <c r="G669" s="7">
        <f ca="1">YEARFRAC(Table1[[#This Row],[Hire Date]], TODAY())</f>
        <v>12.313888888888888</v>
      </c>
      <c r="H669" s="7">
        <v>41546</v>
      </c>
      <c r="I669">
        <v>44</v>
      </c>
      <c r="J669" t="s">
        <v>43</v>
      </c>
      <c r="K669">
        <v>1</v>
      </c>
      <c r="L669" t="s">
        <v>45</v>
      </c>
      <c r="M669">
        <v>6708.8</v>
      </c>
      <c r="N669" t="s">
        <v>47</v>
      </c>
      <c r="O669" t="s">
        <v>53</v>
      </c>
      <c r="P669">
        <v>14</v>
      </c>
      <c r="Q669" t="s">
        <v>56</v>
      </c>
      <c r="R669" t="s">
        <v>61</v>
      </c>
      <c r="S669">
        <v>8</v>
      </c>
      <c r="T669">
        <v>2013</v>
      </c>
      <c r="U669" t="s">
        <v>66</v>
      </c>
      <c r="V669">
        <v>135</v>
      </c>
      <c r="W669">
        <v>2.5</v>
      </c>
    </row>
    <row r="670" spans="1:23" x14ac:dyDescent="0.35">
      <c r="A670">
        <v>10669</v>
      </c>
      <c r="B670" t="s">
        <v>23</v>
      </c>
      <c r="C670" t="s">
        <v>34</v>
      </c>
      <c r="D670" t="s">
        <v>41</v>
      </c>
      <c r="E670">
        <v>76099</v>
      </c>
      <c r="F670">
        <f ca="1">DATEDIF(Table1[[#This Row],[Hire Date]], TODAY(), "Y")</f>
        <v>11</v>
      </c>
      <c r="G670" s="7">
        <f ca="1">YEARFRAC(Table1[[#This Row],[Hire Date]], TODAY())</f>
        <v>11.630555555555556</v>
      </c>
      <c r="H670" s="7">
        <v>41795</v>
      </c>
      <c r="I670">
        <v>23</v>
      </c>
      <c r="J670" t="s">
        <v>42</v>
      </c>
      <c r="K670">
        <v>1</v>
      </c>
      <c r="L670" t="s">
        <v>45</v>
      </c>
      <c r="M670">
        <v>5625.24</v>
      </c>
      <c r="N670" t="s">
        <v>47</v>
      </c>
      <c r="O670" t="s">
        <v>50</v>
      </c>
      <c r="P670">
        <v>3</v>
      </c>
      <c r="Q670" t="s">
        <v>56</v>
      </c>
      <c r="R670" t="s">
        <v>61</v>
      </c>
      <c r="S670">
        <v>2</v>
      </c>
      <c r="T670">
        <v>2018</v>
      </c>
      <c r="U670" t="s">
        <v>64</v>
      </c>
      <c r="V670">
        <v>16</v>
      </c>
      <c r="W670">
        <v>3.4</v>
      </c>
    </row>
    <row r="671" spans="1:23" x14ac:dyDescent="0.35">
      <c r="A671">
        <v>10670</v>
      </c>
      <c r="B671" t="s">
        <v>21</v>
      </c>
      <c r="C671" t="s">
        <v>31</v>
      </c>
      <c r="D671" t="s">
        <v>36</v>
      </c>
      <c r="E671">
        <v>87346</v>
      </c>
      <c r="F671">
        <f ca="1">DATEDIF(Table1[[#This Row],[Hire Date]], TODAY(), "Y")</f>
        <v>10</v>
      </c>
      <c r="G671" s="7">
        <f ca="1">YEARFRAC(Table1[[#This Row],[Hire Date]], TODAY())</f>
        <v>10.758333333333333</v>
      </c>
      <c r="H671" s="7">
        <v>42113</v>
      </c>
      <c r="I671">
        <v>56</v>
      </c>
      <c r="J671" t="s">
        <v>43</v>
      </c>
      <c r="K671">
        <v>5</v>
      </c>
      <c r="L671" t="s">
        <v>44</v>
      </c>
      <c r="M671">
        <v>6279.12</v>
      </c>
      <c r="N671" t="s">
        <v>47</v>
      </c>
      <c r="O671" t="s">
        <v>52</v>
      </c>
      <c r="P671">
        <v>24</v>
      </c>
      <c r="Q671" t="s">
        <v>57</v>
      </c>
      <c r="R671" t="s">
        <v>63</v>
      </c>
      <c r="S671">
        <v>4</v>
      </c>
      <c r="T671">
        <v>2010</v>
      </c>
      <c r="U671" t="s">
        <v>64</v>
      </c>
      <c r="V671">
        <v>115</v>
      </c>
      <c r="W671">
        <v>1.1000000000000001</v>
      </c>
    </row>
    <row r="672" spans="1:23" x14ac:dyDescent="0.35">
      <c r="A672">
        <v>10671</v>
      </c>
      <c r="B672" t="s">
        <v>28</v>
      </c>
      <c r="C672" t="s">
        <v>34</v>
      </c>
      <c r="D672" t="s">
        <v>39</v>
      </c>
      <c r="E672">
        <v>105481</v>
      </c>
      <c r="F672">
        <f ca="1">DATEDIF(Table1[[#This Row],[Hire Date]], TODAY(), "Y")</f>
        <v>20</v>
      </c>
      <c r="G672" s="7">
        <f ca="1">YEARFRAC(Table1[[#This Row],[Hire Date]], TODAY())</f>
        <v>20.611111111111111</v>
      </c>
      <c r="H672" s="7">
        <v>38515</v>
      </c>
      <c r="I672">
        <v>35</v>
      </c>
      <c r="J672" t="s">
        <v>43</v>
      </c>
      <c r="K672">
        <v>7</v>
      </c>
      <c r="L672" t="s">
        <v>44</v>
      </c>
      <c r="M672">
        <v>5689.02</v>
      </c>
      <c r="N672" t="s">
        <v>48</v>
      </c>
      <c r="O672" t="s">
        <v>52</v>
      </c>
      <c r="P672">
        <v>19</v>
      </c>
      <c r="Q672" t="s">
        <v>57</v>
      </c>
      <c r="R672" t="s">
        <v>60</v>
      </c>
      <c r="S672">
        <v>9</v>
      </c>
      <c r="T672">
        <v>2014</v>
      </c>
      <c r="U672" t="s">
        <v>66</v>
      </c>
      <c r="V672">
        <v>163</v>
      </c>
      <c r="W672">
        <v>4.5</v>
      </c>
    </row>
    <row r="673" spans="1:23" x14ac:dyDescent="0.35">
      <c r="A673">
        <v>10672</v>
      </c>
      <c r="B673" t="s">
        <v>27</v>
      </c>
      <c r="C673" t="s">
        <v>33</v>
      </c>
      <c r="D673" t="s">
        <v>38</v>
      </c>
      <c r="E673">
        <v>80062</v>
      </c>
      <c r="F673">
        <f ca="1">DATEDIF(Table1[[#This Row],[Hire Date]], TODAY(), "Y")</f>
        <v>23</v>
      </c>
      <c r="G673" s="7">
        <f ca="1">YEARFRAC(Table1[[#This Row],[Hire Date]], TODAY())</f>
        <v>23.138888888888889</v>
      </c>
      <c r="H673" s="7">
        <v>37592</v>
      </c>
      <c r="I673">
        <v>62</v>
      </c>
      <c r="J673" t="s">
        <v>43</v>
      </c>
      <c r="K673">
        <v>5</v>
      </c>
      <c r="L673" t="s">
        <v>44</v>
      </c>
      <c r="M673">
        <v>2392.66</v>
      </c>
      <c r="N673" t="s">
        <v>47</v>
      </c>
      <c r="O673" t="s">
        <v>54</v>
      </c>
      <c r="P673">
        <v>38</v>
      </c>
      <c r="Q673" t="s">
        <v>57</v>
      </c>
      <c r="R673" t="s">
        <v>61</v>
      </c>
      <c r="S673">
        <v>9</v>
      </c>
      <c r="T673">
        <v>2019</v>
      </c>
      <c r="U673" t="s">
        <v>66</v>
      </c>
      <c r="V673">
        <v>169</v>
      </c>
      <c r="W673">
        <v>3.4</v>
      </c>
    </row>
    <row r="674" spans="1:23" x14ac:dyDescent="0.35">
      <c r="A674">
        <v>10673</v>
      </c>
      <c r="B674" t="s">
        <v>27</v>
      </c>
      <c r="C674" t="s">
        <v>29</v>
      </c>
      <c r="D674" t="s">
        <v>39</v>
      </c>
      <c r="E674">
        <v>30306</v>
      </c>
      <c r="F674">
        <f ca="1">DATEDIF(Table1[[#This Row],[Hire Date]], TODAY(), "Y")</f>
        <v>23</v>
      </c>
      <c r="G674" s="7">
        <f ca="1">YEARFRAC(Table1[[#This Row],[Hire Date]], TODAY())</f>
        <v>23.472222222222221</v>
      </c>
      <c r="H674" s="7">
        <v>37470</v>
      </c>
      <c r="I674">
        <v>23</v>
      </c>
      <c r="J674" t="s">
        <v>42</v>
      </c>
      <c r="K674">
        <v>3</v>
      </c>
      <c r="L674" t="s">
        <v>45</v>
      </c>
      <c r="M674">
        <v>4396.95</v>
      </c>
      <c r="N674" t="s">
        <v>46</v>
      </c>
      <c r="O674" t="s">
        <v>51</v>
      </c>
      <c r="P674">
        <v>34</v>
      </c>
      <c r="Q674" t="s">
        <v>57</v>
      </c>
      <c r="R674" t="s">
        <v>62</v>
      </c>
      <c r="S674">
        <v>3</v>
      </c>
      <c r="T674">
        <v>2016</v>
      </c>
      <c r="U674" t="s">
        <v>64</v>
      </c>
      <c r="V674">
        <v>159</v>
      </c>
      <c r="W674">
        <v>2.2000000000000002</v>
      </c>
    </row>
    <row r="675" spans="1:23" x14ac:dyDescent="0.35">
      <c r="A675">
        <v>10674</v>
      </c>
      <c r="B675" t="s">
        <v>27</v>
      </c>
      <c r="C675" t="s">
        <v>31</v>
      </c>
      <c r="D675" t="s">
        <v>41</v>
      </c>
      <c r="E675">
        <v>118495</v>
      </c>
      <c r="F675">
        <f ca="1">DATEDIF(Table1[[#This Row],[Hire Date]], TODAY(), "Y")</f>
        <v>25</v>
      </c>
      <c r="G675" s="7">
        <f ca="1">YEARFRAC(Table1[[#This Row],[Hire Date]], TODAY())</f>
        <v>25.980555555555554</v>
      </c>
      <c r="H675" s="7">
        <v>36554</v>
      </c>
      <c r="I675">
        <v>40</v>
      </c>
      <c r="J675" t="s">
        <v>43</v>
      </c>
      <c r="K675">
        <v>7</v>
      </c>
      <c r="L675" t="s">
        <v>45</v>
      </c>
      <c r="M675">
        <v>5553.86</v>
      </c>
      <c r="N675" t="s">
        <v>48</v>
      </c>
      <c r="O675" t="s">
        <v>52</v>
      </c>
      <c r="P675">
        <v>9</v>
      </c>
      <c r="Q675" t="s">
        <v>57</v>
      </c>
      <c r="R675" t="s">
        <v>61</v>
      </c>
      <c r="S675">
        <v>16</v>
      </c>
      <c r="T675">
        <v>2013</v>
      </c>
      <c r="U675" t="s">
        <v>66</v>
      </c>
      <c r="V675">
        <v>120</v>
      </c>
      <c r="W675">
        <v>2.2000000000000002</v>
      </c>
    </row>
    <row r="676" spans="1:23" x14ac:dyDescent="0.35">
      <c r="A676">
        <v>10675</v>
      </c>
      <c r="B676" t="s">
        <v>22</v>
      </c>
      <c r="C676" t="s">
        <v>35</v>
      </c>
      <c r="D676" t="s">
        <v>37</v>
      </c>
      <c r="E676">
        <v>99767</v>
      </c>
      <c r="F676">
        <f ca="1">DATEDIF(Table1[[#This Row],[Hire Date]], TODAY(), "Y")</f>
        <v>20</v>
      </c>
      <c r="G676" s="7">
        <f ca="1">YEARFRAC(Table1[[#This Row],[Hire Date]], TODAY())</f>
        <v>20.861111111111111</v>
      </c>
      <c r="H676" s="7">
        <v>38423</v>
      </c>
      <c r="I676">
        <v>37</v>
      </c>
      <c r="J676" t="s">
        <v>43</v>
      </c>
      <c r="K676">
        <v>1</v>
      </c>
      <c r="L676" t="s">
        <v>44</v>
      </c>
      <c r="M676">
        <v>7910.6</v>
      </c>
      <c r="N676" t="s">
        <v>48</v>
      </c>
      <c r="O676" t="s">
        <v>53</v>
      </c>
      <c r="P676">
        <v>30</v>
      </c>
      <c r="Q676" t="s">
        <v>55</v>
      </c>
      <c r="R676" t="s">
        <v>61</v>
      </c>
      <c r="S676">
        <v>16</v>
      </c>
      <c r="T676">
        <v>2022</v>
      </c>
      <c r="U676" t="s">
        <v>65</v>
      </c>
      <c r="V676">
        <v>156</v>
      </c>
      <c r="W676">
        <v>2.9</v>
      </c>
    </row>
    <row r="677" spans="1:23" x14ac:dyDescent="0.35">
      <c r="A677">
        <v>10676</v>
      </c>
      <c r="B677" t="s">
        <v>23</v>
      </c>
      <c r="C677" t="s">
        <v>30</v>
      </c>
      <c r="D677" t="s">
        <v>40</v>
      </c>
      <c r="E677">
        <v>42207</v>
      </c>
      <c r="F677">
        <f ca="1">DATEDIF(Table1[[#This Row],[Hire Date]], TODAY(), "Y")</f>
        <v>10</v>
      </c>
      <c r="G677" s="7">
        <f ca="1">YEARFRAC(Table1[[#This Row],[Hire Date]], TODAY())</f>
        <v>10.311111111111112</v>
      </c>
      <c r="H677" s="7">
        <v>42277</v>
      </c>
      <c r="I677">
        <v>64</v>
      </c>
      <c r="J677" t="s">
        <v>42</v>
      </c>
      <c r="K677">
        <v>1</v>
      </c>
      <c r="L677" t="s">
        <v>45</v>
      </c>
      <c r="M677">
        <v>6712.09</v>
      </c>
      <c r="N677" t="s">
        <v>49</v>
      </c>
      <c r="O677" t="s">
        <v>52</v>
      </c>
      <c r="P677">
        <v>32</v>
      </c>
      <c r="Q677" t="s">
        <v>57</v>
      </c>
      <c r="R677" t="s">
        <v>60</v>
      </c>
      <c r="S677">
        <v>18</v>
      </c>
      <c r="T677">
        <v>2016</v>
      </c>
      <c r="U677" t="s">
        <v>65</v>
      </c>
      <c r="V677">
        <v>116</v>
      </c>
      <c r="W677">
        <v>2</v>
      </c>
    </row>
    <row r="678" spans="1:23" x14ac:dyDescent="0.35">
      <c r="A678">
        <v>10677</v>
      </c>
      <c r="B678" t="s">
        <v>22</v>
      </c>
      <c r="C678" t="s">
        <v>29</v>
      </c>
      <c r="D678" t="s">
        <v>38</v>
      </c>
      <c r="E678">
        <v>69426</v>
      </c>
      <c r="F678">
        <f ca="1">DATEDIF(Table1[[#This Row],[Hire Date]], TODAY(), "Y")</f>
        <v>9</v>
      </c>
      <c r="G678" s="7">
        <f ca="1">YEARFRAC(Table1[[#This Row],[Hire Date]], TODAY())</f>
        <v>9.7166666666666668</v>
      </c>
      <c r="H678" s="7">
        <v>42494</v>
      </c>
      <c r="I678">
        <v>46</v>
      </c>
      <c r="J678" t="s">
        <v>43</v>
      </c>
      <c r="K678">
        <v>2</v>
      </c>
      <c r="L678" t="s">
        <v>45</v>
      </c>
      <c r="M678">
        <v>4552.6099999999997</v>
      </c>
      <c r="N678" t="s">
        <v>49</v>
      </c>
      <c r="O678" t="s">
        <v>51</v>
      </c>
      <c r="P678">
        <v>13</v>
      </c>
      <c r="Q678" t="s">
        <v>55</v>
      </c>
      <c r="R678" t="s">
        <v>59</v>
      </c>
      <c r="S678">
        <v>5</v>
      </c>
      <c r="T678">
        <v>2023</v>
      </c>
      <c r="U678" t="s">
        <v>65</v>
      </c>
      <c r="V678">
        <v>173</v>
      </c>
      <c r="W678">
        <v>1</v>
      </c>
    </row>
    <row r="679" spans="1:23" x14ac:dyDescent="0.35">
      <c r="A679">
        <v>10678</v>
      </c>
      <c r="B679" t="s">
        <v>25</v>
      </c>
      <c r="C679" t="s">
        <v>32</v>
      </c>
      <c r="D679" t="s">
        <v>41</v>
      </c>
      <c r="E679">
        <v>36336</v>
      </c>
      <c r="F679">
        <f ca="1">DATEDIF(Table1[[#This Row],[Hire Date]], TODAY(), "Y")</f>
        <v>11</v>
      </c>
      <c r="G679" s="7">
        <f ca="1">YEARFRAC(Table1[[#This Row],[Hire Date]], TODAY())</f>
        <v>11.96111111111111</v>
      </c>
      <c r="H679" s="7">
        <v>41676</v>
      </c>
      <c r="I679">
        <v>22</v>
      </c>
      <c r="J679" t="s">
        <v>43</v>
      </c>
      <c r="K679">
        <v>1</v>
      </c>
      <c r="L679" t="s">
        <v>45</v>
      </c>
      <c r="M679">
        <v>9756.7999999999993</v>
      </c>
      <c r="N679" t="s">
        <v>47</v>
      </c>
      <c r="O679" t="s">
        <v>53</v>
      </c>
      <c r="P679">
        <v>18</v>
      </c>
      <c r="Q679" t="s">
        <v>55</v>
      </c>
      <c r="R679" t="s">
        <v>61</v>
      </c>
      <c r="S679">
        <v>0</v>
      </c>
      <c r="T679">
        <v>2021</v>
      </c>
      <c r="U679" t="s">
        <v>64</v>
      </c>
      <c r="V679">
        <v>108</v>
      </c>
      <c r="W679">
        <v>1.1000000000000001</v>
      </c>
    </row>
    <row r="680" spans="1:23" x14ac:dyDescent="0.35">
      <c r="A680">
        <v>10679</v>
      </c>
      <c r="B680" t="s">
        <v>26</v>
      </c>
      <c r="C680" t="s">
        <v>33</v>
      </c>
      <c r="D680" t="s">
        <v>36</v>
      </c>
      <c r="E680">
        <v>105166</v>
      </c>
      <c r="F680">
        <f ca="1">DATEDIF(Table1[[#This Row],[Hire Date]], TODAY(), "Y")</f>
        <v>7</v>
      </c>
      <c r="G680" s="7">
        <f ca="1">YEARFRAC(Table1[[#This Row],[Hire Date]], TODAY())</f>
        <v>7.3416666666666668</v>
      </c>
      <c r="H680" s="7">
        <v>43362</v>
      </c>
      <c r="I680">
        <v>23</v>
      </c>
      <c r="J680" t="s">
        <v>42</v>
      </c>
      <c r="K680">
        <v>9</v>
      </c>
      <c r="L680" t="s">
        <v>45</v>
      </c>
      <c r="M680">
        <v>1524.06</v>
      </c>
      <c r="N680" t="s">
        <v>46</v>
      </c>
      <c r="O680" t="s">
        <v>51</v>
      </c>
      <c r="P680">
        <v>22</v>
      </c>
      <c r="Q680" t="s">
        <v>55</v>
      </c>
      <c r="R680" t="s">
        <v>58</v>
      </c>
      <c r="S680">
        <v>13</v>
      </c>
      <c r="T680">
        <v>2018</v>
      </c>
      <c r="U680" t="s">
        <v>66</v>
      </c>
      <c r="V680">
        <v>196</v>
      </c>
      <c r="W680">
        <v>2.4</v>
      </c>
    </row>
    <row r="681" spans="1:23" x14ac:dyDescent="0.35">
      <c r="A681">
        <v>10680</v>
      </c>
      <c r="B681" t="s">
        <v>26</v>
      </c>
      <c r="C681" t="s">
        <v>29</v>
      </c>
      <c r="D681" t="s">
        <v>40</v>
      </c>
      <c r="E681">
        <v>47256</v>
      </c>
      <c r="F681">
        <f ca="1">DATEDIF(Table1[[#This Row],[Hire Date]], TODAY(), "Y")</f>
        <v>21</v>
      </c>
      <c r="G681" s="7">
        <f ca="1">YEARFRAC(Table1[[#This Row],[Hire Date]], TODAY())</f>
        <v>21.411111111111111</v>
      </c>
      <c r="H681" s="7">
        <v>38223</v>
      </c>
      <c r="I681">
        <v>48</v>
      </c>
      <c r="J681" t="s">
        <v>42</v>
      </c>
      <c r="K681">
        <v>4</v>
      </c>
      <c r="L681" t="s">
        <v>44</v>
      </c>
      <c r="M681">
        <v>2464.65</v>
      </c>
      <c r="N681" t="s">
        <v>48</v>
      </c>
      <c r="O681" t="s">
        <v>50</v>
      </c>
      <c r="P681">
        <v>4</v>
      </c>
      <c r="Q681" t="s">
        <v>57</v>
      </c>
      <c r="R681" t="s">
        <v>59</v>
      </c>
      <c r="S681">
        <v>12</v>
      </c>
      <c r="T681">
        <v>2022</v>
      </c>
      <c r="U681" t="s">
        <v>65</v>
      </c>
      <c r="V681">
        <v>15</v>
      </c>
      <c r="W681">
        <v>1.5</v>
      </c>
    </row>
    <row r="682" spans="1:23" x14ac:dyDescent="0.35">
      <c r="A682">
        <v>10681</v>
      </c>
      <c r="B682" t="s">
        <v>25</v>
      </c>
      <c r="C682" t="s">
        <v>30</v>
      </c>
      <c r="D682" t="s">
        <v>39</v>
      </c>
      <c r="E682">
        <v>79817</v>
      </c>
      <c r="F682">
        <f ca="1">DATEDIF(Table1[[#This Row],[Hire Date]], TODAY(), "Y")</f>
        <v>8</v>
      </c>
      <c r="G682" s="7">
        <f ca="1">YEARFRAC(Table1[[#This Row],[Hire Date]], TODAY())</f>
        <v>8.8861111111111111</v>
      </c>
      <c r="H682" s="7">
        <v>42797</v>
      </c>
      <c r="I682">
        <v>23</v>
      </c>
      <c r="J682" t="s">
        <v>43</v>
      </c>
      <c r="K682">
        <v>7</v>
      </c>
      <c r="L682" t="s">
        <v>45</v>
      </c>
      <c r="M682">
        <v>3742.47</v>
      </c>
      <c r="N682" t="s">
        <v>48</v>
      </c>
      <c r="O682" t="s">
        <v>51</v>
      </c>
      <c r="P682">
        <v>23</v>
      </c>
      <c r="Q682" t="s">
        <v>56</v>
      </c>
      <c r="R682" t="s">
        <v>61</v>
      </c>
      <c r="S682">
        <v>2</v>
      </c>
      <c r="T682">
        <v>2023</v>
      </c>
      <c r="U682" t="s">
        <v>64</v>
      </c>
      <c r="V682">
        <v>95</v>
      </c>
      <c r="W682">
        <v>1.1000000000000001</v>
      </c>
    </row>
    <row r="683" spans="1:23" x14ac:dyDescent="0.35">
      <c r="A683">
        <v>10682</v>
      </c>
      <c r="B683" t="s">
        <v>23</v>
      </c>
      <c r="C683" t="s">
        <v>29</v>
      </c>
      <c r="D683" t="s">
        <v>36</v>
      </c>
      <c r="E683">
        <v>63719</v>
      </c>
      <c r="F683">
        <f ca="1">DATEDIF(Table1[[#This Row],[Hire Date]], TODAY(), "Y")</f>
        <v>18</v>
      </c>
      <c r="G683" s="7">
        <f ca="1">YEARFRAC(Table1[[#This Row],[Hire Date]], TODAY())</f>
        <v>18.352777777777778</v>
      </c>
      <c r="H683" s="7">
        <v>39340</v>
      </c>
      <c r="I683">
        <v>51</v>
      </c>
      <c r="J683" t="s">
        <v>42</v>
      </c>
      <c r="K683">
        <v>5</v>
      </c>
      <c r="L683" t="s">
        <v>44</v>
      </c>
      <c r="M683">
        <v>2671.43</v>
      </c>
      <c r="N683" t="s">
        <v>48</v>
      </c>
      <c r="O683" t="s">
        <v>51</v>
      </c>
      <c r="P683">
        <v>7</v>
      </c>
      <c r="Q683" t="s">
        <v>56</v>
      </c>
      <c r="R683" t="s">
        <v>62</v>
      </c>
      <c r="S683">
        <v>1</v>
      </c>
      <c r="T683">
        <v>2014</v>
      </c>
      <c r="U683" t="s">
        <v>66</v>
      </c>
      <c r="V683">
        <v>77</v>
      </c>
      <c r="W683">
        <v>4.4000000000000004</v>
      </c>
    </row>
    <row r="684" spans="1:23" x14ac:dyDescent="0.35">
      <c r="A684">
        <v>10683</v>
      </c>
      <c r="B684" t="s">
        <v>21</v>
      </c>
      <c r="C684" t="s">
        <v>30</v>
      </c>
      <c r="D684" t="s">
        <v>41</v>
      </c>
      <c r="E684">
        <v>72017</v>
      </c>
      <c r="F684">
        <f ca="1">DATEDIF(Table1[[#This Row],[Hire Date]], TODAY(), "Y")</f>
        <v>16</v>
      </c>
      <c r="G684" s="7">
        <f ca="1">YEARFRAC(Table1[[#This Row],[Hire Date]], TODAY())</f>
        <v>16.841666666666665</v>
      </c>
      <c r="H684" s="7">
        <v>39891</v>
      </c>
      <c r="I684">
        <v>31</v>
      </c>
      <c r="J684" t="s">
        <v>43</v>
      </c>
      <c r="K684">
        <v>7</v>
      </c>
      <c r="L684" t="s">
        <v>45</v>
      </c>
      <c r="M684">
        <v>6441.7</v>
      </c>
      <c r="N684" t="s">
        <v>49</v>
      </c>
      <c r="O684" t="s">
        <v>51</v>
      </c>
      <c r="P684">
        <v>11</v>
      </c>
      <c r="Q684" t="s">
        <v>57</v>
      </c>
      <c r="R684" t="s">
        <v>61</v>
      </c>
      <c r="S684">
        <v>6</v>
      </c>
      <c r="T684">
        <v>2014</v>
      </c>
      <c r="U684" t="s">
        <v>66</v>
      </c>
      <c r="V684">
        <v>20</v>
      </c>
      <c r="W684">
        <v>2.1</v>
      </c>
    </row>
    <row r="685" spans="1:23" x14ac:dyDescent="0.35">
      <c r="A685">
        <v>10684</v>
      </c>
      <c r="B685" t="s">
        <v>22</v>
      </c>
      <c r="C685" t="s">
        <v>32</v>
      </c>
      <c r="D685" t="s">
        <v>41</v>
      </c>
      <c r="E685">
        <v>75704</v>
      </c>
      <c r="F685">
        <f ca="1">DATEDIF(Table1[[#This Row],[Hire Date]], TODAY(), "Y")</f>
        <v>19</v>
      </c>
      <c r="G685" s="7">
        <f ca="1">YEARFRAC(Table1[[#This Row],[Hire Date]], TODAY())</f>
        <v>19.244444444444444</v>
      </c>
      <c r="H685" s="7">
        <v>39014</v>
      </c>
      <c r="I685">
        <v>40</v>
      </c>
      <c r="J685" t="s">
        <v>43</v>
      </c>
      <c r="K685">
        <v>7</v>
      </c>
      <c r="L685" t="s">
        <v>44</v>
      </c>
      <c r="M685">
        <v>875.73</v>
      </c>
      <c r="N685" t="s">
        <v>49</v>
      </c>
      <c r="O685" t="s">
        <v>53</v>
      </c>
      <c r="P685">
        <v>39</v>
      </c>
      <c r="Q685" t="s">
        <v>57</v>
      </c>
      <c r="R685" t="s">
        <v>63</v>
      </c>
      <c r="S685">
        <v>11</v>
      </c>
      <c r="T685">
        <v>2011</v>
      </c>
      <c r="U685" t="s">
        <v>65</v>
      </c>
      <c r="V685">
        <v>18</v>
      </c>
      <c r="W685">
        <v>3</v>
      </c>
    </row>
    <row r="686" spans="1:23" x14ac:dyDescent="0.35">
      <c r="A686">
        <v>10685</v>
      </c>
      <c r="B686" t="s">
        <v>28</v>
      </c>
      <c r="C686" t="s">
        <v>31</v>
      </c>
      <c r="D686" t="s">
        <v>39</v>
      </c>
      <c r="E686">
        <v>60013</v>
      </c>
      <c r="F686">
        <f ca="1">DATEDIF(Table1[[#This Row],[Hire Date]], TODAY(), "Y")</f>
        <v>6</v>
      </c>
      <c r="G686" s="7">
        <f ca="1">YEARFRAC(Table1[[#This Row],[Hire Date]], TODAY())</f>
        <v>6.8555555555555552</v>
      </c>
      <c r="H686" s="7">
        <v>43538</v>
      </c>
      <c r="I686">
        <v>63</v>
      </c>
      <c r="J686" t="s">
        <v>42</v>
      </c>
      <c r="K686">
        <v>1</v>
      </c>
      <c r="L686" t="s">
        <v>45</v>
      </c>
      <c r="M686">
        <v>2185.65</v>
      </c>
      <c r="N686" t="s">
        <v>46</v>
      </c>
      <c r="O686" t="s">
        <v>51</v>
      </c>
      <c r="P686">
        <v>34</v>
      </c>
      <c r="Q686" t="s">
        <v>57</v>
      </c>
      <c r="R686" t="s">
        <v>60</v>
      </c>
      <c r="S686">
        <v>1</v>
      </c>
      <c r="T686">
        <v>2023</v>
      </c>
      <c r="U686" t="s">
        <v>66</v>
      </c>
      <c r="V686">
        <v>179</v>
      </c>
      <c r="W686">
        <v>1.7</v>
      </c>
    </row>
    <row r="687" spans="1:23" x14ac:dyDescent="0.35">
      <c r="A687">
        <v>10686</v>
      </c>
      <c r="B687" t="s">
        <v>27</v>
      </c>
      <c r="C687" t="s">
        <v>35</v>
      </c>
      <c r="D687" t="s">
        <v>38</v>
      </c>
      <c r="E687">
        <v>109991</v>
      </c>
      <c r="F687">
        <f ca="1">DATEDIF(Table1[[#This Row],[Hire Date]], TODAY(), "Y")</f>
        <v>10</v>
      </c>
      <c r="G687" s="7">
        <f ca="1">YEARFRAC(Table1[[#This Row],[Hire Date]], TODAY())</f>
        <v>10.980555555555556</v>
      </c>
      <c r="H687" s="7">
        <v>42033</v>
      </c>
      <c r="I687">
        <v>37</v>
      </c>
      <c r="J687" t="s">
        <v>43</v>
      </c>
      <c r="K687">
        <v>1</v>
      </c>
      <c r="L687" t="s">
        <v>44</v>
      </c>
      <c r="M687">
        <v>3286.8</v>
      </c>
      <c r="N687" t="s">
        <v>49</v>
      </c>
      <c r="O687" t="s">
        <v>51</v>
      </c>
      <c r="P687">
        <v>5</v>
      </c>
      <c r="Q687" t="s">
        <v>55</v>
      </c>
      <c r="R687" t="s">
        <v>62</v>
      </c>
      <c r="S687">
        <v>10</v>
      </c>
      <c r="T687">
        <v>2014</v>
      </c>
      <c r="U687" t="s">
        <v>66</v>
      </c>
      <c r="V687">
        <v>162</v>
      </c>
      <c r="W687">
        <v>1.2</v>
      </c>
    </row>
    <row r="688" spans="1:23" x14ac:dyDescent="0.35">
      <c r="A688">
        <v>10687</v>
      </c>
      <c r="B688" t="s">
        <v>27</v>
      </c>
      <c r="C688" t="s">
        <v>32</v>
      </c>
      <c r="D688" t="s">
        <v>39</v>
      </c>
      <c r="E688">
        <v>100258</v>
      </c>
      <c r="F688">
        <f ca="1">DATEDIF(Table1[[#This Row],[Hire Date]], TODAY(), "Y")</f>
        <v>9</v>
      </c>
      <c r="G688" s="7">
        <f ca="1">YEARFRAC(Table1[[#This Row],[Hire Date]], TODAY())</f>
        <v>9.9472222222222229</v>
      </c>
      <c r="H688" s="7">
        <v>42411</v>
      </c>
      <c r="I688">
        <v>34</v>
      </c>
      <c r="J688" t="s">
        <v>42</v>
      </c>
      <c r="K688">
        <v>3</v>
      </c>
      <c r="L688" t="s">
        <v>44</v>
      </c>
      <c r="M688">
        <v>6991.78</v>
      </c>
      <c r="N688" t="s">
        <v>46</v>
      </c>
      <c r="O688" t="s">
        <v>54</v>
      </c>
      <c r="P688">
        <v>25</v>
      </c>
      <c r="Q688" t="s">
        <v>56</v>
      </c>
      <c r="R688" t="s">
        <v>58</v>
      </c>
      <c r="S688">
        <v>15</v>
      </c>
      <c r="T688">
        <v>2017</v>
      </c>
      <c r="U688" t="s">
        <v>65</v>
      </c>
      <c r="V688">
        <v>114</v>
      </c>
      <c r="W688">
        <v>4</v>
      </c>
    </row>
    <row r="689" spans="1:23" x14ac:dyDescent="0.35">
      <c r="A689">
        <v>10688</v>
      </c>
      <c r="B689" t="s">
        <v>23</v>
      </c>
      <c r="C689" t="s">
        <v>35</v>
      </c>
      <c r="D689" t="s">
        <v>37</v>
      </c>
      <c r="E689">
        <v>108348</v>
      </c>
      <c r="F689">
        <f ca="1">DATEDIF(Table1[[#This Row],[Hire Date]], TODAY(), "Y")</f>
        <v>21</v>
      </c>
      <c r="G689" s="7">
        <f ca="1">YEARFRAC(Table1[[#This Row],[Hire Date]], TODAY())</f>
        <v>21.497222222222224</v>
      </c>
      <c r="H689" s="7">
        <v>38191</v>
      </c>
      <c r="I689">
        <v>29</v>
      </c>
      <c r="J689" t="s">
        <v>42</v>
      </c>
      <c r="K689">
        <v>2</v>
      </c>
      <c r="L689" t="s">
        <v>45</v>
      </c>
      <c r="M689">
        <v>8820.7199999999993</v>
      </c>
      <c r="N689" t="s">
        <v>49</v>
      </c>
      <c r="O689" t="s">
        <v>53</v>
      </c>
      <c r="P689">
        <v>28</v>
      </c>
      <c r="Q689" t="s">
        <v>56</v>
      </c>
      <c r="R689" t="s">
        <v>61</v>
      </c>
      <c r="S689">
        <v>4</v>
      </c>
      <c r="T689">
        <v>2013</v>
      </c>
      <c r="U689" t="s">
        <v>65</v>
      </c>
      <c r="V689">
        <v>156</v>
      </c>
      <c r="W689">
        <v>1.5</v>
      </c>
    </row>
    <row r="690" spans="1:23" x14ac:dyDescent="0.35">
      <c r="A690">
        <v>10689</v>
      </c>
      <c r="B690" t="s">
        <v>21</v>
      </c>
      <c r="C690" t="s">
        <v>31</v>
      </c>
      <c r="D690" t="s">
        <v>36</v>
      </c>
      <c r="E690">
        <v>66776</v>
      </c>
      <c r="F690">
        <f ca="1">DATEDIF(Table1[[#This Row],[Hire Date]], TODAY(), "Y")</f>
        <v>13</v>
      </c>
      <c r="G690" s="7">
        <f ca="1">YEARFRAC(Table1[[#This Row],[Hire Date]], TODAY())</f>
        <v>13.411111111111111</v>
      </c>
      <c r="H690" s="7">
        <v>41145</v>
      </c>
      <c r="I690">
        <v>52</v>
      </c>
      <c r="J690" t="s">
        <v>42</v>
      </c>
      <c r="K690">
        <v>7</v>
      </c>
      <c r="L690" t="s">
        <v>45</v>
      </c>
      <c r="M690">
        <v>8085.67</v>
      </c>
      <c r="N690" t="s">
        <v>46</v>
      </c>
      <c r="O690" t="s">
        <v>51</v>
      </c>
      <c r="P690">
        <v>14</v>
      </c>
      <c r="Q690" t="s">
        <v>56</v>
      </c>
      <c r="R690" t="s">
        <v>61</v>
      </c>
      <c r="S690">
        <v>16</v>
      </c>
      <c r="T690">
        <v>2011</v>
      </c>
      <c r="U690" t="s">
        <v>66</v>
      </c>
      <c r="V690">
        <v>145</v>
      </c>
      <c r="W690">
        <v>1.1000000000000001</v>
      </c>
    </row>
    <row r="691" spans="1:23" x14ac:dyDescent="0.35">
      <c r="A691">
        <v>10690</v>
      </c>
      <c r="B691" t="s">
        <v>26</v>
      </c>
      <c r="C691" t="s">
        <v>29</v>
      </c>
      <c r="D691" t="s">
        <v>38</v>
      </c>
      <c r="E691">
        <v>40060</v>
      </c>
      <c r="F691">
        <f ca="1">DATEDIF(Table1[[#This Row],[Hire Date]], TODAY(), "Y")</f>
        <v>21</v>
      </c>
      <c r="G691" s="7">
        <f ca="1">YEARFRAC(Table1[[#This Row],[Hire Date]], TODAY())</f>
        <v>21.758333333333333</v>
      </c>
      <c r="H691" s="7">
        <v>38096</v>
      </c>
      <c r="I691">
        <v>46</v>
      </c>
      <c r="J691" t="s">
        <v>43</v>
      </c>
      <c r="K691">
        <v>3</v>
      </c>
      <c r="L691" t="s">
        <v>44</v>
      </c>
      <c r="M691">
        <v>2229.77</v>
      </c>
      <c r="N691" t="s">
        <v>49</v>
      </c>
      <c r="O691" t="s">
        <v>52</v>
      </c>
      <c r="P691">
        <v>27</v>
      </c>
      <c r="Q691" t="s">
        <v>56</v>
      </c>
      <c r="R691" t="s">
        <v>58</v>
      </c>
      <c r="S691">
        <v>2</v>
      </c>
      <c r="T691">
        <v>2017</v>
      </c>
      <c r="U691" t="s">
        <v>64</v>
      </c>
      <c r="V691">
        <v>123</v>
      </c>
      <c r="W691">
        <v>3.3</v>
      </c>
    </row>
    <row r="692" spans="1:23" x14ac:dyDescent="0.35">
      <c r="A692">
        <v>10691</v>
      </c>
      <c r="B692" t="s">
        <v>26</v>
      </c>
      <c r="C692" t="s">
        <v>35</v>
      </c>
      <c r="D692" t="s">
        <v>40</v>
      </c>
      <c r="E692">
        <v>108592</v>
      </c>
      <c r="F692">
        <f ca="1">DATEDIF(Table1[[#This Row],[Hire Date]], TODAY(), "Y")</f>
        <v>21</v>
      </c>
      <c r="G692" s="7">
        <f ca="1">YEARFRAC(Table1[[#This Row],[Hire Date]], TODAY())</f>
        <v>21.31388888888889</v>
      </c>
      <c r="H692" s="7">
        <v>38259</v>
      </c>
      <c r="I692">
        <v>60</v>
      </c>
      <c r="J692" t="s">
        <v>42</v>
      </c>
      <c r="K692">
        <v>7</v>
      </c>
      <c r="L692" t="s">
        <v>45</v>
      </c>
      <c r="M692">
        <v>5871.35</v>
      </c>
      <c r="N692" t="s">
        <v>49</v>
      </c>
      <c r="O692" t="s">
        <v>51</v>
      </c>
      <c r="P692">
        <v>16</v>
      </c>
      <c r="Q692" t="s">
        <v>55</v>
      </c>
      <c r="R692" t="s">
        <v>61</v>
      </c>
      <c r="S692">
        <v>13</v>
      </c>
      <c r="T692">
        <v>2013</v>
      </c>
      <c r="U692" t="s">
        <v>64</v>
      </c>
      <c r="V692">
        <v>130</v>
      </c>
      <c r="W692">
        <v>1.1000000000000001</v>
      </c>
    </row>
    <row r="693" spans="1:23" x14ac:dyDescent="0.35">
      <c r="A693">
        <v>10692</v>
      </c>
      <c r="B693" t="s">
        <v>27</v>
      </c>
      <c r="C693" t="s">
        <v>33</v>
      </c>
      <c r="D693" t="s">
        <v>37</v>
      </c>
      <c r="E693">
        <v>36655</v>
      </c>
      <c r="F693">
        <f ca="1">DATEDIF(Table1[[#This Row],[Hire Date]], TODAY(), "Y")</f>
        <v>23</v>
      </c>
      <c r="G693" s="7">
        <f ca="1">YEARFRAC(Table1[[#This Row],[Hire Date]], TODAY())</f>
        <v>23.980555555555554</v>
      </c>
      <c r="H693" s="7">
        <v>37285</v>
      </c>
      <c r="I693">
        <v>42</v>
      </c>
      <c r="J693" t="s">
        <v>43</v>
      </c>
      <c r="K693">
        <v>9</v>
      </c>
      <c r="L693" t="s">
        <v>44</v>
      </c>
      <c r="M693">
        <v>785.22</v>
      </c>
      <c r="N693" t="s">
        <v>47</v>
      </c>
      <c r="O693" t="s">
        <v>52</v>
      </c>
      <c r="P693">
        <v>27</v>
      </c>
      <c r="Q693" t="s">
        <v>57</v>
      </c>
      <c r="R693" t="s">
        <v>63</v>
      </c>
      <c r="S693">
        <v>15</v>
      </c>
      <c r="T693">
        <v>2023</v>
      </c>
      <c r="U693" t="s">
        <v>65</v>
      </c>
      <c r="V693">
        <v>13</v>
      </c>
      <c r="W693">
        <v>2.7</v>
      </c>
    </row>
    <row r="694" spans="1:23" x14ac:dyDescent="0.35">
      <c r="A694">
        <v>10693</v>
      </c>
      <c r="B694" t="s">
        <v>23</v>
      </c>
      <c r="C694" t="s">
        <v>33</v>
      </c>
      <c r="D694" t="s">
        <v>38</v>
      </c>
      <c r="E694">
        <v>118110</v>
      </c>
      <c r="F694">
        <f ca="1">DATEDIF(Table1[[#This Row],[Hire Date]], TODAY(), "Y")</f>
        <v>20</v>
      </c>
      <c r="G694" s="7">
        <f ca="1">YEARFRAC(Table1[[#This Row],[Hire Date]], TODAY())</f>
        <v>20.152777777777779</v>
      </c>
      <c r="H694" s="7">
        <v>38683</v>
      </c>
      <c r="I694">
        <v>59</v>
      </c>
      <c r="J694" t="s">
        <v>42</v>
      </c>
      <c r="K694">
        <v>1</v>
      </c>
      <c r="L694" t="s">
        <v>44</v>
      </c>
      <c r="M694">
        <v>3450.1</v>
      </c>
      <c r="N694" t="s">
        <v>47</v>
      </c>
      <c r="O694" t="s">
        <v>50</v>
      </c>
      <c r="P694">
        <v>2</v>
      </c>
      <c r="Q694" t="s">
        <v>55</v>
      </c>
      <c r="R694" t="s">
        <v>59</v>
      </c>
      <c r="S694">
        <v>16</v>
      </c>
      <c r="T694">
        <v>2022</v>
      </c>
      <c r="U694" t="s">
        <v>66</v>
      </c>
      <c r="V694">
        <v>181</v>
      </c>
      <c r="W694">
        <v>2.2000000000000002</v>
      </c>
    </row>
    <row r="695" spans="1:23" x14ac:dyDescent="0.35">
      <c r="A695">
        <v>10694</v>
      </c>
      <c r="B695" t="s">
        <v>22</v>
      </c>
      <c r="C695" t="s">
        <v>30</v>
      </c>
      <c r="D695" t="s">
        <v>36</v>
      </c>
      <c r="E695">
        <v>79923</v>
      </c>
      <c r="F695">
        <f ca="1">DATEDIF(Table1[[#This Row],[Hire Date]], TODAY(), "Y")</f>
        <v>22</v>
      </c>
      <c r="G695" s="7">
        <f ca="1">YEARFRAC(Table1[[#This Row],[Hire Date]], TODAY())</f>
        <v>22.358333333333334</v>
      </c>
      <c r="H695" s="7">
        <v>37877</v>
      </c>
      <c r="I695">
        <v>62</v>
      </c>
      <c r="J695" t="s">
        <v>42</v>
      </c>
      <c r="K695">
        <v>3</v>
      </c>
      <c r="L695" t="s">
        <v>44</v>
      </c>
      <c r="M695">
        <v>8156.85</v>
      </c>
      <c r="N695" t="s">
        <v>47</v>
      </c>
      <c r="O695" t="s">
        <v>50</v>
      </c>
      <c r="P695">
        <v>19</v>
      </c>
      <c r="Q695" t="s">
        <v>57</v>
      </c>
      <c r="R695" t="s">
        <v>59</v>
      </c>
      <c r="S695">
        <v>18</v>
      </c>
      <c r="T695">
        <v>2014</v>
      </c>
      <c r="U695" t="s">
        <v>65</v>
      </c>
      <c r="V695">
        <v>158</v>
      </c>
      <c r="W695">
        <v>2.2999999999999998</v>
      </c>
    </row>
    <row r="696" spans="1:23" x14ac:dyDescent="0.35">
      <c r="A696">
        <v>10695</v>
      </c>
      <c r="B696" t="s">
        <v>26</v>
      </c>
      <c r="C696" t="s">
        <v>32</v>
      </c>
      <c r="D696" t="s">
        <v>41</v>
      </c>
      <c r="E696">
        <v>108563</v>
      </c>
      <c r="F696">
        <f ca="1">DATEDIF(Table1[[#This Row],[Hire Date]], TODAY(), "Y")</f>
        <v>16</v>
      </c>
      <c r="G696" s="7">
        <f ca="1">YEARFRAC(Table1[[#This Row],[Hire Date]], TODAY())</f>
        <v>16.538888888888888</v>
      </c>
      <c r="H696" s="7">
        <v>40002</v>
      </c>
      <c r="I696">
        <v>50</v>
      </c>
      <c r="J696" t="s">
        <v>43</v>
      </c>
      <c r="K696">
        <v>6</v>
      </c>
      <c r="L696" t="s">
        <v>44</v>
      </c>
      <c r="M696">
        <v>4838.32</v>
      </c>
      <c r="N696" t="s">
        <v>46</v>
      </c>
      <c r="O696" t="s">
        <v>53</v>
      </c>
      <c r="P696">
        <v>23</v>
      </c>
      <c r="Q696" t="s">
        <v>57</v>
      </c>
      <c r="R696" t="s">
        <v>62</v>
      </c>
      <c r="S696">
        <v>3</v>
      </c>
      <c r="T696">
        <v>2023</v>
      </c>
      <c r="U696" t="s">
        <v>64</v>
      </c>
      <c r="V696">
        <v>53</v>
      </c>
      <c r="W696">
        <v>1</v>
      </c>
    </row>
    <row r="697" spans="1:23" x14ac:dyDescent="0.35">
      <c r="A697">
        <v>10696</v>
      </c>
      <c r="B697" t="s">
        <v>22</v>
      </c>
      <c r="C697" t="s">
        <v>31</v>
      </c>
      <c r="D697" t="s">
        <v>40</v>
      </c>
      <c r="E697">
        <v>34030</v>
      </c>
      <c r="F697">
        <f ca="1">DATEDIF(Table1[[#This Row],[Hire Date]], TODAY(), "Y")</f>
        <v>22</v>
      </c>
      <c r="G697" s="7">
        <f ca="1">YEARFRAC(Table1[[#This Row],[Hire Date]], TODAY())</f>
        <v>22.583333333333332</v>
      </c>
      <c r="H697" s="7">
        <v>37794</v>
      </c>
      <c r="I697">
        <v>27</v>
      </c>
      <c r="J697" t="s">
        <v>43</v>
      </c>
      <c r="K697">
        <v>9</v>
      </c>
      <c r="L697" t="s">
        <v>45</v>
      </c>
      <c r="M697">
        <v>1924.44</v>
      </c>
      <c r="N697" t="s">
        <v>46</v>
      </c>
      <c r="O697" t="s">
        <v>53</v>
      </c>
      <c r="P697">
        <v>14</v>
      </c>
      <c r="Q697" t="s">
        <v>56</v>
      </c>
      <c r="R697" t="s">
        <v>61</v>
      </c>
      <c r="S697">
        <v>19</v>
      </c>
      <c r="T697">
        <v>2021</v>
      </c>
      <c r="U697" t="s">
        <v>64</v>
      </c>
      <c r="V697">
        <v>46</v>
      </c>
      <c r="W697">
        <v>4.9000000000000004</v>
      </c>
    </row>
    <row r="698" spans="1:23" x14ac:dyDescent="0.35">
      <c r="A698">
        <v>10697</v>
      </c>
      <c r="B698" t="s">
        <v>21</v>
      </c>
      <c r="C698" t="s">
        <v>30</v>
      </c>
      <c r="D698" t="s">
        <v>39</v>
      </c>
      <c r="E698">
        <v>119779</v>
      </c>
      <c r="F698">
        <f ca="1">DATEDIF(Table1[[#This Row],[Hire Date]], TODAY(), "Y")</f>
        <v>21</v>
      </c>
      <c r="G698" s="7">
        <f ca="1">YEARFRAC(Table1[[#This Row],[Hire Date]], TODAY())</f>
        <v>21.172222222222221</v>
      </c>
      <c r="H698" s="7">
        <v>38311</v>
      </c>
      <c r="I698">
        <v>39</v>
      </c>
      <c r="J698" t="s">
        <v>42</v>
      </c>
      <c r="K698">
        <v>5</v>
      </c>
      <c r="L698" t="s">
        <v>45</v>
      </c>
      <c r="M698">
        <v>4666.26</v>
      </c>
      <c r="N698" t="s">
        <v>46</v>
      </c>
      <c r="O698" t="s">
        <v>50</v>
      </c>
      <c r="P698">
        <v>26</v>
      </c>
      <c r="Q698" t="s">
        <v>56</v>
      </c>
      <c r="R698" t="s">
        <v>58</v>
      </c>
      <c r="S698">
        <v>19</v>
      </c>
      <c r="T698">
        <v>2016</v>
      </c>
      <c r="U698" t="s">
        <v>66</v>
      </c>
      <c r="V698">
        <v>177</v>
      </c>
      <c r="W698">
        <v>3.1</v>
      </c>
    </row>
    <row r="699" spans="1:23" x14ac:dyDescent="0.35">
      <c r="A699">
        <v>10698</v>
      </c>
      <c r="B699" t="s">
        <v>26</v>
      </c>
      <c r="C699" t="s">
        <v>32</v>
      </c>
      <c r="D699" t="s">
        <v>36</v>
      </c>
      <c r="E699">
        <v>63289</v>
      </c>
      <c r="F699">
        <f ca="1">DATEDIF(Table1[[#This Row],[Hire Date]], TODAY(), "Y")</f>
        <v>15</v>
      </c>
      <c r="G699" s="7">
        <f ca="1">YEARFRAC(Table1[[#This Row],[Hire Date]], TODAY())</f>
        <v>15.244444444444444</v>
      </c>
      <c r="H699" s="7">
        <v>40475</v>
      </c>
      <c r="I699">
        <v>56</v>
      </c>
      <c r="J699" t="s">
        <v>43</v>
      </c>
      <c r="K699">
        <v>3</v>
      </c>
      <c r="L699" t="s">
        <v>45</v>
      </c>
      <c r="M699">
        <v>2381.31</v>
      </c>
      <c r="N699" t="s">
        <v>46</v>
      </c>
      <c r="O699" t="s">
        <v>53</v>
      </c>
      <c r="P699">
        <v>8</v>
      </c>
      <c r="Q699" t="s">
        <v>57</v>
      </c>
      <c r="R699" t="s">
        <v>58</v>
      </c>
      <c r="S699">
        <v>8</v>
      </c>
      <c r="T699">
        <v>2020</v>
      </c>
      <c r="U699" t="s">
        <v>65</v>
      </c>
      <c r="V699">
        <v>118</v>
      </c>
      <c r="W699">
        <v>3.3</v>
      </c>
    </row>
    <row r="700" spans="1:23" x14ac:dyDescent="0.35">
      <c r="A700">
        <v>10699</v>
      </c>
      <c r="B700" t="s">
        <v>26</v>
      </c>
      <c r="C700" t="s">
        <v>32</v>
      </c>
      <c r="D700" t="s">
        <v>37</v>
      </c>
      <c r="E700">
        <v>49739</v>
      </c>
      <c r="F700">
        <f ca="1">DATEDIF(Table1[[#This Row],[Hire Date]], TODAY(), "Y")</f>
        <v>9</v>
      </c>
      <c r="G700" s="7">
        <f ca="1">YEARFRAC(Table1[[#This Row],[Hire Date]], TODAY())</f>
        <v>9.7722222222222221</v>
      </c>
      <c r="H700" s="7">
        <v>42474</v>
      </c>
      <c r="I700">
        <v>48</v>
      </c>
      <c r="J700" t="s">
        <v>43</v>
      </c>
      <c r="K700">
        <v>8</v>
      </c>
      <c r="L700" t="s">
        <v>45</v>
      </c>
      <c r="M700">
        <v>4235.32</v>
      </c>
      <c r="N700" t="s">
        <v>47</v>
      </c>
      <c r="O700" t="s">
        <v>52</v>
      </c>
      <c r="P700">
        <v>27</v>
      </c>
      <c r="Q700" t="s">
        <v>57</v>
      </c>
      <c r="R700" t="s">
        <v>62</v>
      </c>
      <c r="S700">
        <v>10</v>
      </c>
      <c r="T700">
        <v>2014</v>
      </c>
      <c r="U700" t="s">
        <v>65</v>
      </c>
      <c r="V700">
        <v>81</v>
      </c>
      <c r="W700">
        <v>3.7</v>
      </c>
    </row>
    <row r="701" spans="1:23" x14ac:dyDescent="0.35">
      <c r="A701">
        <v>10700</v>
      </c>
      <c r="B701" t="s">
        <v>24</v>
      </c>
      <c r="C701" t="s">
        <v>30</v>
      </c>
      <c r="D701" t="s">
        <v>37</v>
      </c>
      <c r="E701">
        <v>91687</v>
      </c>
      <c r="F701">
        <f ca="1">DATEDIF(Table1[[#This Row],[Hire Date]], TODAY(), "Y")</f>
        <v>8</v>
      </c>
      <c r="G701" s="7">
        <f ca="1">YEARFRAC(Table1[[#This Row],[Hire Date]], TODAY())</f>
        <v>8.7916666666666661</v>
      </c>
      <c r="H701" s="7">
        <v>42832</v>
      </c>
      <c r="I701">
        <v>26</v>
      </c>
      <c r="J701" t="s">
        <v>42</v>
      </c>
      <c r="K701">
        <v>5</v>
      </c>
      <c r="L701" t="s">
        <v>45</v>
      </c>
      <c r="M701">
        <v>5134.42</v>
      </c>
      <c r="N701" t="s">
        <v>48</v>
      </c>
      <c r="O701" t="s">
        <v>52</v>
      </c>
      <c r="P701">
        <v>28</v>
      </c>
      <c r="Q701" t="s">
        <v>56</v>
      </c>
      <c r="R701" t="s">
        <v>63</v>
      </c>
      <c r="S701">
        <v>4</v>
      </c>
      <c r="T701">
        <v>2022</v>
      </c>
      <c r="U701" t="s">
        <v>64</v>
      </c>
      <c r="V701">
        <v>153</v>
      </c>
      <c r="W701">
        <v>4.2</v>
      </c>
    </row>
    <row r="702" spans="1:23" x14ac:dyDescent="0.35">
      <c r="A702">
        <v>10701</v>
      </c>
      <c r="B702" t="s">
        <v>26</v>
      </c>
      <c r="C702" t="s">
        <v>34</v>
      </c>
      <c r="D702" t="s">
        <v>41</v>
      </c>
      <c r="E702">
        <v>66491</v>
      </c>
      <c r="F702">
        <f ca="1">DATEDIF(Table1[[#This Row],[Hire Date]], TODAY(), "Y")</f>
        <v>18</v>
      </c>
      <c r="G702" s="7">
        <f ca="1">YEARFRAC(Table1[[#This Row],[Hire Date]], TODAY())</f>
        <v>18.922222222222221</v>
      </c>
      <c r="H702" s="7">
        <v>39133</v>
      </c>
      <c r="I702">
        <v>28</v>
      </c>
      <c r="J702" t="s">
        <v>42</v>
      </c>
      <c r="K702">
        <v>6</v>
      </c>
      <c r="L702" t="s">
        <v>44</v>
      </c>
      <c r="M702">
        <v>3820.8</v>
      </c>
      <c r="N702" t="s">
        <v>49</v>
      </c>
      <c r="O702" t="s">
        <v>54</v>
      </c>
      <c r="P702">
        <v>4</v>
      </c>
      <c r="Q702" t="s">
        <v>56</v>
      </c>
      <c r="R702" t="s">
        <v>62</v>
      </c>
      <c r="S702">
        <v>10</v>
      </c>
      <c r="T702">
        <v>2019</v>
      </c>
      <c r="U702" t="s">
        <v>65</v>
      </c>
      <c r="V702">
        <v>161</v>
      </c>
      <c r="W702">
        <v>3.4</v>
      </c>
    </row>
    <row r="703" spans="1:23" x14ac:dyDescent="0.35">
      <c r="A703">
        <v>10702</v>
      </c>
      <c r="B703" t="s">
        <v>25</v>
      </c>
      <c r="C703" t="s">
        <v>32</v>
      </c>
      <c r="D703" t="s">
        <v>41</v>
      </c>
      <c r="E703">
        <v>102115</v>
      </c>
      <c r="F703">
        <f ca="1">DATEDIF(Table1[[#This Row],[Hire Date]], TODAY(), "Y")</f>
        <v>24</v>
      </c>
      <c r="G703" s="7">
        <f ca="1">YEARFRAC(Table1[[#This Row],[Hire Date]], TODAY())</f>
        <v>24.972222222222221</v>
      </c>
      <c r="H703" s="7">
        <v>36924</v>
      </c>
      <c r="I703">
        <v>31</v>
      </c>
      <c r="J703" t="s">
        <v>43</v>
      </c>
      <c r="K703">
        <v>2</v>
      </c>
      <c r="L703" t="s">
        <v>45</v>
      </c>
      <c r="M703">
        <v>9401.2099999999991</v>
      </c>
      <c r="N703" t="s">
        <v>49</v>
      </c>
      <c r="O703" t="s">
        <v>53</v>
      </c>
      <c r="P703">
        <v>38</v>
      </c>
      <c r="Q703" t="s">
        <v>56</v>
      </c>
      <c r="R703" t="s">
        <v>61</v>
      </c>
      <c r="S703">
        <v>12</v>
      </c>
      <c r="T703">
        <v>2013</v>
      </c>
      <c r="U703" t="s">
        <v>65</v>
      </c>
      <c r="V703">
        <v>96</v>
      </c>
      <c r="W703">
        <v>4</v>
      </c>
    </row>
    <row r="704" spans="1:23" x14ac:dyDescent="0.35">
      <c r="A704">
        <v>10703</v>
      </c>
      <c r="B704" t="s">
        <v>28</v>
      </c>
      <c r="C704" t="s">
        <v>34</v>
      </c>
      <c r="D704" t="s">
        <v>40</v>
      </c>
      <c r="E704">
        <v>113778</v>
      </c>
      <c r="F704">
        <f ca="1">DATEDIF(Table1[[#This Row],[Hire Date]], TODAY(), "Y")</f>
        <v>18</v>
      </c>
      <c r="G704" s="7">
        <f ca="1">YEARFRAC(Table1[[#This Row],[Hire Date]], TODAY())</f>
        <v>18.852777777777778</v>
      </c>
      <c r="H704" s="7">
        <v>39156</v>
      </c>
      <c r="I704">
        <v>31</v>
      </c>
      <c r="J704" t="s">
        <v>42</v>
      </c>
      <c r="K704">
        <v>4</v>
      </c>
      <c r="L704" t="s">
        <v>45</v>
      </c>
      <c r="M704">
        <v>5844.04</v>
      </c>
      <c r="N704" t="s">
        <v>46</v>
      </c>
      <c r="O704" t="s">
        <v>53</v>
      </c>
      <c r="P704">
        <v>11</v>
      </c>
      <c r="Q704" t="s">
        <v>56</v>
      </c>
      <c r="R704" t="s">
        <v>59</v>
      </c>
      <c r="S704">
        <v>1</v>
      </c>
      <c r="T704">
        <v>2016</v>
      </c>
      <c r="U704" t="s">
        <v>65</v>
      </c>
      <c r="V704">
        <v>156</v>
      </c>
      <c r="W704">
        <v>2.8</v>
      </c>
    </row>
    <row r="705" spans="1:23" x14ac:dyDescent="0.35">
      <c r="A705">
        <v>10704</v>
      </c>
      <c r="B705" t="s">
        <v>25</v>
      </c>
      <c r="C705" t="s">
        <v>33</v>
      </c>
      <c r="D705" t="s">
        <v>39</v>
      </c>
      <c r="E705">
        <v>34781</v>
      </c>
      <c r="F705">
        <f ca="1">DATEDIF(Table1[[#This Row],[Hire Date]], TODAY(), "Y")</f>
        <v>19</v>
      </c>
      <c r="G705" s="7">
        <f ca="1">YEARFRAC(Table1[[#This Row],[Hire Date]], TODAY())</f>
        <v>19.361111111111111</v>
      </c>
      <c r="H705" s="7">
        <v>38972</v>
      </c>
      <c r="I705">
        <v>49</v>
      </c>
      <c r="J705" t="s">
        <v>42</v>
      </c>
      <c r="K705">
        <v>1</v>
      </c>
      <c r="L705" t="s">
        <v>45</v>
      </c>
      <c r="M705">
        <v>8507.48</v>
      </c>
      <c r="N705" t="s">
        <v>47</v>
      </c>
      <c r="O705" t="s">
        <v>54</v>
      </c>
      <c r="P705">
        <v>24</v>
      </c>
      <c r="Q705" t="s">
        <v>56</v>
      </c>
      <c r="R705" t="s">
        <v>63</v>
      </c>
      <c r="S705">
        <v>1</v>
      </c>
      <c r="T705">
        <v>2022</v>
      </c>
      <c r="U705" t="s">
        <v>66</v>
      </c>
      <c r="V705">
        <v>124</v>
      </c>
      <c r="W705">
        <v>2.5</v>
      </c>
    </row>
    <row r="706" spans="1:23" x14ac:dyDescent="0.35">
      <c r="A706">
        <v>10705</v>
      </c>
      <c r="B706" t="s">
        <v>23</v>
      </c>
      <c r="C706" t="s">
        <v>33</v>
      </c>
      <c r="D706" t="s">
        <v>40</v>
      </c>
      <c r="E706">
        <v>50448</v>
      </c>
      <c r="F706">
        <f ca="1">DATEDIF(Table1[[#This Row],[Hire Date]], TODAY(), "Y")</f>
        <v>21</v>
      </c>
      <c r="G706" s="7">
        <f ca="1">YEARFRAC(Table1[[#This Row],[Hire Date]], TODAY())</f>
        <v>21.486111111111111</v>
      </c>
      <c r="H706" s="7">
        <v>38195</v>
      </c>
      <c r="I706">
        <v>57</v>
      </c>
      <c r="J706" t="s">
        <v>42</v>
      </c>
      <c r="K706">
        <v>4</v>
      </c>
      <c r="L706" t="s">
        <v>44</v>
      </c>
      <c r="M706">
        <v>7726.92</v>
      </c>
      <c r="N706" t="s">
        <v>48</v>
      </c>
      <c r="O706" t="s">
        <v>51</v>
      </c>
      <c r="P706">
        <v>28</v>
      </c>
      <c r="Q706" t="s">
        <v>55</v>
      </c>
      <c r="R706" t="s">
        <v>63</v>
      </c>
      <c r="S706">
        <v>9</v>
      </c>
      <c r="T706">
        <v>2013</v>
      </c>
      <c r="U706" t="s">
        <v>64</v>
      </c>
      <c r="V706">
        <v>174</v>
      </c>
      <c r="W706">
        <v>4.3</v>
      </c>
    </row>
    <row r="707" spans="1:23" x14ac:dyDescent="0.35">
      <c r="A707">
        <v>10706</v>
      </c>
      <c r="B707" t="s">
        <v>23</v>
      </c>
      <c r="C707" t="s">
        <v>32</v>
      </c>
      <c r="D707" t="s">
        <v>41</v>
      </c>
      <c r="E707">
        <v>81550</v>
      </c>
      <c r="F707">
        <f ca="1">DATEDIF(Table1[[#This Row],[Hire Date]], TODAY(), "Y")</f>
        <v>25</v>
      </c>
      <c r="G707" s="7">
        <f ca="1">YEARFRAC(Table1[[#This Row],[Hire Date]], TODAY())</f>
        <v>25.405555555555555</v>
      </c>
      <c r="H707" s="7">
        <v>36764</v>
      </c>
      <c r="I707">
        <v>31</v>
      </c>
      <c r="J707" t="s">
        <v>43</v>
      </c>
      <c r="K707">
        <v>1</v>
      </c>
      <c r="L707" t="s">
        <v>45</v>
      </c>
      <c r="M707">
        <v>6781.08</v>
      </c>
      <c r="N707" t="s">
        <v>47</v>
      </c>
      <c r="O707" t="s">
        <v>52</v>
      </c>
      <c r="P707">
        <v>18</v>
      </c>
      <c r="Q707" t="s">
        <v>55</v>
      </c>
      <c r="R707" t="s">
        <v>58</v>
      </c>
      <c r="S707">
        <v>12</v>
      </c>
      <c r="T707">
        <v>2019</v>
      </c>
      <c r="U707" t="s">
        <v>65</v>
      </c>
      <c r="V707">
        <v>88</v>
      </c>
      <c r="W707">
        <v>4.5</v>
      </c>
    </row>
    <row r="708" spans="1:23" x14ac:dyDescent="0.35">
      <c r="A708">
        <v>10707</v>
      </c>
      <c r="B708" t="s">
        <v>22</v>
      </c>
      <c r="C708" t="s">
        <v>33</v>
      </c>
      <c r="D708" t="s">
        <v>41</v>
      </c>
      <c r="E708">
        <v>79294</v>
      </c>
      <c r="F708">
        <f ca="1">DATEDIF(Table1[[#This Row],[Hire Date]], TODAY(), "Y")</f>
        <v>16</v>
      </c>
      <c r="G708" s="7">
        <f ca="1">YEARFRAC(Table1[[#This Row],[Hire Date]], TODAY())</f>
        <v>16.377777777777776</v>
      </c>
      <c r="H708" s="7">
        <v>40062</v>
      </c>
      <c r="I708">
        <v>56</v>
      </c>
      <c r="J708" t="s">
        <v>43</v>
      </c>
      <c r="K708">
        <v>4</v>
      </c>
      <c r="L708" t="s">
        <v>45</v>
      </c>
      <c r="M708">
        <v>5220.4399999999996</v>
      </c>
      <c r="N708" t="s">
        <v>49</v>
      </c>
      <c r="O708" t="s">
        <v>51</v>
      </c>
      <c r="P708">
        <v>21</v>
      </c>
      <c r="Q708" t="s">
        <v>55</v>
      </c>
      <c r="R708" t="s">
        <v>63</v>
      </c>
      <c r="S708">
        <v>4</v>
      </c>
      <c r="T708">
        <v>2021</v>
      </c>
      <c r="U708" t="s">
        <v>66</v>
      </c>
      <c r="V708">
        <v>107</v>
      </c>
      <c r="W708">
        <v>1.6</v>
      </c>
    </row>
    <row r="709" spans="1:23" x14ac:dyDescent="0.35">
      <c r="A709">
        <v>10708</v>
      </c>
      <c r="B709" t="s">
        <v>25</v>
      </c>
      <c r="C709" t="s">
        <v>31</v>
      </c>
      <c r="D709" t="s">
        <v>37</v>
      </c>
      <c r="E709">
        <v>51446</v>
      </c>
      <c r="F709">
        <f ca="1">DATEDIF(Table1[[#This Row],[Hire Date]], TODAY(), "Y")</f>
        <v>10</v>
      </c>
      <c r="G709" s="7">
        <f ca="1">YEARFRAC(Table1[[#This Row],[Hire Date]], TODAY())</f>
        <v>10.452777777777778</v>
      </c>
      <c r="H709" s="7">
        <v>42225</v>
      </c>
      <c r="I709">
        <v>56</v>
      </c>
      <c r="J709" t="s">
        <v>43</v>
      </c>
      <c r="K709">
        <v>2</v>
      </c>
      <c r="L709" t="s">
        <v>45</v>
      </c>
      <c r="M709">
        <v>520.65</v>
      </c>
      <c r="N709" t="s">
        <v>46</v>
      </c>
      <c r="O709" t="s">
        <v>54</v>
      </c>
      <c r="P709">
        <v>26</v>
      </c>
      <c r="Q709" t="s">
        <v>56</v>
      </c>
      <c r="R709" t="s">
        <v>61</v>
      </c>
      <c r="S709">
        <v>10</v>
      </c>
      <c r="T709">
        <v>2013</v>
      </c>
      <c r="U709" t="s">
        <v>65</v>
      </c>
      <c r="V709">
        <v>75</v>
      </c>
      <c r="W709">
        <v>3.2</v>
      </c>
    </row>
    <row r="710" spans="1:23" x14ac:dyDescent="0.35">
      <c r="A710">
        <v>10709</v>
      </c>
      <c r="B710" t="s">
        <v>25</v>
      </c>
      <c r="C710" t="s">
        <v>34</v>
      </c>
      <c r="D710" t="s">
        <v>41</v>
      </c>
      <c r="E710">
        <v>106579</v>
      </c>
      <c r="F710">
        <f ca="1">DATEDIF(Table1[[#This Row],[Hire Date]], TODAY(), "Y")</f>
        <v>15</v>
      </c>
      <c r="G710" s="7">
        <f ca="1">YEARFRAC(Table1[[#This Row],[Hire Date]], TODAY())</f>
        <v>15.483333333333333</v>
      </c>
      <c r="H710" s="7">
        <v>40387</v>
      </c>
      <c r="I710">
        <v>58</v>
      </c>
      <c r="J710" t="s">
        <v>42</v>
      </c>
      <c r="K710">
        <v>6</v>
      </c>
      <c r="L710" t="s">
        <v>45</v>
      </c>
      <c r="M710">
        <v>6327.94</v>
      </c>
      <c r="N710" t="s">
        <v>46</v>
      </c>
      <c r="O710" t="s">
        <v>53</v>
      </c>
      <c r="P710">
        <v>3</v>
      </c>
      <c r="Q710" t="s">
        <v>57</v>
      </c>
      <c r="R710" t="s">
        <v>61</v>
      </c>
      <c r="S710">
        <v>14</v>
      </c>
      <c r="T710">
        <v>2011</v>
      </c>
      <c r="U710" t="s">
        <v>65</v>
      </c>
      <c r="V710">
        <v>173</v>
      </c>
      <c r="W710">
        <v>3.7</v>
      </c>
    </row>
    <row r="711" spans="1:23" x14ac:dyDescent="0.35">
      <c r="A711">
        <v>10710</v>
      </c>
      <c r="B711" t="s">
        <v>25</v>
      </c>
      <c r="C711" t="s">
        <v>34</v>
      </c>
      <c r="D711" t="s">
        <v>38</v>
      </c>
      <c r="E711">
        <v>115389</v>
      </c>
      <c r="F711">
        <f ca="1">DATEDIF(Table1[[#This Row],[Hire Date]], TODAY(), "Y")</f>
        <v>17</v>
      </c>
      <c r="G711" s="7">
        <f ca="1">YEARFRAC(Table1[[#This Row],[Hire Date]], TODAY())</f>
        <v>17.56111111111111</v>
      </c>
      <c r="H711" s="7">
        <v>39629</v>
      </c>
      <c r="I711">
        <v>41</v>
      </c>
      <c r="J711" t="s">
        <v>43</v>
      </c>
      <c r="K711">
        <v>6</v>
      </c>
      <c r="L711" t="s">
        <v>45</v>
      </c>
      <c r="M711">
        <v>3881.6</v>
      </c>
      <c r="N711" t="s">
        <v>47</v>
      </c>
      <c r="O711" t="s">
        <v>51</v>
      </c>
      <c r="P711">
        <v>13</v>
      </c>
      <c r="Q711" t="s">
        <v>57</v>
      </c>
      <c r="R711" t="s">
        <v>61</v>
      </c>
      <c r="S711">
        <v>4</v>
      </c>
      <c r="T711">
        <v>2014</v>
      </c>
      <c r="U711" t="s">
        <v>64</v>
      </c>
      <c r="V711">
        <v>52</v>
      </c>
      <c r="W711">
        <v>1.3</v>
      </c>
    </row>
    <row r="712" spans="1:23" x14ac:dyDescent="0.35">
      <c r="A712">
        <v>10711</v>
      </c>
      <c r="B712" t="s">
        <v>21</v>
      </c>
      <c r="C712" t="s">
        <v>32</v>
      </c>
      <c r="D712" t="s">
        <v>36</v>
      </c>
      <c r="E712">
        <v>115615</v>
      </c>
      <c r="F712">
        <f ca="1">DATEDIF(Table1[[#This Row],[Hire Date]], TODAY(), "Y")</f>
        <v>22</v>
      </c>
      <c r="G712" s="7">
        <f ca="1">YEARFRAC(Table1[[#This Row],[Hire Date]], TODAY())</f>
        <v>22.922222222222221</v>
      </c>
      <c r="H712" s="7">
        <v>37672</v>
      </c>
      <c r="I712">
        <v>34</v>
      </c>
      <c r="J712" t="s">
        <v>42</v>
      </c>
      <c r="K712">
        <v>8</v>
      </c>
      <c r="L712" t="s">
        <v>44</v>
      </c>
      <c r="M712">
        <v>1618.74</v>
      </c>
      <c r="N712" t="s">
        <v>46</v>
      </c>
      <c r="O712" t="s">
        <v>53</v>
      </c>
      <c r="P712">
        <v>38</v>
      </c>
      <c r="Q712" t="s">
        <v>56</v>
      </c>
      <c r="R712" t="s">
        <v>59</v>
      </c>
      <c r="S712">
        <v>19</v>
      </c>
      <c r="T712">
        <v>2017</v>
      </c>
      <c r="U712" t="s">
        <v>66</v>
      </c>
      <c r="V712">
        <v>83</v>
      </c>
      <c r="W712">
        <v>4.7</v>
      </c>
    </row>
    <row r="713" spans="1:23" x14ac:dyDescent="0.35">
      <c r="A713">
        <v>10712</v>
      </c>
      <c r="B713" t="s">
        <v>26</v>
      </c>
      <c r="C713" t="s">
        <v>33</v>
      </c>
      <c r="D713" t="s">
        <v>41</v>
      </c>
      <c r="E713">
        <v>47101</v>
      </c>
      <c r="F713">
        <f ca="1">DATEDIF(Table1[[#This Row],[Hire Date]], TODAY(), "Y")</f>
        <v>21</v>
      </c>
      <c r="G713" s="7">
        <f ca="1">YEARFRAC(Table1[[#This Row],[Hire Date]], TODAY())</f>
        <v>21.794444444444444</v>
      </c>
      <c r="H713" s="7">
        <v>38083</v>
      </c>
      <c r="I713">
        <v>32</v>
      </c>
      <c r="J713" t="s">
        <v>42</v>
      </c>
      <c r="K713">
        <v>9</v>
      </c>
      <c r="L713" t="s">
        <v>45</v>
      </c>
      <c r="M713">
        <v>4723.95</v>
      </c>
      <c r="N713" t="s">
        <v>48</v>
      </c>
      <c r="O713" t="s">
        <v>54</v>
      </c>
      <c r="P713">
        <v>28</v>
      </c>
      <c r="Q713" t="s">
        <v>55</v>
      </c>
      <c r="R713" t="s">
        <v>60</v>
      </c>
      <c r="S713">
        <v>4</v>
      </c>
      <c r="T713">
        <v>2013</v>
      </c>
      <c r="U713" t="s">
        <v>65</v>
      </c>
      <c r="V713">
        <v>81</v>
      </c>
      <c r="W713">
        <v>3.1</v>
      </c>
    </row>
    <row r="714" spans="1:23" x14ac:dyDescent="0.35">
      <c r="A714">
        <v>10713</v>
      </c>
      <c r="B714" t="s">
        <v>28</v>
      </c>
      <c r="C714" t="s">
        <v>35</v>
      </c>
      <c r="D714" t="s">
        <v>40</v>
      </c>
      <c r="E714">
        <v>96178</v>
      </c>
      <c r="F714">
        <f ca="1">DATEDIF(Table1[[#This Row],[Hire Date]], TODAY(), "Y")</f>
        <v>15</v>
      </c>
      <c r="G714" s="7">
        <f ca="1">YEARFRAC(Table1[[#This Row],[Hire Date]], TODAY())</f>
        <v>15.819444444444445</v>
      </c>
      <c r="H714" s="7">
        <v>40264</v>
      </c>
      <c r="I714">
        <v>40</v>
      </c>
      <c r="J714" t="s">
        <v>42</v>
      </c>
      <c r="K714">
        <v>8</v>
      </c>
      <c r="L714" t="s">
        <v>45</v>
      </c>
      <c r="M714">
        <v>7487.76</v>
      </c>
      <c r="N714" t="s">
        <v>49</v>
      </c>
      <c r="O714" t="s">
        <v>50</v>
      </c>
      <c r="P714">
        <v>14</v>
      </c>
      <c r="Q714" t="s">
        <v>57</v>
      </c>
      <c r="R714" t="s">
        <v>63</v>
      </c>
      <c r="S714">
        <v>6</v>
      </c>
      <c r="T714">
        <v>2020</v>
      </c>
      <c r="U714" t="s">
        <v>64</v>
      </c>
      <c r="V714">
        <v>47</v>
      </c>
      <c r="W714">
        <v>3.6</v>
      </c>
    </row>
    <row r="715" spans="1:23" x14ac:dyDescent="0.35">
      <c r="A715">
        <v>10714</v>
      </c>
      <c r="B715" t="s">
        <v>22</v>
      </c>
      <c r="C715" t="s">
        <v>30</v>
      </c>
      <c r="D715" t="s">
        <v>39</v>
      </c>
      <c r="E715">
        <v>58016</v>
      </c>
      <c r="F715">
        <f ca="1">DATEDIF(Table1[[#This Row],[Hire Date]], TODAY(), "Y")</f>
        <v>20</v>
      </c>
      <c r="G715" s="7">
        <f ca="1">YEARFRAC(Table1[[#This Row],[Hire Date]], TODAY())</f>
        <v>20.152777777777779</v>
      </c>
      <c r="H715" s="7">
        <v>38683</v>
      </c>
      <c r="I715">
        <v>49</v>
      </c>
      <c r="J715" t="s">
        <v>42</v>
      </c>
      <c r="K715">
        <v>1</v>
      </c>
      <c r="L715" t="s">
        <v>45</v>
      </c>
      <c r="M715">
        <v>9635.94</v>
      </c>
      <c r="N715" t="s">
        <v>48</v>
      </c>
      <c r="O715" t="s">
        <v>53</v>
      </c>
      <c r="P715">
        <v>1</v>
      </c>
      <c r="Q715" t="s">
        <v>56</v>
      </c>
      <c r="R715" t="s">
        <v>63</v>
      </c>
      <c r="S715">
        <v>9</v>
      </c>
      <c r="T715">
        <v>2022</v>
      </c>
      <c r="U715" t="s">
        <v>66</v>
      </c>
      <c r="V715">
        <v>12</v>
      </c>
      <c r="W715">
        <v>1.7</v>
      </c>
    </row>
    <row r="716" spans="1:23" x14ac:dyDescent="0.35">
      <c r="A716">
        <v>10715</v>
      </c>
      <c r="B716" t="s">
        <v>25</v>
      </c>
      <c r="C716" t="s">
        <v>30</v>
      </c>
      <c r="D716" t="s">
        <v>39</v>
      </c>
      <c r="E716">
        <v>48932</v>
      </c>
      <c r="F716">
        <f ca="1">DATEDIF(Table1[[#This Row],[Hire Date]], TODAY(), "Y")</f>
        <v>11</v>
      </c>
      <c r="G716" s="7">
        <f ca="1">YEARFRAC(Table1[[#This Row],[Hire Date]], TODAY())</f>
        <v>11.3</v>
      </c>
      <c r="H716" s="7">
        <v>41916</v>
      </c>
      <c r="I716">
        <v>59</v>
      </c>
      <c r="J716" t="s">
        <v>43</v>
      </c>
      <c r="K716">
        <v>3</v>
      </c>
      <c r="L716" t="s">
        <v>44</v>
      </c>
      <c r="M716">
        <v>4054</v>
      </c>
      <c r="N716" t="s">
        <v>47</v>
      </c>
      <c r="O716" t="s">
        <v>51</v>
      </c>
      <c r="P716">
        <v>28</v>
      </c>
      <c r="Q716" t="s">
        <v>55</v>
      </c>
      <c r="R716" t="s">
        <v>61</v>
      </c>
      <c r="S716">
        <v>1</v>
      </c>
      <c r="T716">
        <v>2011</v>
      </c>
      <c r="U716" t="s">
        <v>65</v>
      </c>
      <c r="V716">
        <v>67</v>
      </c>
      <c r="W716">
        <v>2.1</v>
      </c>
    </row>
    <row r="717" spans="1:23" x14ac:dyDescent="0.35">
      <c r="A717">
        <v>10716</v>
      </c>
      <c r="B717" t="s">
        <v>25</v>
      </c>
      <c r="C717" t="s">
        <v>34</v>
      </c>
      <c r="D717" t="s">
        <v>39</v>
      </c>
      <c r="E717">
        <v>74653</v>
      </c>
      <c r="F717">
        <f ca="1">DATEDIF(Table1[[#This Row],[Hire Date]], TODAY(), "Y")</f>
        <v>16</v>
      </c>
      <c r="G717" s="7">
        <f ca="1">YEARFRAC(Table1[[#This Row],[Hire Date]], TODAY())</f>
        <v>16.608333333333334</v>
      </c>
      <c r="H717" s="7">
        <v>39977</v>
      </c>
      <c r="I717">
        <v>25</v>
      </c>
      <c r="J717" t="s">
        <v>42</v>
      </c>
      <c r="K717">
        <v>6</v>
      </c>
      <c r="L717" t="s">
        <v>45</v>
      </c>
      <c r="M717">
        <v>5655.87</v>
      </c>
      <c r="N717" t="s">
        <v>49</v>
      </c>
      <c r="O717" t="s">
        <v>51</v>
      </c>
      <c r="P717">
        <v>36</v>
      </c>
      <c r="Q717" t="s">
        <v>55</v>
      </c>
      <c r="R717" t="s">
        <v>58</v>
      </c>
      <c r="S717">
        <v>0</v>
      </c>
      <c r="T717">
        <v>2018</v>
      </c>
      <c r="U717" t="s">
        <v>64</v>
      </c>
      <c r="V717">
        <v>124</v>
      </c>
      <c r="W717">
        <v>1.5</v>
      </c>
    </row>
    <row r="718" spans="1:23" x14ac:dyDescent="0.35">
      <c r="A718">
        <v>10717</v>
      </c>
      <c r="B718" t="s">
        <v>24</v>
      </c>
      <c r="C718" t="s">
        <v>32</v>
      </c>
      <c r="D718" t="s">
        <v>38</v>
      </c>
      <c r="E718">
        <v>82802</v>
      </c>
      <c r="F718">
        <f ca="1">DATEDIF(Table1[[#This Row],[Hire Date]], TODAY(), "Y")</f>
        <v>25</v>
      </c>
      <c r="G718" s="7">
        <f ca="1">YEARFRAC(Table1[[#This Row],[Hire Date]], TODAY())</f>
        <v>25.238888888888887</v>
      </c>
      <c r="H718" s="7">
        <v>36825</v>
      </c>
      <c r="I718">
        <v>58</v>
      </c>
      <c r="J718" t="s">
        <v>42</v>
      </c>
      <c r="K718">
        <v>1</v>
      </c>
      <c r="L718" t="s">
        <v>45</v>
      </c>
      <c r="M718">
        <v>8586.82</v>
      </c>
      <c r="N718" t="s">
        <v>48</v>
      </c>
      <c r="O718" t="s">
        <v>54</v>
      </c>
      <c r="P718">
        <v>11</v>
      </c>
      <c r="Q718" t="s">
        <v>55</v>
      </c>
      <c r="R718" t="s">
        <v>59</v>
      </c>
      <c r="S718">
        <v>19</v>
      </c>
      <c r="T718">
        <v>2015</v>
      </c>
      <c r="U718" t="s">
        <v>65</v>
      </c>
      <c r="V718">
        <v>67</v>
      </c>
      <c r="W718">
        <v>2.1</v>
      </c>
    </row>
    <row r="719" spans="1:23" x14ac:dyDescent="0.35">
      <c r="A719">
        <v>10718</v>
      </c>
      <c r="B719" t="s">
        <v>22</v>
      </c>
      <c r="C719" t="s">
        <v>32</v>
      </c>
      <c r="D719" t="s">
        <v>40</v>
      </c>
      <c r="E719">
        <v>37549</v>
      </c>
      <c r="F719">
        <f ca="1">DATEDIF(Table1[[#This Row],[Hire Date]], TODAY(), "Y")</f>
        <v>15</v>
      </c>
      <c r="G719" s="7">
        <f ca="1">YEARFRAC(Table1[[#This Row],[Hire Date]], TODAY())</f>
        <v>15.936111111111112</v>
      </c>
      <c r="H719" s="7">
        <v>40224</v>
      </c>
      <c r="I719">
        <v>40</v>
      </c>
      <c r="J719" t="s">
        <v>43</v>
      </c>
      <c r="K719">
        <v>8</v>
      </c>
      <c r="L719" t="s">
        <v>44</v>
      </c>
      <c r="M719">
        <v>3672.99</v>
      </c>
      <c r="N719" t="s">
        <v>48</v>
      </c>
      <c r="O719" t="s">
        <v>51</v>
      </c>
      <c r="P719">
        <v>4</v>
      </c>
      <c r="Q719" t="s">
        <v>55</v>
      </c>
      <c r="R719" t="s">
        <v>63</v>
      </c>
      <c r="S719">
        <v>0</v>
      </c>
      <c r="T719">
        <v>2012</v>
      </c>
      <c r="U719" t="s">
        <v>65</v>
      </c>
      <c r="V719">
        <v>10</v>
      </c>
      <c r="W719">
        <v>3</v>
      </c>
    </row>
    <row r="720" spans="1:23" x14ac:dyDescent="0.35">
      <c r="A720">
        <v>10719</v>
      </c>
      <c r="B720" t="s">
        <v>25</v>
      </c>
      <c r="C720" t="s">
        <v>31</v>
      </c>
      <c r="D720" t="s">
        <v>38</v>
      </c>
      <c r="E720">
        <v>108933</v>
      </c>
      <c r="F720">
        <f ca="1">DATEDIF(Table1[[#This Row],[Hire Date]], TODAY(), "Y")</f>
        <v>14</v>
      </c>
      <c r="G720" s="7">
        <f ca="1">YEARFRAC(Table1[[#This Row],[Hire Date]], TODAY())</f>
        <v>14.963888888888889</v>
      </c>
      <c r="H720" s="7">
        <v>40579</v>
      </c>
      <c r="I720">
        <v>58</v>
      </c>
      <c r="J720" t="s">
        <v>42</v>
      </c>
      <c r="K720">
        <v>6</v>
      </c>
      <c r="L720" t="s">
        <v>45</v>
      </c>
      <c r="M720">
        <v>1851.44</v>
      </c>
      <c r="N720" t="s">
        <v>48</v>
      </c>
      <c r="O720" t="s">
        <v>52</v>
      </c>
      <c r="P720">
        <v>34</v>
      </c>
      <c r="Q720" t="s">
        <v>55</v>
      </c>
      <c r="R720" t="s">
        <v>60</v>
      </c>
      <c r="S720">
        <v>3</v>
      </c>
      <c r="T720">
        <v>2022</v>
      </c>
      <c r="U720" t="s">
        <v>66</v>
      </c>
      <c r="V720">
        <v>78</v>
      </c>
      <c r="W720">
        <v>4.3</v>
      </c>
    </row>
    <row r="721" spans="1:23" x14ac:dyDescent="0.35">
      <c r="A721">
        <v>10720</v>
      </c>
      <c r="B721" t="s">
        <v>22</v>
      </c>
      <c r="C721" t="s">
        <v>29</v>
      </c>
      <c r="D721" t="s">
        <v>41</v>
      </c>
      <c r="E721">
        <v>55362</v>
      </c>
      <c r="F721">
        <f ca="1">DATEDIF(Table1[[#This Row],[Hire Date]], TODAY(), "Y")</f>
        <v>6</v>
      </c>
      <c r="G721" s="7">
        <f ca="1">YEARFRAC(Table1[[#This Row],[Hire Date]], TODAY())</f>
        <v>6.4916666666666663</v>
      </c>
      <c r="H721" s="7">
        <v>43671</v>
      </c>
      <c r="I721">
        <v>35</v>
      </c>
      <c r="J721" t="s">
        <v>43</v>
      </c>
      <c r="K721">
        <v>1</v>
      </c>
      <c r="L721" t="s">
        <v>44</v>
      </c>
      <c r="M721">
        <v>3177.88</v>
      </c>
      <c r="N721" t="s">
        <v>49</v>
      </c>
      <c r="O721" t="s">
        <v>53</v>
      </c>
      <c r="P721">
        <v>1</v>
      </c>
      <c r="Q721" t="s">
        <v>55</v>
      </c>
      <c r="R721" t="s">
        <v>63</v>
      </c>
      <c r="S721">
        <v>14</v>
      </c>
      <c r="T721">
        <v>2023</v>
      </c>
      <c r="U721" t="s">
        <v>64</v>
      </c>
      <c r="V721">
        <v>56</v>
      </c>
      <c r="W721">
        <v>3.1</v>
      </c>
    </row>
    <row r="722" spans="1:23" x14ac:dyDescent="0.35">
      <c r="A722">
        <v>10721</v>
      </c>
      <c r="B722" t="s">
        <v>26</v>
      </c>
      <c r="C722" t="s">
        <v>29</v>
      </c>
      <c r="D722" t="s">
        <v>36</v>
      </c>
      <c r="E722">
        <v>77842</v>
      </c>
      <c r="F722">
        <f ca="1">DATEDIF(Table1[[#This Row],[Hire Date]], TODAY(), "Y")</f>
        <v>10</v>
      </c>
      <c r="G722" s="7">
        <f ca="1">YEARFRAC(Table1[[#This Row],[Hire Date]], TODAY())</f>
        <v>10.011111111111111</v>
      </c>
      <c r="H722" s="7">
        <v>42387</v>
      </c>
      <c r="I722">
        <v>52</v>
      </c>
      <c r="J722" t="s">
        <v>43</v>
      </c>
      <c r="K722">
        <v>2</v>
      </c>
      <c r="L722" t="s">
        <v>45</v>
      </c>
      <c r="M722">
        <v>9041.67</v>
      </c>
      <c r="N722" t="s">
        <v>49</v>
      </c>
      <c r="O722" t="s">
        <v>52</v>
      </c>
      <c r="P722">
        <v>10</v>
      </c>
      <c r="Q722" t="s">
        <v>55</v>
      </c>
      <c r="R722" t="s">
        <v>62</v>
      </c>
      <c r="S722">
        <v>14</v>
      </c>
      <c r="T722">
        <v>2019</v>
      </c>
      <c r="U722" t="s">
        <v>66</v>
      </c>
      <c r="V722">
        <v>25</v>
      </c>
      <c r="W722">
        <v>2</v>
      </c>
    </row>
    <row r="723" spans="1:23" x14ac:dyDescent="0.35">
      <c r="A723">
        <v>10722</v>
      </c>
      <c r="B723" t="s">
        <v>24</v>
      </c>
      <c r="C723" t="s">
        <v>34</v>
      </c>
      <c r="D723" t="s">
        <v>39</v>
      </c>
      <c r="E723">
        <v>76539</v>
      </c>
      <c r="F723">
        <f ca="1">DATEDIF(Table1[[#This Row],[Hire Date]], TODAY(), "Y")</f>
        <v>12</v>
      </c>
      <c r="G723" s="7">
        <f ca="1">YEARFRAC(Table1[[#This Row],[Hire Date]], TODAY())</f>
        <v>12.752777777777778</v>
      </c>
      <c r="H723" s="7">
        <v>41385</v>
      </c>
      <c r="I723">
        <v>49</v>
      </c>
      <c r="J723" t="s">
        <v>43</v>
      </c>
      <c r="K723">
        <v>6</v>
      </c>
      <c r="L723" t="s">
        <v>44</v>
      </c>
      <c r="M723">
        <v>2014.23</v>
      </c>
      <c r="N723" t="s">
        <v>46</v>
      </c>
      <c r="O723" t="s">
        <v>54</v>
      </c>
      <c r="P723">
        <v>17</v>
      </c>
      <c r="Q723" t="s">
        <v>55</v>
      </c>
      <c r="R723" t="s">
        <v>60</v>
      </c>
      <c r="S723">
        <v>5</v>
      </c>
      <c r="T723">
        <v>2020</v>
      </c>
      <c r="U723" t="s">
        <v>65</v>
      </c>
      <c r="V723">
        <v>146</v>
      </c>
      <c r="W723">
        <v>1.2</v>
      </c>
    </row>
    <row r="724" spans="1:23" x14ac:dyDescent="0.35">
      <c r="A724">
        <v>10723</v>
      </c>
      <c r="B724" t="s">
        <v>22</v>
      </c>
      <c r="C724" t="s">
        <v>30</v>
      </c>
      <c r="D724" t="s">
        <v>40</v>
      </c>
      <c r="E724">
        <v>63717</v>
      </c>
      <c r="F724">
        <f ca="1">DATEDIF(Table1[[#This Row],[Hire Date]], TODAY(), "Y")</f>
        <v>25</v>
      </c>
      <c r="G724" s="7">
        <f ca="1">YEARFRAC(Table1[[#This Row],[Hire Date]], TODAY())</f>
        <v>25.380555555555556</v>
      </c>
      <c r="H724" s="7">
        <v>36774</v>
      </c>
      <c r="I724">
        <v>57</v>
      </c>
      <c r="J724" t="s">
        <v>42</v>
      </c>
      <c r="K724">
        <v>8</v>
      </c>
      <c r="L724" t="s">
        <v>44</v>
      </c>
      <c r="M724">
        <v>3627.6</v>
      </c>
      <c r="N724" t="s">
        <v>47</v>
      </c>
      <c r="O724" t="s">
        <v>52</v>
      </c>
      <c r="P724">
        <v>7</v>
      </c>
      <c r="Q724" t="s">
        <v>55</v>
      </c>
      <c r="R724" t="s">
        <v>58</v>
      </c>
      <c r="S724">
        <v>5</v>
      </c>
      <c r="T724">
        <v>2014</v>
      </c>
      <c r="U724" t="s">
        <v>64</v>
      </c>
      <c r="V724">
        <v>120</v>
      </c>
      <c r="W724">
        <v>3.5</v>
      </c>
    </row>
    <row r="725" spans="1:23" x14ac:dyDescent="0.35">
      <c r="A725">
        <v>10724</v>
      </c>
      <c r="B725" t="s">
        <v>28</v>
      </c>
      <c r="C725" t="s">
        <v>31</v>
      </c>
      <c r="D725" t="s">
        <v>39</v>
      </c>
      <c r="E725">
        <v>84596</v>
      </c>
      <c r="F725">
        <f ca="1">DATEDIF(Table1[[#This Row],[Hire Date]], TODAY(), "Y")</f>
        <v>19</v>
      </c>
      <c r="G725" s="7">
        <f ca="1">YEARFRAC(Table1[[#This Row],[Hire Date]], TODAY())</f>
        <v>19.027777777777779</v>
      </c>
      <c r="H725" s="7">
        <v>39094</v>
      </c>
      <c r="I725">
        <v>59</v>
      </c>
      <c r="J725" t="s">
        <v>43</v>
      </c>
      <c r="K725">
        <v>5</v>
      </c>
      <c r="L725" t="s">
        <v>44</v>
      </c>
      <c r="M725">
        <v>4914.08</v>
      </c>
      <c r="N725" t="s">
        <v>46</v>
      </c>
      <c r="O725" t="s">
        <v>52</v>
      </c>
      <c r="P725">
        <v>39</v>
      </c>
      <c r="Q725" t="s">
        <v>55</v>
      </c>
      <c r="R725" t="s">
        <v>60</v>
      </c>
      <c r="S725">
        <v>0</v>
      </c>
      <c r="T725">
        <v>2015</v>
      </c>
      <c r="U725" t="s">
        <v>65</v>
      </c>
      <c r="V725">
        <v>62</v>
      </c>
      <c r="W725">
        <v>2.7</v>
      </c>
    </row>
    <row r="726" spans="1:23" x14ac:dyDescent="0.35">
      <c r="A726">
        <v>10725</v>
      </c>
      <c r="B726" t="s">
        <v>28</v>
      </c>
      <c r="C726" t="s">
        <v>31</v>
      </c>
      <c r="D726" t="s">
        <v>38</v>
      </c>
      <c r="E726">
        <v>53016</v>
      </c>
      <c r="F726">
        <f ca="1">DATEDIF(Table1[[#This Row],[Hire Date]], TODAY(), "Y")</f>
        <v>14</v>
      </c>
      <c r="G726" s="7">
        <f ca="1">YEARFRAC(Table1[[#This Row],[Hire Date]], TODAY())</f>
        <v>14.75</v>
      </c>
      <c r="H726" s="7">
        <v>40655</v>
      </c>
      <c r="I726">
        <v>40</v>
      </c>
      <c r="J726" t="s">
        <v>42</v>
      </c>
      <c r="K726">
        <v>1</v>
      </c>
      <c r="L726" t="s">
        <v>44</v>
      </c>
      <c r="M726">
        <v>8547.58</v>
      </c>
      <c r="N726" t="s">
        <v>47</v>
      </c>
      <c r="O726" t="s">
        <v>53</v>
      </c>
      <c r="P726">
        <v>13</v>
      </c>
      <c r="Q726" t="s">
        <v>56</v>
      </c>
      <c r="R726" t="s">
        <v>60</v>
      </c>
      <c r="S726">
        <v>6</v>
      </c>
      <c r="T726">
        <v>2018</v>
      </c>
      <c r="U726" t="s">
        <v>65</v>
      </c>
      <c r="V726">
        <v>157</v>
      </c>
      <c r="W726">
        <v>4.9000000000000004</v>
      </c>
    </row>
    <row r="727" spans="1:23" x14ac:dyDescent="0.35">
      <c r="A727">
        <v>10726</v>
      </c>
      <c r="B727" t="s">
        <v>23</v>
      </c>
      <c r="C727" t="s">
        <v>31</v>
      </c>
      <c r="D727" t="s">
        <v>37</v>
      </c>
      <c r="E727">
        <v>85200</v>
      </c>
      <c r="F727">
        <f ca="1">DATEDIF(Table1[[#This Row],[Hire Date]], TODAY(), "Y")</f>
        <v>14</v>
      </c>
      <c r="G727" s="7">
        <f ca="1">YEARFRAC(Table1[[#This Row],[Hire Date]], TODAY())</f>
        <v>14.222222222222221</v>
      </c>
      <c r="H727" s="7">
        <v>40849</v>
      </c>
      <c r="I727">
        <v>63</v>
      </c>
      <c r="J727" t="s">
        <v>43</v>
      </c>
      <c r="K727">
        <v>2</v>
      </c>
      <c r="L727" t="s">
        <v>45</v>
      </c>
      <c r="M727">
        <v>9408.2800000000007</v>
      </c>
      <c r="N727" t="s">
        <v>49</v>
      </c>
      <c r="O727" t="s">
        <v>53</v>
      </c>
      <c r="P727">
        <v>22</v>
      </c>
      <c r="Q727" t="s">
        <v>57</v>
      </c>
      <c r="R727" t="s">
        <v>63</v>
      </c>
      <c r="S727">
        <v>4</v>
      </c>
      <c r="T727">
        <v>2014</v>
      </c>
      <c r="U727" t="s">
        <v>65</v>
      </c>
      <c r="V727">
        <v>60</v>
      </c>
      <c r="W727">
        <v>4.0999999999999996</v>
      </c>
    </row>
    <row r="728" spans="1:23" x14ac:dyDescent="0.35">
      <c r="A728">
        <v>10727</v>
      </c>
      <c r="B728" t="s">
        <v>24</v>
      </c>
      <c r="C728" t="s">
        <v>34</v>
      </c>
      <c r="D728" t="s">
        <v>41</v>
      </c>
      <c r="E728">
        <v>110268</v>
      </c>
      <c r="F728">
        <f ca="1">DATEDIF(Table1[[#This Row],[Hire Date]], TODAY(), "Y")</f>
        <v>13</v>
      </c>
      <c r="G728" s="7">
        <f ca="1">YEARFRAC(Table1[[#This Row],[Hire Date]], TODAY())</f>
        <v>13.244444444444444</v>
      </c>
      <c r="H728" s="7">
        <v>41206</v>
      </c>
      <c r="I728">
        <v>22</v>
      </c>
      <c r="J728" t="s">
        <v>43</v>
      </c>
      <c r="K728">
        <v>4</v>
      </c>
      <c r="L728" t="s">
        <v>44</v>
      </c>
      <c r="M728">
        <v>4545.2</v>
      </c>
      <c r="N728" t="s">
        <v>48</v>
      </c>
      <c r="O728" t="s">
        <v>50</v>
      </c>
      <c r="P728">
        <v>1</v>
      </c>
      <c r="Q728" t="s">
        <v>56</v>
      </c>
      <c r="R728" t="s">
        <v>60</v>
      </c>
      <c r="S728">
        <v>16</v>
      </c>
      <c r="T728">
        <v>2018</v>
      </c>
      <c r="U728" t="s">
        <v>64</v>
      </c>
      <c r="V728">
        <v>87</v>
      </c>
      <c r="W728">
        <v>4.2</v>
      </c>
    </row>
    <row r="729" spans="1:23" x14ac:dyDescent="0.35">
      <c r="A729">
        <v>10728</v>
      </c>
      <c r="B729" t="s">
        <v>24</v>
      </c>
      <c r="C729" t="s">
        <v>29</v>
      </c>
      <c r="D729" t="s">
        <v>36</v>
      </c>
      <c r="E729">
        <v>90287</v>
      </c>
      <c r="F729">
        <f ca="1">DATEDIF(Table1[[#This Row],[Hire Date]], TODAY(), "Y")</f>
        <v>6</v>
      </c>
      <c r="G729" s="7">
        <f ca="1">YEARFRAC(Table1[[#This Row],[Hire Date]], TODAY())</f>
        <v>6.6138888888888889</v>
      </c>
      <c r="H729" s="7">
        <v>43627</v>
      </c>
      <c r="I729">
        <v>44</v>
      </c>
      <c r="J729" t="s">
        <v>43</v>
      </c>
      <c r="K729">
        <v>4</v>
      </c>
      <c r="L729" t="s">
        <v>44</v>
      </c>
      <c r="M729">
        <v>9353.56</v>
      </c>
      <c r="N729" t="s">
        <v>46</v>
      </c>
      <c r="O729" t="s">
        <v>52</v>
      </c>
      <c r="P729">
        <v>28</v>
      </c>
      <c r="Q729" t="s">
        <v>57</v>
      </c>
      <c r="R729" t="s">
        <v>61</v>
      </c>
      <c r="S729">
        <v>6</v>
      </c>
      <c r="T729">
        <v>2010</v>
      </c>
      <c r="U729" t="s">
        <v>65</v>
      </c>
      <c r="V729">
        <v>13</v>
      </c>
      <c r="W729">
        <v>1</v>
      </c>
    </row>
    <row r="730" spans="1:23" x14ac:dyDescent="0.35">
      <c r="A730">
        <v>10729</v>
      </c>
      <c r="B730" t="s">
        <v>23</v>
      </c>
      <c r="C730" t="s">
        <v>30</v>
      </c>
      <c r="D730" t="s">
        <v>41</v>
      </c>
      <c r="E730">
        <v>113402</v>
      </c>
      <c r="F730">
        <f ca="1">DATEDIF(Table1[[#This Row],[Hire Date]], TODAY(), "Y")</f>
        <v>18</v>
      </c>
      <c r="G730" s="7">
        <f ca="1">YEARFRAC(Table1[[#This Row],[Hire Date]], TODAY())</f>
        <v>18.227777777777778</v>
      </c>
      <c r="H730" s="7">
        <v>39386</v>
      </c>
      <c r="I730">
        <v>49</v>
      </c>
      <c r="J730" t="s">
        <v>43</v>
      </c>
      <c r="K730">
        <v>7</v>
      </c>
      <c r="L730" t="s">
        <v>45</v>
      </c>
      <c r="M730">
        <v>2033.86</v>
      </c>
      <c r="N730" t="s">
        <v>49</v>
      </c>
      <c r="O730" t="s">
        <v>53</v>
      </c>
      <c r="P730">
        <v>33</v>
      </c>
      <c r="Q730" t="s">
        <v>56</v>
      </c>
      <c r="R730" t="s">
        <v>59</v>
      </c>
      <c r="S730">
        <v>3</v>
      </c>
      <c r="T730">
        <v>2021</v>
      </c>
      <c r="U730" t="s">
        <v>64</v>
      </c>
      <c r="V730">
        <v>168</v>
      </c>
      <c r="W730">
        <v>4.0999999999999996</v>
      </c>
    </row>
    <row r="731" spans="1:23" x14ac:dyDescent="0.35">
      <c r="A731">
        <v>10730</v>
      </c>
      <c r="B731" t="s">
        <v>22</v>
      </c>
      <c r="C731" t="s">
        <v>31</v>
      </c>
      <c r="D731" t="s">
        <v>37</v>
      </c>
      <c r="E731">
        <v>72607</v>
      </c>
      <c r="F731">
        <f ca="1">DATEDIF(Table1[[#This Row],[Hire Date]], TODAY(), "Y")</f>
        <v>24</v>
      </c>
      <c r="G731" s="7">
        <f ca="1">YEARFRAC(Table1[[#This Row],[Hire Date]], TODAY())</f>
        <v>24.077777777777779</v>
      </c>
      <c r="H731" s="7">
        <v>37249</v>
      </c>
      <c r="I731">
        <v>25</v>
      </c>
      <c r="J731" t="s">
        <v>42</v>
      </c>
      <c r="K731">
        <v>2</v>
      </c>
      <c r="L731" t="s">
        <v>45</v>
      </c>
      <c r="M731">
        <v>1990.1</v>
      </c>
      <c r="N731" t="s">
        <v>49</v>
      </c>
      <c r="O731" t="s">
        <v>52</v>
      </c>
      <c r="P731">
        <v>13</v>
      </c>
      <c r="Q731" t="s">
        <v>57</v>
      </c>
      <c r="R731" t="s">
        <v>60</v>
      </c>
      <c r="S731">
        <v>2</v>
      </c>
      <c r="T731">
        <v>2019</v>
      </c>
      <c r="U731" t="s">
        <v>65</v>
      </c>
      <c r="V731">
        <v>189</v>
      </c>
      <c r="W731">
        <v>1.8</v>
      </c>
    </row>
    <row r="732" spans="1:23" x14ac:dyDescent="0.35">
      <c r="A732">
        <v>10731</v>
      </c>
      <c r="B732" t="s">
        <v>24</v>
      </c>
      <c r="C732" t="s">
        <v>30</v>
      </c>
      <c r="D732" t="s">
        <v>36</v>
      </c>
      <c r="E732">
        <v>57621</v>
      </c>
      <c r="F732">
        <f ca="1">DATEDIF(Table1[[#This Row],[Hire Date]], TODAY(), "Y")</f>
        <v>7</v>
      </c>
      <c r="G732" s="7">
        <f ca="1">YEARFRAC(Table1[[#This Row],[Hire Date]], TODAY())</f>
        <v>7.6388888888888893</v>
      </c>
      <c r="H732" s="7">
        <v>43253</v>
      </c>
      <c r="I732">
        <v>62</v>
      </c>
      <c r="J732" t="s">
        <v>42</v>
      </c>
      <c r="K732">
        <v>7</v>
      </c>
      <c r="L732" t="s">
        <v>44</v>
      </c>
      <c r="M732">
        <v>9517.8799999999992</v>
      </c>
      <c r="N732" t="s">
        <v>49</v>
      </c>
      <c r="O732" t="s">
        <v>52</v>
      </c>
      <c r="P732">
        <v>1</v>
      </c>
      <c r="Q732" t="s">
        <v>57</v>
      </c>
      <c r="R732" t="s">
        <v>63</v>
      </c>
      <c r="S732">
        <v>11</v>
      </c>
      <c r="T732">
        <v>2013</v>
      </c>
      <c r="U732" t="s">
        <v>66</v>
      </c>
      <c r="V732">
        <v>137</v>
      </c>
      <c r="W732">
        <v>3.3</v>
      </c>
    </row>
    <row r="733" spans="1:23" x14ac:dyDescent="0.35">
      <c r="A733">
        <v>10732</v>
      </c>
      <c r="B733" t="s">
        <v>28</v>
      </c>
      <c r="C733" t="s">
        <v>33</v>
      </c>
      <c r="D733" t="s">
        <v>37</v>
      </c>
      <c r="E733">
        <v>42823</v>
      </c>
      <c r="F733">
        <f ca="1">DATEDIF(Table1[[#This Row],[Hire Date]], TODAY(), "Y")</f>
        <v>24</v>
      </c>
      <c r="G733" s="7">
        <f ca="1">YEARFRAC(Table1[[#This Row],[Hire Date]], TODAY())</f>
        <v>24.497222222222224</v>
      </c>
      <c r="H733" s="7">
        <v>37095</v>
      </c>
      <c r="I733">
        <v>39</v>
      </c>
      <c r="J733" t="s">
        <v>43</v>
      </c>
      <c r="K733">
        <v>7</v>
      </c>
      <c r="L733" t="s">
        <v>44</v>
      </c>
      <c r="M733">
        <v>5341.96</v>
      </c>
      <c r="N733" t="s">
        <v>46</v>
      </c>
      <c r="O733" t="s">
        <v>54</v>
      </c>
      <c r="P733">
        <v>38</v>
      </c>
      <c r="Q733" t="s">
        <v>57</v>
      </c>
      <c r="R733" t="s">
        <v>61</v>
      </c>
      <c r="S733">
        <v>14</v>
      </c>
      <c r="T733">
        <v>2010</v>
      </c>
      <c r="U733" t="s">
        <v>64</v>
      </c>
      <c r="V733">
        <v>85</v>
      </c>
      <c r="W733">
        <v>2.8</v>
      </c>
    </row>
    <row r="734" spans="1:23" x14ac:dyDescent="0.35">
      <c r="A734">
        <v>10733</v>
      </c>
      <c r="B734" t="s">
        <v>28</v>
      </c>
      <c r="C734" t="s">
        <v>32</v>
      </c>
      <c r="D734" t="s">
        <v>41</v>
      </c>
      <c r="E734">
        <v>59986</v>
      </c>
      <c r="F734">
        <f ca="1">DATEDIF(Table1[[#This Row],[Hire Date]], TODAY(), "Y")</f>
        <v>25</v>
      </c>
      <c r="G734" s="7">
        <f ca="1">YEARFRAC(Table1[[#This Row],[Hire Date]], TODAY())</f>
        <v>25.458333333333332</v>
      </c>
      <c r="H734" s="7">
        <v>36745</v>
      </c>
      <c r="I734">
        <v>60</v>
      </c>
      <c r="J734" t="s">
        <v>43</v>
      </c>
      <c r="K734">
        <v>7</v>
      </c>
      <c r="L734" t="s">
        <v>45</v>
      </c>
      <c r="M734">
        <v>2266.12</v>
      </c>
      <c r="N734" t="s">
        <v>49</v>
      </c>
      <c r="O734" t="s">
        <v>54</v>
      </c>
      <c r="P734">
        <v>25</v>
      </c>
      <c r="Q734" t="s">
        <v>56</v>
      </c>
      <c r="R734" t="s">
        <v>58</v>
      </c>
      <c r="S734">
        <v>19</v>
      </c>
      <c r="T734">
        <v>2011</v>
      </c>
      <c r="U734" t="s">
        <v>65</v>
      </c>
      <c r="V734">
        <v>98</v>
      </c>
      <c r="W734">
        <v>3.3</v>
      </c>
    </row>
    <row r="735" spans="1:23" x14ac:dyDescent="0.35">
      <c r="A735">
        <v>10734</v>
      </c>
      <c r="B735" t="s">
        <v>25</v>
      </c>
      <c r="C735" t="s">
        <v>32</v>
      </c>
      <c r="D735" t="s">
        <v>38</v>
      </c>
      <c r="E735">
        <v>94325</v>
      </c>
      <c r="F735">
        <f ca="1">DATEDIF(Table1[[#This Row],[Hire Date]], TODAY(), "Y")</f>
        <v>22</v>
      </c>
      <c r="G735" s="7">
        <f ca="1">YEARFRAC(Table1[[#This Row],[Hire Date]], TODAY())</f>
        <v>22.238888888888887</v>
      </c>
      <c r="H735" s="7">
        <v>37920</v>
      </c>
      <c r="I735">
        <v>46</v>
      </c>
      <c r="J735" t="s">
        <v>43</v>
      </c>
      <c r="K735">
        <v>3</v>
      </c>
      <c r="L735" t="s">
        <v>44</v>
      </c>
      <c r="M735">
        <v>5135.91</v>
      </c>
      <c r="N735" t="s">
        <v>47</v>
      </c>
      <c r="O735" t="s">
        <v>52</v>
      </c>
      <c r="P735">
        <v>21</v>
      </c>
      <c r="Q735" t="s">
        <v>57</v>
      </c>
      <c r="R735" t="s">
        <v>62</v>
      </c>
      <c r="S735">
        <v>8</v>
      </c>
      <c r="T735">
        <v>2011</v>
      </c>
      <c r="U735" t="s">
        <v>66</v>
      </c>
      <c r="V735">
        <v>139</v>
      </c>
      <c r="W735">
        <v>1.5</v>
      </c>
    </row>
    <row r="736" spans="1:23" x14ac:dyDescent="0.35">
      <c r="A736">
        <v>10735</v>
      </c>
      <c r="B736" t="s">
        <v>26</v>
      </c>
      <c r="C736" t="s">
        <v>30</v>
      </c>
      <c r="D736" t="s">
        <v>41</v>
      </c>
      <c r="E736">
        <v>87771</v>
      </c>
      <c r="F736">
        <f ca="1">DATEDIF(Table1[[#This Row],[Hire Date]], TODAY(), "Y")</f>
        <v>18</v>
      </c>
      <c r="G736" s="7">
        <f ca="1">YEARFRAC(Table1[[#This Row],[Hire Date]], TODAY())</f>
        <v>18.297222222222221</v>
      </c>
      <c r="H736" s="7">
        <v>39360</v>
      </c>
      <c r="I736">
        <v>39</v>
      </c>
      <c r="J736" t="s">
        <v>42</v>
      </c>
      <c r="K736">
        <v>6</v>
      </c>
      <c r="L736" t="s">
        <v>45</v>
      </c>
      <c r="M736">
        <v>7940.51</v>
      </c>
      <c r="N736" t="s">
        <v>47</v>
      </c>
      <c r="O736" t="s">
        <v>54</v>
      </c>
      <c r="P736">
        <v>33</v>
      </c>
      <c r="Q736" t="s">
        <v>55</v>
      </c>
      <c r="R736" t="s">
        <v>60</v>
      </c>
      <c r="S736">
        <v>11</v>
      </c>
      <c r="T736">
        <v>2019</v>
      </c>
      <c r="U736" t="s">
        <v>64</v>
      </c>
      <c r="V736">
        <v>138</v>
      </c>
      <c r="W736">
        <v>2.8</v>
      </c>
    </row>
    <row r="737" spans="1:23" x14ac:dyDescent="0.35">
      <c r="A737">
        <v>10736</v>
      </c>
      <c r="B737" t="s">
        <v>24</v>
      </c>
      <c r="C737" t="s">
        <v>35</v>
      </c>
      <c r="D737" t="s">
        <v>41</v>
      </c>
      <c r="E737">
        <v>84973</v>
      </c>
      <c r="F737">
        <f ca="1">DATEDIF(Table1[[#This Row],[Hire Date]], TODAY(), "Y")</f>
        <v>7</v>
      </c>
      <c r="G737" s="7">
        <f ca="1">YEARFRAC(Table1[[#This Row],[Hire Date]], TODAY())</f>
        <v>7.791666666666667</v>
      </c>
      <c r="H737" s="7">
        <v>43197</v>
      </c>
      <c r="I737">
        <v>27</v>
      </c>
      <c r="J737" t="s">
        <v>43</v>
      </c>
      <c r="K737">
        <v>6</v>
      </c>
      <c r="L737" t="s">
        <v>45</v>
      </c>
      <c r="M737">
        <v>8355.74</v>
      </c>
      <c r="N737" t="s">
        <v>48</v>
      </c>
      <c r="O737" t="s">
        <v>53</v>
      </c>
      <c r="P737">
        <v>37</v>
      </c>
      <c r="Q737" t="s">
        <v>57</v>
      </c>
      <c r="R737" t="s">
        <v>61</v>
      </c>
      <c r="S737">
        <v>4</v>
      </c>
      <c r="T737">
        <v>2020</v>
      </c>
      <c r="U737" t="s">
        <v>66</v>
      </c>
      <c r="V737">
        <v>56</v>
      </c>
      <c r="W737">
        <v>1.1000000000000001</v>
      </c>
    </row>
    <row r="738" spans="1:23" x14ac:dyDescent="0.35">
      <c r="A738">
        <v>10737</v>
      </c>
      <c r="B738" t="s">
        <v>22</v>
      </c>
      <c r="C738" t="s">
        <v>35</v>
      </c>
      <c r="D738" t="s">
        <v>41</v>
      </c>
      <c r="E738">
        <v>44690</v>
      </c>
      <c r="F738">
        <f ca="1">DATEDIF(Table1[[#This Row],[Hire Date]], TODAY(), "Y")</f>
        <v>20</v>
      </c>
      <c r="G738" s="7">
        <f ca="1">YEARFRAC(Table1[[#This Row],[Hire Date]], TODAY())</f>
        <v>20.247222222222224</v>
      </c>
      <c r="H738" s="7">
        <v>38648</v>
      </c>
      <c r="I738">
        <v>40</v>
      </c>
      <c r="J738" t="s">
        <v>43</v>
      </c>
      <c r="K738">
        <v>4</v>
      </c>
      <c r="L738" t="s">
        <v>44</v>
      </c>
      <c r="M738">
        <v>8707.7099999999991</v>
      </c>
      <c r="N738" t="s">
        <v>46</v>
      </c>
      <c r="O738" t="s">
        <v>52</v>
      </c>
      <c r="P738">
        <v>34</v>
      </c>
      <c r="Q738" t="s">
        <v>56</v>
      </c>
      <c r="R738" t="s">
        <v>61</v>
      </c>
      <c r="S738">
        <v>7</v>
      </c>
      <c r="T738">
        <v>2014</v>
      </c>
      <c r="U738" t="s">
        <v>65</v>
      </c>
      <c r="V738">
        <v>110</v>
      </c>
      <c r="W738">
        <v>1.2</v>
      </c>
    </row>
    <row r="739" spans="1:23" x14ac:dyDescent="0.35">
      <c r="A739">
        <v>10738</v>
      </c>
      <c r="B739" t="s">
        <v>23</v>
      </c>
      <c r="C739" t="s">
        <v>34</v>
      </c>
      <c r="D739" t="s">
        <v>40</v>
      </c>
      <c r="E739">
        <v>69107</v>
      </c>
      <c r="F739">
        <f ca="1">DATEDIF(Table1[[#This Row],[Hire Date]], TODAY(), "Y")</f>
        <v>10</v>
      </c>
      <c r="G739" s="7">
        <f ca="1">YEARFRAC(Table1[[#This Row],[Hire Date]], TODAY())</f>
        <v>10.35</v>
      </c>
      <c r="H739" s="7">
        <v>42263</v>
      </c>
      <c r="I739">
        <v>33</v>
      </c>
      <c r="J739" t="s">
        <v>42</v>
      </c>
      <c r="K739">
        <v>1</v>
      </c>
      <c r="L739" t="s">
        <v>45</v>
      </c>
      <c r="M739">
        <v>5910.92</v>
      </c>
      <c r="N739" t="s">
        <v>46</v>
      </c>
      <c r="O739" t="s">
        <v>54</v>
      </c>
      <c r="P739">
        <v>3</v>
      </c>
      <c r="Q739" t="s">
        <v>56</v>
      </c>
      <c r="R739" t="s">
        <v>58</v>
      </c>
      <c r="S739">
        <v>14</v>
      </c>
      <c r="T739">
        <v>2010</v>
      </c>
      <c r="U739" t="s">
        <v>66</v>
      </c>
      <c r="V739">
        <v>59</v>
      </c>
      <c r="W739">
        <v>3.6</v>
      </c>
    </row>
    <row r="740" spans="1:23" x14ac:dyDescent="0.35">
      <c r="A740">
        <v>10739</v>
      </c>
      <c r="B740" t="s">
        <v>23</v>
      </c>
      <c r="C740" t="s">
        <v>34</v>
      </c>
      <c r="D740" t="s">
        <v>37</v>
      </c>
      <c r="E740">
        <v>87888</v>
      </c>
      <c r="F740">
        <f ca="1">DATEDIF(Table1[[#This Row],[Hire Date]], TODAY(), "Y")</f>
        <v>14</v>
      </c>
      <c r="G740" s="7">
        <f ca="1">YEARFRAC(Table1[[#This Row],[Hire Date]], TODAY())</f>
        <v>14.472222222222221</v>
      </c>
      <c r="H740" s="7">
        <v>40757</v>
      </c>
      <c r="I740">
        <v>46</v>
      </c>
      <c r="J740" t="s">
        <v>43</v>
      </c>
      <c r="K740">
        <v>9</v>
      </c>
      <c r="L740" t="s">
        <v>45</v>
      </c>
      <c r="M740">
        <v>8735.99</v>
      </c>
      <c r="N740" t="s">
        <v>46</v>
      </c>
      <c r="O740" t="s">
        <v>53</v>
      </c>
      <c r="P740">
        <v>30</v>
      </c>
      <c r="Q740" t="s">
        <v>55</v>
      </c>
      <c r="R740" t="s">
        <v>58</v>
      </c>
      <c r="S740">
        <v>6</v>
      </c>
      <c r="T740">
        <v>2019</v>
      </c>
      <c r="U740" t="s">
        <v>65</v>
      </c>
      <c r="V740">
        <v>18</v>
      </c>
      <c r="W740">
        <v>4.8</v>
      </c>
    </row>
    <row r="741" spans="1:23" x14ac:dyDescent="0.35">
      <c r="A741">
        <v>10740</v>
      </c>
      <c r="B741" t="s">
        <v>22</v>
      </c>
      <c r="C741" t="s">
        <v>32</v>
      </c>
      <c r="D741" t="s">
        <v>37</v>
      </c>
      <c r="E741">
        <v>40956</v>
      </c>
      <c r="F741">
        <f ca="1">DATEDIF(Table1[[#This Row],[Hire Date]], TODAY(), "Y")</f>
        <v>15</v>
      </c>
      <c r="G741" s="7">
        <f ca="1">YEARFRAC(Table1[[#This Row],[Hire Date]], TODAY())</f>
        <v>15.105555555555556</v>
      </c>
      <c r="H741" s="7">
        <v>40526</v>
      </c>
      <c r="I741">
        <v>56</v>
      </c>
      <c r="J741" t="s">
        <v>43</v>
      </c>
      <c r="K741">
        <v>2</v>
      </c>
      <c r="L741" t="s">
        <v>44</v>
      </c>
      <c r="M741">
        <v>5345.29</v>
      </c>
      <c r="N741" t="s">
        <v>46</v>
      </c>
      <c r="O741" t="s">
        <v>52</v>
      </c>
      <c r="P741">
        <v>3</v>
      </c>
      <c r="Q741" t="s">
        <v>57</v>
      </c>
      <c r="R741" t="s">
        <v>62</v>
      </c>
      <c r="S741">
        <v>18</v>
      </c>
      <c r="T741">
        <v>2023</v>
      </c>
      <c r="U741" t="s">
        <v>65</v>
      </c>
      <c r="V741">
        <v>133</v>
      </c>
      <c r="W741">
        <v>4.0999999999999996</v>
      </c>
    </row>
    <row r="742" spans="1:23" x14ac:dyDescent="0.35">
      <c r="A742">
        <v>10741</v>
      </c>
      <c r="B742" t="s">
        <v>21</v>
      </c>
      <c r="C742" t="s">
        <v>33</v>
      </c>
      <c r="D742" t="s">
        <v>39</v>
      </c>
      <c r="E742">
        <v>116839</v>
      </c>
      <c r="F742">
        <f ca="1">DATEDIF(Table1[[#This Row],[Hire Date]], TODAY(), "Y")</f>
        <v>9</v>
      </c>
      <c r="G742" s="7">
        <f ca="1">YEARFRAC(Table1[[#This Row],[Hire Date]], TODAY())</f>
        <v>9.0388888888888896</v>
      </c>
      <c r="H742" s="7">
        <v>42743</v>
      </c>
      <c r="I742">
        <v>22</v>
      </c>
      <c r="J742" t="s">
        <v>43</v>
      </c>
      <c r="K742">
        <v>9</v>
      </c>
      <c r="L742" t="s">
        <v>45</v>
      </c>
      <c r="M742">
        <v>6267.07</v>
      </c>
      <c r="N742" t="s">
        <v>46</v>
      </c>
      <c r="O742" t="s">
        <v>52</v>
      </c>
      <c r="P742">
        <v>18</v>
      </c>
      <c r="Q742" t="s">
        <v>56</v>
      </c>
      <c r="R742" t="s">
        <v>62</v>
      </c>
      <c r="S742">
        <v>12</v>
      </c>
      <c r="T742">
        <v>2012</v>
      </c>
      <c r="U742" t="s">
        <v>64</v>
      </c>
      <c r="V742">
        <v>169</v>
      </c>
      <c r="W742">
        <v>2.9</v>
      </c>
    </row>
    <row r="743" spans="1:23" x14ac:dyDescent="0.35">
      <c r="A743">
        <v>10742</v>
      </c>
      <c r="B743" t="s">
        <v>27</v>
      </c>
      <c r="C743" t="s">
        <v>29</v>
      </c>
      <c r="D743" t="s">
        <v>37</v>
      </c>
      <c r="E743">
        <v>86227</v>
      </c>
      <c r="F743">
        <f ca="1">DATEDIF(Table1[[#This Row],[Hire Date]], TODAY(), "Y")</f>
        <v>14</v>
      </c>
      <c r="G743" s="7">
        <f ca="1">YEARFRAC(Table1[[#This Row],[Hire Date]], TODAY())</f>
        <v>14.15</v>
      </c>
      <c r="H743" s="7">
        <v>40875</v>
      </c>
      <c r="I743">
        <v>26</v>
      </c>
      <c r="J743" t="s">
        <v>43</v>
      </c>
      <c r="K743">
        <v>8</v>
      </c>
      <c r="L743" t="s">
        <v>45</v>
      </c>
      <c r="M743">
        <v>7707.84</v>
      </c>
      <c r="N743" t="s">
        <v>49</v>
      </c>
      <c r="O743" t="s">
        <v>54</v>
      </c>
      <c r="P743">
        <v>23</v>
      </c>
      <c r="Q743" t="s">
        <v>57</v>
      </c>
      <c r="R743" t="s">
        <v>63</v>
      </c>
      <c r="S743">
        <v>0</v>
      </c>
      <c r="T743">
        <v>2020</v>
      </c>
      <c r="U743" t="s">
        <v>65</v>
      </c>
      <c r="V743">
        <v>53</v>
      </c>
      <c r="W743">
        <v>1.2</v>
      </c>
    </row>
    <row r="744" spans="1:23" x14ac:dyDescent="0.35">
      <c r="A744">
        <v>10743</v>
      </c>
      <c r="B744" t="s">
        <v>26</v>
      </c>
      <c r="C744" t="s">
        <v>29</v>
      </c>
      <c r="D744" t="s">
        <v>39</v>
      </c>
      <c r="E744">
        <v>66533</v>
      </c>
      <c r="F744">
        <f ca="1">DATEDIF(Table1[[#This Row],[Hire Date]], TODAY(), "Y")</f>
        <v>17</v>
      </c>
      <c r="G744" s="7">
        <f ca="1">YEARFRAC(Table1[[#This Row],[Hire Date]], TODAY())</f>
        <v>17.600000000000001</v>
      </c>
      <c r="H744" s="7">
        <v>39615</v>
      </c>
      <c r="I744">
        <v>22</v>
      </c>
      <c r="J744" t="s">
        <v>42</v>
      </c>
      <c r="K744">
        <v>1</v>
      </c>
      <c r="L744" t="s">
        <v>44</v>
      </c>
      <c r="M744">
        <v>4541.6400000000003</v>
      </c>
      <c r="N744" t="s">
        <v>49</v>
      </c>
      <c r="O744" t="s">
        <v>53</v>
      </c>
      <c r="P744">
        <v>8</v>
      </c>
      <c r="Q744" t="s">
        <v>55</v>
      </c>
      <c r="R744" t="s">
        <v>62</v>
      </c>
      <c r="S744">
        <v>10</v>
      </c>
      <c r="T744">
        <v>2015</v>
      </c>
      <c r="U744" t="s">
        <v>65</v>
      </c>
      <c r="V744">
        <v>144</v>
      </c>
      <c r="W744">
        <v>1.2</v>
      </c>
    </row>
    <row r="745" spans="1:23" x14ac:dyDescent="0.35">
      <c r="A745">
        <v>10744</v>
      </c>
      <c r="B745" t="s">
        <v>23</v>
      </c>
      <c r="C745" t="s">
        <v>34</v>
      </c>
      <c r="D745" t="s">
        <v>40</v>
      </c>
      <c r="E745">
        <v>86234</v>
      </c>
      <c r="F745">
        <f ca="1">DATEDIF(Table1[[#This Row],[Hire Date]], TODAY(), "Y")</f>
        <v>9</v>
      </c>
      <c r="G745" s="7">
        <f ca="1">YEARFRAC(Table1[[#This Row],[Hire Date]], TODAY())</f>
        <v>9.4916666666666671</v>
      </c>
      <c r="H745" s="7">
        <v>42576</v>
      </c>
      <c r="I745">
        <v>29</v>
      </c>
      <c r="J745" t="s">
        <v>42</v>
      </c>
      <c r="K745">
        <v>7</v>
      </c>
      <c r="L745" t="s">
        <v>45</v>
      </c>
      <c r="M745">
        <v>1199.02</v>
      </c>
      <c r="N745" t="s">
        <v>47</v>
      </c>
      <c r="O745" t="s">
        <v>52</v>
      </c>
      <c r="P745">
        <v>9</v>
      </c>
      <c r="Q745" t="s">
        <v>55</v>
      </c>
      <c r="R745" t="s">
        <v>62</v>
      </c>
      <c r="S745">
        <v>12</v>
      </c>
      <c r="T745">
        <v>2010</v>
      </c>
      <c r="U745" t="s">
        <v>64</v>
      </c>
      <c r="V745">
        <v>137</v>
      </c>
      <c r="W745">
        <v>1.6</v>
      </c>
    </row>
    <row r="746" spans="1:23" x14ac:dyDescent="0.35">
      <c r="A746">
        <v>10745</v>
      </c>
      <c r="B746" t="s">
        <v>24</v>
      </c>
      <c r="C746" t="s">
        <v>33</v>
      </c>
      <c r="D746" t="s">
        <v>38</v>
      </c>
      <c r="E746">
        <v>97594</v>
      </c>
      <c r="F746">
        <f ca="1">DATEDIF(Table1[[#This Row],[Hire Date]], TODAY(), "Y")</f>
        <v>6</v>
      </c>
      <c r="G746" s="7">
        <f ca="1">YEARFRAC(Table1[[#This Row],[Hire Date]], TODAY())</f>
        <v>6.4388888888888891</v>
      </c>
      <c r="H746" s="7">
        <v>43691</v>
      </c>
      <c r="I746">
        <v>60</v>
      </c>
      <c r="J746" t="s">
        <v>42</v>
      </c>
      <c r="K746">
        <v>3</v>
      </c>
      <c r="L746" t="s">
        <v>45</v>
      </c>
      <c r="M746">
        <v>3826.58</v>
      </c>
      <c r="N746" t="s">
        <v>46</v>
      </c>
      <c r="O746" t="s">
        <v>52</v>
      </c>
      <c r="P746">
        <v>2</v>
      </c>
      <c r="Q746" t="s">
        <v>56</v>
      </c>
      <c r="R746" t="s">
        <v>61</v>
      </c>
      <c r="S746">
        <v>1</v>
      </c>
      <c r="T746">
        <v>2021</v>
      </c>
      <c r="U746" t="s">
        <v>64</v>
      </c>
      <c r="V746">
        <v>74</v>
      </c>
      <c r="W746">
        <v>4.9000000000000004</v>
      </c>
    </row>
    <row r="747" spans="1:23" x14ac:dyDescent="0.35">
      <c r="A747">
        <v>10746</v>
      </c>
      <c r="B747" t="s">
        <v>26</v>
      </c>
      <c r="C747" t="s">
        <v>34</v>
      </c>
      <c r="D747" t="s">
        <v>39</v>
      </c>
      <c r="E747">
        <v>86901</v>
      </c>
      <c r="F747">
        <f ca="1">DATEDIF(Table1[[#This Row],[Hire Date]], TODAY(), "Y")</f>
        <v>6</v>
      </c>
      <c r="G747" s="7">
        <f ca="1">YEARFRAC(Table1[[#This Row],[Hire Date]], TODAY())</f>
        <v>6.3166666666666664</v>
      </c>
      <c r="H747" s="7">
        <v>43736</v>
      </c>
      <c r="I747">
        <v>64</v>
      </c>
      <c r="J747" t="s">
        <v>43</v>
      </c>
      <c r="K747">
        <v>9</v>
      </c>
      <c r="L747" t="s">
        <v>44</v>
      </c>
      <c r="M747">
        <v>6427.47</v>
      </c>
      <c r="N747" t="s">
        <v>46</v>
      </c>
      <c r="O747" t="s">
        <v>50</v>
      </c>
      <c r="P747">
        <v>2</v>
      </c>
      <c r="Q747" t="s">
        <v>57</v>
      </c>
      <c r="R747" t="s">
        <v>60</v>
      </c>
      <c r="S747">
        <v>18</v>
      </c>
      <c r="T747">
        <v>2020</v>
      </c>
      <c r="U747" t="s">
        <v>65</v>
      </c>
      <c r="V747">
        <v>120</v>
      </c>
      <c r="W747">
        <v>2.6</v>
      </c>
    </row>
    <row r="748" spans="1:23" x14ac:dyDescent="0.35">
      <c r="A748">
        <v>10747</v>
      </c>
      <c r="B748" t="s">
        <v>24</v>
      </c>
      <c r="C748" t="s">
        <v>29</v>
      </c>
      <c r="D748" t="s">
        <v>41</v>
      </c>
      <c r="E748">
        <v>41519</v>
      </c>
      <c r="F748">
        <f ca="1">DATEDIF(Table1[[#This Row],[Hire Date]], TODAY(), "Y")</f>
        <v>25</v>
      </c>
      <c r="G748" s="7">
        <f ca="1">YEARFRAC(Table1[[#This Row],[Hire Date]], TODAY())</f>
        <v>25.925000000000001</v>
      </c>
      <c r="H748" s="7">
        <v>36575</v>
      </c>
      <c r="I748">
        <v>39</v>
      </c>
      <c r="J748" t="s">
        <v>43</v>
      </c>
      <c r="K748">
        <v>5</v>
      </c>
      <c r="L748" t="s">
        <v>45</v>
      </c>
      <c r="M748">
        <v>2327.16</v>
      </c>
      <c r="N748" t="s">
        <v>46</v>
      </c>
      <c r="O748" t="s">
        <v>52</v>
      </c>
      <c r="P748">
        <v>27</v>
      </c>
      <c r="Q748" t="s">
        <v>55</v>
      </c>
      <c r="R748" t="s">
        <v>60</v>
      </c>
      <c r="S748">
        <v>10</v>
      </c>
      <c r="T748">
        <v>2010</v>
      </c>
      <c r="U748" t="s">
        <v>65</v>
      </c>
      <c r="V748">
        <v>123</v>
      </c>
      <c r="W748">
        <v>4.4000000000000004</v>
      </c>
    </row>
    <row r="749" spans="1:23" x14ac:dyDescent="0.35">
      <c r="A749">
        <v>10748</v>
      </c>
      <c r="B749" t="s">
        <v>21</v>
      </c>
      <c r="C749" t="s">
        <v>30</v>
      </c>
      <c r="D749" t="s">
        <v>38</v>
      </c>
      <c r="E749">
        <v>61115</v>
      </c>
      <c r="F749">
        <f ca="1">DATEDIF(Table1[[#This Row],[Hire Date]], TODAY(), "Y")</f>
        <v>24</v>
      </c>
      <c r="G749" s="7">
        <f ca="1">YEARFRAC(Table1[[#This Row],[Hire Date]], TODAY())</f>
        <v>24.647222222222222</v>
      </c>
      <c r="H749" s="7">
        <v>37040</v>
      </c>
      <c r="I749">
        <v>30</v>
      </c>
      <c r="J749" t="s">
        <v>42</v>
      </c>
      <c r="K749">
        <v>3</v>
      </c>
      <c r="L749" t="s">
        <v>45</v>
      </c>
      <c r="M749">
        <v>1909.66</v>
      </c>
      <c r="N749" t="s">
        <v>47</v>
      </c>
      <c r="O749" t="s">
        <v>50</v>
      </c>
      <c r="P749">
        <v>39</v>
      </c>
      <c r="Q749" t="s">
        <v>55</v>
      </c>
      <c r="R749" t="s">
        <v>59</v>
      </c>
      <c r="S749">
        <v>0</v>
      </c>
      <c r="T749">
        <v>2012</v>
      </c>
      <c r="U749" t="s">
        <v>64</v>
      </c>
      <c r="V749">
        <v>143</v>
      </c>
      <c r="W749">
        <v>3.8</v>
      </c>
    </row>
    <row r="750" spans="1:23" x14ac:dyDescent="0.35">
      <c r="A750">
        <v>10749</v>
      </c>
      <c r="B750" t="s">
        <v>28</v>
      </c>
      <c r="C750" t="s">
        <v>34</v>
      </c>
      <c r="D750" t="s">
        <v>40</v>
      </c>
      <c r="E750">
        <v>96266</v>
      </c>
      <c r="F750">
        <f ca="1">DATEDIF(Table1[[#This Row],[Hire Date]], TODAY(), "Y")</f>
        <v>18</v>
      </c>
      <c r="G750" s="7">
        <f ca="1">YEARFRAC(Table1[[#This Row],[Hire Date]], TODAY())</f>
        <v>18.413888888888888</v>
      </c>
      <c r="H750" s="7">
        <v>39317</v>
      </c>
      <c r="I750">
        <v>26</v>
      </c>
      <c r="J750" t="s">
        <v>43</v>
      </c>
      <c r="K750">
        <v>8</v>
      </c>
      <c r="L750" t="s">
        <v>45</v>
      </c>
      <c r="M750">
        <v>3284.27</v>
      </c>
      <c r="N750" t="s">
        <v>46</v>
      </c>
      <c r="O750" t="s">
        <v>50</v>
      </c>
      <c r="P750">
        <v>36</v>
      </c>
      <c r="Q750" t="s">
        <v>56</v>
      </c>
      <c r="R750" t="s">
        <v>62</v>
      </c>
      <c r="S750">
        <v>0</v>
      </c>
      <c r="T750">
        <v>2018</v>
      </c>
      <c r="U750" t="s">
        <v>64</v>
      </c>
      <c r="V750">
        <v>185</v>
      </c>
      <c r="W750">
        <v>3.4</v>
      </c>
    </row>
    <row r="751" spans="1:23" x14ac:dyDescent="0.35">
      <c r="A751">
        <v>10750</v>
      </c>
      <c r="B751" t="s">
        <v>26</v>
      </c>
      <c r="C751" t="s">
        <v>31</v>
      </c>
      <c r="D751" t="s">
        <v>37</v>
      </c>
      <c r="E751">
        <v>31832</v>
      </c>
      <c r="F751">
        <f ca="1">DATEDIF(Table1[[#This Row],[Hire Date]], TODAY(), "Y")</f>
        <v>18</v>
      </c>
      <c r="G751" s="7">
        <f ca="1">YEARFRAC(Table1[[#This Row],[Hire Date]], TODAY())</f>
        <v>18.45</v>
      </c>
      <c r="H751" s="7">
        <v>39304</v>
      </c>
      <c r="I751">
        <v>25</v>
      </c>
      <c r="J751" t="s">
        <v>43</v>
      </c>
      <c r="K751">
        <v>3</v>
      </c>
      <c r="L751" t="s">
        <v>45</v>
      </c>
      <c r="M751">
        <v>805.06</v>
      </c>
      <c r="N751" t="s">
        <v>46</v>
      </c>
      <c r="O751" t="s">
        <v>53</v>
      </c>
      <c r="P751">
        <v>5</v>
      </c>
      <c r="Q751" t="s">
        <v>55</v>
      </c>
      <c r="R751" t="s">
        <v>59</v>
      </c>
      <c r="S751">
        <v>7</v>
      </c>
      <c r="T751">
        <v>2011</v>
      </c>
      <c r="U751" t="s">
        <v>66</v>
      </c>
      <c r="V751">
        <v>187</v>
      </c>
      <c r="W751">
        <v>4.8</v>
      </c>
    </row>
    <row r="752" spans="1:23" x14ac:dyDescent="0.35">
      <c r="A752">
        <v>10751</v>
      </c>
      <c r="B752" t="s">
        <v>25</v>
      </c>
      <c r="C752" t="s">
        <v>30</v>
      </c>
      <c r="D752" t="s">
        <v>39</v>
      </c>
      <c r="E752">
        <v>71368</v>
      </c>
      <c r="F752">
        <f ca="1">DATEDIF(Table1[[#This Row],[Hire Date]], TODAY(), "Y")</f>
        <v>18</v>
      </c>
      <c r="G752" s="7">
        <f ca="1">YEARFRAC(Table1[[#This Row],[Hire Date]], TODAY())</f>
        <v>18.886111111111113</v>
      </c>
      <c r="H752" s="7">
        <v>39144</v>
      </c>
      <c r="I752">
        <v>50</v>
      </c>
      <c r="J752" t="s">
        <v>42</v>
      </c>
      <c r="K752">
        <v>7</v>
      </c>
      <c r="L752" t="s">
        <v>44</v>
      </c>
      <c r="M752">
        <v>7562.52</v>
      </c>
      <c r="N752" t="s">
        <v>49</v>
      </c>
      <c r="O752" t="s">
        <v>51</v>
      </c>
      <c r="P752">
        <v>1</v>
      </c>
      <c r="Q752" t="s">
        <v>56</v>
      </c>
      <c r="R752" t="s">
        <v>59</v>
      </c>
      <c r="S752">
        <v>12</v>
      </c>
      <c r="T752">
        <v>2021</v>
      </c>
      <c r="U752" t="s">
        <v>66</v>
      </c>
      <c r="V752">
        <v>83</v>
      </c>
      <c r="W752">
        <v>1.9</v>
      </c>
    </row>
    <row r="753" spans="1:23" x14ac:dyDescent="0.35">
      <c r="A753">
        <v>10752</v>
      </c>
      <c r="B753" t="s">
        <v>23</v>
      </c>
      <c r="C753" t="s">
        <v>34</v>
      </c>
      <c r="D753" t="s">
        <v>41</v>
      </c>
      <c r="E753">
        <v>118425</v>
      </c>
      <c r="F753">
        <f ca="1">DATEDIF(Table1[[#This Row],[Hire Date]], TODAY(), "Y")</f>
        <v>21</v>
      </c>
      <c r="G753" s="7">
        <f ca="1">YEARFRAC(Table1[[#This Row],[Hire Date]], TODAY())</f>
        <v>21.030555555555555</v>
      </c>
      <c r="H753" s="7">
        <v>38363</v>
      </c>
      <c r="I753">
        <v>22</v>
      </c>
      <c r="J753" t="s">
        <v>42</v>
      </c>
      <c r="K753">
        <v>7</v>
      </c>
      <c r="L753" t="s">
        <v>45</v>
      </c>
      <c r="M753">
        <v>2957.8</v>
      </c>
      <c r="N753" t="s">
        <v>47</v>
      </c>
      <c r="O753" t="s">
        <v>50</v>
      </c>
      <c r="P753">
        <v>22</v>
      </c>
      <c r="Q753" t="s">
        <v>55</v>
      </c>
      <c r="R753" t="s">
        <v>63</v>
      </c>
      <c r="S753">
        <v>7</v>
      </c>
      <c r="T753">
        <v>2015</v>
      </c>
      <c r="U753" t="s">
        <v>66</v>
      </c>
      <c r="V753">
        <v>54</v>
      </c>
      <c r="W753">
        <v>2.8</v>
      </c>
    </row>
    <row r="754" spans="1:23" x14ac:dyDescent="0.35">
      <c r="A754">
        <v>10753</v>
      </c>
      <c r="B754" t="s">
        <v>26</v>
      </c>
      <c r="C754" t="s">
        <v>32</v>
      </c>
      <c r="D754" t="s">
        <v>36</v>
      </c>
      <c r="E754">
        <v>99715</v>
      </c>
      <c r="F754">
        <f ca="1">DATEDIF(Table1[[#This Row],[Hire Date]], TODAY(), "Y")</f>
        <v>13</v>
      </c>
      <c r="G754" s="7">
        <f ca="1">YEARFRAC(Table1[[#This Row],[Hire Date]], TODAY())</f>
        <v>13.269444444444444</v>
      </c>
      <c r="H754" s="7">
        <v>41197</v>
      </c>
      <c r="I754">
        <v>51</v>
      </c>
      <c r="J754" t="s">
        <v>43</v>
      </c>
      <c r="K754">
        <v>7</v>
      </c>
      <c r="L754" t="s">
        <v>44</v>
      </c>
      <c r="M754">
        <v>1680.26</v>
      </c>
      <c r="N754" t="s">
        <v>49</v>
      </c>
      <c r="O754" t="s">
        <v>53</v>
      </c>
      <c r="P754">
        <v>10</v>
      </c>
      <c r="Q754" t="s">
        <v>55</v>
      </c>
      <c r="R754" t="s">
        <v>63</v>
      </c>
      <c r="S754">
        <v>1</v>
      </c>
      <c r="T754">
        <v>2012</v>
      </c>
      <c r="U754" t="s">
        <v>64</v>
      </c>
      <c r="V754">
        <v>185</v>
      </c>
      <c r="W754">
        <v>4.5</v>
      </c>
    </row>
    <row r="755" spans="1:23" x14ac:dyDescent="0.35">
      <c r="A755">
        <v>10754</v>
      </c>
      <c r="B755" t="s">
        <v>26</v>
      </c>
      <c r="C755" t="s">
        <v>34</v>
      </c>
      <c r="D755" t="s">
        <v>36</v>
      </c>
      <c r="E755">
        <v>101835</v>
      </c>
      <c r="F755">
        <f ca="1">DATEDIF(Table1[[#This Row],[Hire Date]], TODAY(), "Y")</f>
        <v>22</v>
      </c>
      <c r="G755" s="7">
        <f ca="1">YEARFRAC(Table1[[#This Row],[Hire Date]], TODAY())</f>
        <v>22.863888888888887</v>
      </c>
      <c r="H755" s="7">
        <v>37691</v>
      </c>
      <c r="I755">
        <v>22</v>
      </c>
      <c r="J755" t="s">
        <v>42</v>
      </c>
      <c r="K755">
        <v>1</v>
      </c>
      <c r="L755" t="s">
        <v>45</v>
      </c>
      <c r="M755">
        <v>7141.73</v>
      </c>
      <c r="N755" t="s">
        <v>48</v>
      </c>
      <c r="O755" t="s">
        <v>54</v>
      </c>
      <c r="P755">
        <v>24</v>
      </c>
      <c r="Q755" t="s">
        <v>56</v>
      </c>
      <c r="R755" t="s">
        <v>60</v>
      </c>
      <c r="S755">
        <v>7</v>
      </c>
      <c r="T755">
        <v>2015</v>
      </c>
      <c r="U755" t="s">
        <v>64</v>
      </c>
      <c r="V755">
        <v>129</v>
      </c>
      <c r="W755">
        <v>3.2</v>
      </c>
    </row>
    <row r="756" spans="1:23" x14ac:dyDescent="0.35">
      <c r="A756">
        <v>10755</v>
      </c>
      <c r="B756" t="s">
        <v>26</v>
      </c>
      <c r="C756" t="s">
        <v>32</v>
      </c>
      <c r="D756" t="s">
        <v>38</v>
      </c>
      <c r="E756">
        <v>103366</v>
      </c>
      <c r="F756">
        <f ca="1">DATEDIF(Table1[[#This Row],[Hire Date]], TODAY(), "Y")</f>
        <v>12</v>
      </c>
      <c r="G756" s="7">
        <f ca="1">YEARFRAC(Table1[[#This Row],[Hire Date]], TODAY())</f>
        <v>12.375</v>
      </c>
      <c r="H756" s="7">
        <v>41524</v>
      </c>
      <c r="I756">
        <v>24</v>
      </c>
      <c r="J756" t="s">
        <v>43</v>
      </c>
      <c r="K756">
        <v>5</v>
      </c>
      <c r="L756" t="s">
        <v>44</v>
      </c>
      <c r="M756">
        <v>8507.82</v>
      </c>
      <c r="N756" t="s">
        <v>46</v>
      </c>
      <c r="O756" t="s">
        <v>50</v>
      </c>
      <c r="P756">
        <v>15</v>
      </c>
      <c r="Q756" t="s">
        <v>56</v>
      </c>
      <c r="R756" t="s">
        <v>58</v>
      </c>
      <c r="S756">
        <v>13</v>
      </c>
      <c r="T756">
        <v>2020</v>
      </c>
      <c r="U756" t="s">
        <v>64</v>
      </c>
      <c r="V756">
        <v>59</v>
      </c>
      <c r="W756">
        <v>2</v>
      </c>
    </row>
    <row r="757" spans="1:23" x14ac:dyDescent="0.35">
      <c r="A757">
        <v>10756</v>
      </c>
      <c r="B757" t="s">
        <v>27</v>
      </c>
      <c r="C757" t="s">
        <v>33</v>
      </c>
      <c r="D757" t="s">
        <v>37</v>
      </c>
      <c r="E757">
        <v>67570</v>
      </c>
      <c r="F757">
        <f ca="1">DATEDIF(Table1[[#This Row],[Hire Date]], TODAY(), "Y")</f>
        <v>19</v>
      </c>
      <c r="G757" s="7">
        <f ca="1">YEARFRAC(Table1[[#This Row],[Hire Date]], TODAY())</f>
        <v>19.902777777777779</v>
      </c>
      <c r="H757" s="7">
        <v>38775</v>
      </c>
      <c r="I757">
        <v>43</v>
      </c>
      <c r="J757" t="s">
        <v>42</v>
      </c>
      <c r="K757">
        <v>1</v>
      </c>
      <c r="L757" t="s">
        <v>45</v>
      </c>
      <c r="M757">
        <v>688.82</v>
      </c>
      <c r="N757" t="s">
        <v>48</v>
      </c>
      <c r="O757" t="s">
        <v>51</v>
      </c>
      <c r="P757">
        <v>33</v>
      </c>
      <c r="Q757" t="s">
        <v>57</v>
      </c>
      <c r="R757" t="s">
        <v>61</v>
      </c>
      <c r="S757">
        <v>1</v>
      </c>
      <c r="T757">
        <v>2020</v>
      </c>
      <c r="U757" t="s">
        <v>66</v>
      </c>
      <c r="V757">
        <v>96</v>
      </c>
      <c r="W757">
        <v>1.8</v>
      </c>
    </row>
    <row r="758" spans="1:23" x14ac:dyDescent="0.35">
      <c r="A758">
        <v>10757</v>
      </c>
      <c r="B758" t="s">
        <v>26</v>
      </c>
      <c r="C758" t="s">
        <v>29</v>
      </c>
      <c r="D758" t="s">
        <v>36</v>
      </c>
      <c r="E758">
        <v>117977</v>
      </c>
      <c r="F758">
        <f ca="1">DATEDIF(Table1[[#This Row],[Hire Date]], TODAY(), "Y")</f>
        <v>8</v>
      </c>
      <c r="G758" s="7">
        <f ca="1">YEARFRAC(Table1[[#This Row],[Hire Date]], TODAY())</f>
        <v>8.6694444444444443</v>
      </c>
      <c r="H758" s="7">
        <v>42876</v>
      </c>
      <c r="I758">
        <v>29</v>
      </c>
      <c r="J758" t="s">
        <v>42</v>
      </c>
      <c r="K758">
        <v>7</v>
      </c>
      <c r="L758" t="s">
        <v>44</v>
      </c>
      <c r="M758">
        <v>2719.2</v>
      </c>
      <c r="N758" t="s">
        <v>46</v>
      </c>
      <c r="O758" t="s">
        <v>54</v>
      </c>
      <c r="P758">
        <v>23</v>
      </c>
      <c r="Q758" t="s">
        <v>55</v>
      </c>
      <c r="R758" t="s">
        <v>62</v>
      </c>
      <c r="S758">
        <v>12</v>
      </c>
      <c r="T758">
        <v>2016</v>
      </c>
      <c r="U758" t="s">
        <v>65</v>
      </c>
      <c r="V758">
        <v>7</v>
      </c>
      <c r="W758">
        <v>4</v>
      </c>
    </row>
    <row r="759" spans="1:23" x14ac:dyDescent="0.35">
      <c r="A759">
        <v>10758</v>
      </c>
      <c r="B759" t="s">
        <v>24</v>
      </c>
      <c r="C759" t="s">
        <v>30</v>
      </c>
      <c r="D759" t="s">
        <v>38</v>
      </c>
      <c r="E759">
        <v>36615</v>
      </c>
      <c r="F759">
        <f ca="1">DATEDIF(Table1[[#This Row],[Hire Date]], TODAY(), "Y")</f>
        <v>24</v>
      </c>
      <c r="G759" s="7">
        <f ca="1">YEARFRAC(Table1[[#This Row],[Hire Date]], TODAY())</f>
        <v>24.927777777777777</v>
      </c>
      <c r="H759" s="7">
        <v>36940</v>
      </c>
      <c r="I759">
        <v>39</v>
      </c>
      <c r="J759" t="s">
        <v>43</v>
      </c>
      <c r="K759">
        <v>8</v>
      </c>
      <c r="L759" t="s">
        <v>44</v>
      </c>
      <c r="M759">
        <v>9479.7099999999991</v>
      </c>
      <c r="N759" t="s">
        <v>48</v>
      </c>
      <c r="O759" t="s">
        <v>50</v>
      </c>
      <c r="P759">
        <v>14</v>
      </c>
      <c r="Q759" t="s">
        <v>57</v>
      </c>
      <c r="R759" t="s">
        <v>61</v>
      </c>
      <c r="S759">
        <v>4</v>
      </c>
      <c r="T759">
        <v>2022</v>
      </c>
      <c r="U759" t="s">
        <v>65</v>
      </c>
      <c r="V759">
        <v>124</v>
      </c>
      <c r="W759">
        <v>1.1000000000000001</v>
      </c>
    </row>
    <row r="760" spans="1:23" x14ac:dyDescent="0.35">
      <c r="A760">
        <v>10759</v>
      </c>
      <c r="B760" t="s">
        <v>28</v>
      </c>
      <c r="C760" t="s">
        <v>30</v>
      </c>
      <c r="D760" t="s">
        <v>40</v>
      </c>
      <c r="E760">
        <v>102298</v>
      </c>
      <c r="F760">
        <f ca="1">DATEDIF(Table1[[#This Row],[Hire Date]], TODAY(), "Y")</f>
        <v>19</v>
      </c>
      <c r="G760" s="7">
        <f ca="1">YEARFRAC(Table1[[#This Row],[Hire Date]], TODAY())</f>
        <v>19.844444444444445</v>
      </c>
      <c r="H760" s="7">
        <v>38794</v>
      </c>
      <c r="I760">
        <v>46</v>
      </c>
      <c r="J760" t="s">
        <v>43</v>
      </c>
      <c r="K760">
        <v>7</v>
      </c>
      <c r="L760" t="s">
        <v>45</v>
      </c>
      <c r="M760">
        <v>4159.91</v>
      </c>
      <c r="N760" t="s">
        <v>49</v>
      </c>
      <c r="O760" t="s">
        <v>50</v>
      </c>
      <c r="P760">
        <v>18</v>
      </c>
      <c r="Q760" t="s">
        <v>57</v>
      </c>
      <c r="R760" t="s">
        <v>62</v>
      </c>
      <c r="S760">
        <v>0</v>
      </c>
      <c r="T760">
        <v>2022</v>
      </c>
      <c r="U760" t="s">
        <v>65</v>
      </c>
      <c r="V760">
        <v>148</v>
      </c>
      <c r="W760">
        <v>4.7</v>
      </c>
    </row>
    <row r="761" spans="1:23" x14ac:dyDescent="0.35">
      <c r="A761">
        <v>10760</v>
      </c>
      <c r="B761" t="s">
        <v>21</v>
      </c>
      <c r="C761" t="s">
        <v>35</v>
      </c>
      <c r="D761" t="s">
        <v>38</v>
      </c>
      <c r="E761">
        <v>68311</v>
      </c>
      <c r="F761">
        <f ca="1">DATEDIF(Table1[[#This Row],[Hire Date]], TODAY(), "Y")</f>
        <v>7</v>
      </c>
      <c r="G761" s="7">
        <f ca="1">YEARFRAC(Table1[[#This Row],[Hire Date]], TODAY())</f>
        <v>7.1638888888888888</v>
      </c>
      <c r="H761" s="7">
        <v>43427</v>
      </c>
      <c r="I761">
        <v>41</v>
      </c>
      <c r="J761" t="s">
        <v>42</v>
      </c>
      <c r="K761">
        <v>1</v>
      </c>
      <c r="L761" t="s">
        <v>45</v>
      </c>
      <c r="M761">
        <v>9416.6200000000008</v>
      </c>
      <c r="N761" t="s">
        <v>47</v>
      </c>
      <c r="O761" t="s">
        <v>51</v>
      </c>
      <c r="P761">
        <v>25</v>
      </c>
      <c r="Q761" t="s">
        <v>56</v>
      </c>
      <c r="R761" t="s">
        <v>62</v>
      </c>
      <c r="S761">
        <v>8</v>
      </c>
      <c r="T761">
        <v>2016</v>
      </c>
      <c r="U761" t="s">
        <v>64</v>
      </c>
      <c r="V761">
        <v>177</v>
      </c>
      <c r="W761">
        <v>1.1000000000000001</v>
      </c>
    </row>
    <row r="762" spans="1:23" x14ac:dyDescent="0.35">
      <c r="A762">
        <v>10761</v>
      </c>
      <c r="B762" t="s">
        <v>22</v>
      </c>
      <c r="C762" t="s">
        <v>35</v>
      </c>
      <c r="D762" t="s">
        <v>38</v>
      </c>
      <c r="E762">
        <v>53434</v>
      </c>
      <c r="F762">
        <f ca="1">DATEDIF(Table1[[#This Row],[Hire Date]], TODAY(), "Y")</f>
        <v>23</v>
      </c>
      <c r="G762" s="7">
        <f ca="1">YEARFRAC(Table1[[#This Row],[Hire Date]], TODAY())</f>
        <v>23.036111111111111</v>
      </c>
      <c r="H762" s="7">
        <v>37630</v>
      </c>
      <c r="I762">
        <v>52</v>
      </c>
      <c r="J762" t="s">
        <v>43</v>
      </c>
      <c r="K762">
        <v>3</v>
      </c>
      <c r="L762" t="s">
        <v>44</v>
      </c>
      <c r="M762">
        <v>3105.02</v>
      </c>
      <c r="N762" t="s">
        <v>48</v>
      </c>
      <c r="O762" t="s">
        <v>52</v>
      </c>
      <c r="P762">
        <v>22</v>
      </c>
      <c r="Q762" t="s">
        <v>55</v>
      </c>
      <c r="R762" t="s">
        <v>59</v>
      </c>
      <c r="S762">
        <v>19</v>
      </c>
      <c r="T762">
        <v>2023</v>
      </c>
      <c r="U762" t="s">
        <v>65</v>
      </c>
      <c r="V762">
        <v>85</v>
      </c>
      <c r="W762">
        <v>3.5</v>
      </c>
    </row>
    <row r="763" spans="1:23" x14ac:dyDescent="0.35">
      <c r="A763">
        <v>10762</v>
      </c>
      <c r="B763" t="s">
        <v>26</v>
      </c>
      <c r="C763" t="s">
        <v>29</v>
      </c>
      <c r="D763" t="s">
        <v>38</v>
      </c>
      <c r="E763">
        <v>116879</v>
      </c>
      <c r="F763">
        <f ca="1">DATEDIF(Table1[[#This Row],[Hire Date]], TODAY(), "Y")</f>
        <v>12</v>
      </c>
      <c r="G763" s="7">
        <f ca="1">YEARFRAC(Table1[[#This Row],[Hire Date]], TODAY())</f>
        <v>12.755555555555556</v>
      </c>
      <c r="H763" s="7">
        <v>41384</v>
      </c>
      <c r="I763">
        <v>51</v>
      </c>
      <c r="J763" t="s">
        <v>43</v>
      </c>
      <c r="K763">
        <v>3</v>
      </c>
      <c r="L763" t="s">
        <v>44</v>
      </c>
      <c r="M763">
        <v>2571.64</v>
      </c>
      <c r="N763" t="s">
        <v>49</v>
      </c>
      <c r="O763" t="s">
        <v>51</v>
      </c>
      <c r="P763">
        <v>37</v>
      </c>
      <c r="Q763" t="s">
        <v>56</v>
      </c>
      <c r="R763" t="s">
        <v>60</v>
      </c>
      <c r="S763">
        <v>9</v>
      </c>
      <c r="T763">
        <v>2011</v>
      </c>
      <c r="U763" t="s">
        <v>65</v>
      </c>
      <c r="V763">
        <v>168</v>
      </c>
      <c r="W763">
        <v>3.4</v>
      </c>
    </row>
    <row r="764" spans="1:23" x14ac:dyDescent="0.35">
      <c r="A764">
        <v>10763</v>
      </c>
      <c r="B764" t="s">
        <v>23</v>
      </c>
      <c r="C764" t="s">
        <v>35</v>
      </c>
      <c r="D764" t="s">
        <v>41</v>
      </c>
      <c r="E764">
        <v>45739</v>
      </c>
      <c r="F764">
        <f ca="1">DATEDIF(Table1[[#This Row],[Hire Date]], TODAY(), "Y")</f>
        <v>13</v>
      </c>
      <c r="G764" s="7">
        <f ca="1">YEARFRAC(Table1[[#This Row],[Hire Date]], TODAY())</f>
        <v>13.305555555555555</v>
      </c>
      <c r="H764" s="7">
        <v>41184</v>
      </c>
      <c r="I764">
        <v>37</v>
      </c>
      <c r="J764" t="s">
        <v>43</v>
      </c>
      <c r="K764">
        <v>7</v>
      </c>
      <c r="L764" t="s">
        <v>44</v>
      </c>
      <c r="M764">
        <v>2534.0300000000002</v>
      </c>
      <c r="N764" t="s">
        <v>48</v>
      </c>
      <c r="O764" t="s">
        <v>53</v>
      </c>
      <c r="P764">
        <v>7</v>
      </c>
      <c r="Q764" t="s">
        <v>55</v>
      </c>
      <c r="R764" t="s">
        <v>61</v>
      </c>
      <c r="S764">
        <v>10</v>
      </c>
      <c r="T764">
        <v>2012</v>
      </c>
      <c r="U764" t="s">
        <v>64</v>
      </c>
      <c r="V764">
        <v>23</v>
      </c>
      <c r="W764">
        <v>3.3</v>
      </c>
    </row>
    <row r="765" spans="1:23" x14ac:dyDescent="0.35">
      <c r="A765">
        <v>10764</v>
      </c>
      <c r="B765" t="s">
        <v>26</v>
      </c>
      <c r="C765" t="s">
        <v>30</v>
      </c>
      <c r="D765" t="s">
        <v>38</v>
      </c>
      <c r="E765">
        <v>96202</v>
      </c>
      <c r="F765">
        <f ca="1">DATEDIF(Table1[[#This Row],[Hire Date]], TODAY(), "Y")</f>
        <v>16</v>
      </c>
      <c r="G765" s="7">
        <f ca="1">YEARFRAC(Table1[[#This Row],[Hire Date]], TODAY())</f>
        <v>16.866666666666667</v>
      </c>
      <c r="H765" s="7">
        <v>39882</v>
      </c>
      <c r="I765">
        <v>23</v>
      </c>
      <c r="J765" t="s">
        <v>42</v>
      </c>
      <c r="K765">
        <v>4</v>
      </c>
      <c r="L765" t="s">
        <v>44</v>
      </c>
      <c r="M765">
        <v>1309.67</v>
      </c>
      <c r="N765" t="s">
        <v>48</v>
      </c>
      <c r="O765" t="s">
        <v>53</v>
      </c>
      <c r="P765">
        <v>26</v>
      </c>
      <c r="Q765" t="s">
        <v>56</v>
      </c>
      <c r="R765" t="s">
        <v>61</v>
      </c>
      <c r="S765">
        <v>17</v>
      </c>
      <c r="T765">
        <v>2013</v>
      </c>
      <c r="U765" t="s">
        <v>64</v>
      </c>
      <c r="V765">
        <v>136</v>
      </c>
      <c r="W765">
        <v>2.9</v>
      </c>
    </row>
    <row r="766" spans="1:23" x14ac:dyDescent="0.35">
      <c r="A766">
        <v>10765</v>
      </c>
      <c r="B766" t="s">
        <v>23</v>
      </c>
      <c r="C766" t="s">
        <v>34</v>
      </c>
      <c r="D766" t="s">
        <v>39</v>
      </c>
      <c r="E766">
        <v>109599</v>
      </c>
      <c r="F766">
        <f ca="1">DATEDIF(Table1[[#This Row],[Hire Date]], TODAY(), "Y")</f>
        <v>19</v>
      </c>
      <c r="G766" s="7">
        <f ca="1">YEARFRAC(Table1[[#This Row],[Hire Date]], TODAY())</f>
        <v>19.441666666666666</v>
      </c>
      <c r="H766" s="7">
        <v>38942</v>
      </c>
      <c r="I766">
        <v>38</v>
      </c>
      <c r="J766" t="s">
        <v>43</v>
      </c>
      <c r="K766">
        <v>3</v>
      </c>
      <c r="L766" t="s">
        <v>44</v>
      </c>
      <c r="M766">
        <v>9016.11</v>
      </c>
      <c r="N766" t="s">
        <v>47</v>
      </c>
      <c r="O766" t="s">
        <v>51</v>
      </c>
      <c r="P766">
        <v>24</v>
      </c>
      <c r="Q766" t="s">
        <v>55</v>
      </c>
      <c r="R766" t="s">
        <v>58</v>
      </c>
      <c r="S766">
        <v>16</v>
      </c>
      <c r="T766">
        <v>2017</v>
      </c>
      <c r="U766" t="s">
        <v>64</v>
      </c>
      <c r="V766">
        <v>63</v>
      </c>
      <c r="W766">
        <v>4.4000000000000004</v>
      </c>
    </row>
    <row r="767" spans="1:23" x14ac:dyDescent="0.35">
      <c r="A767">
        <v>10766</v>
      </c>
      <c r="B767" t="s">
        <v>24</v>
      </c>
      <c r="C767" t="s">
        <v>33</v>
      </c>
      <c r="D767" t="s">
        <v>38</v>
      </c>
      <c r="E767">
        <v>63649</v>
      </c>
      <c r="F767">
        <f ca="1">DATEDIF(Table1[[#This Row],[Hire Date]], TODAY(), "Y")</f>
        <v>10</v>
      </c>
      <c r="G767" s="7">
        <f ca="1">YEARFRAC(Table1[[#This Row],[Hire Date]], TODAY())</f>
        <v>10.691666666666666</v>
      </c>
      <c r="H767" s="7">
        <v>42137</v>
      </c>
      <c r="I767">
        <v>31</v>
      </c>
      <c r="J767" t="s">
        <v>43</v>
      </c>
      <c r="K767">
        <v>6</v>
      </c>
      <c r="L767" t="s">
        <v>44</v>
      </c>
      <c r="M767">
        <v>9808.43</v>
      </c>
      <c r="N767" t="s">
        <v>49</v>
      </c>
      <c r="O767" t="s">
        <v>51</v>
      </c>
      <c r="P767">
        <v>13</v>
      </c>
      <c r="Q767" t="s">
        <v>57</v>
      </c>
      <c r="R767" t="s">
        <v>58</v>
      </c>
      <c r="S767">
        <v>5</v>
      </c>
      <c r="T767">
        <v>2014</v>
      </c>
      <c r="U767" t="s">
        <v>64</v>
      </c>
      <c r="V767">
        <v>93</v>
      </c>
      <c r="W767">
        <v>3.6</v>
      </c>
    </row>
    <row r="768" spans="1:23" x14ac:dyDescent="0.35">
      <c r="A768">
        <v>10767</v>
      </c>
      <c r="B768" t="s">
        <v>23</v>
      </c>
      <c r="C768" t="s">
        <v>33</v>
      </c>
      <c r="D768" t="s">
        <v>41</v>
      </c>
      <c r="E768">
        <v>77445</v>
      </c>
      <c r="F768">
        <f ca="1">DATEDIF(Table1[[#This Row],[Hire Date]], TODAY(), "Y")</f>
        <v>20</v>
      </c>
      <c r="G768" s="7">
        <f ca="1">YEARFRAC(Table1[[#This Row],[Hire Date]], TODAY())</f>
        <v>20.761111111111113</v>
      </c>
      <c r="H768" s="7">
        <v>38460</v>
      </c>
      <c r="I768">
        <v>28</v>
      </c>
      <c r="J768" t="s">
        <v>42</v>
      </c>
      <c r="K768">
        <v>6</v>
      </c>
      <c r="L768" t="s">
        <v>45</v>
      </c>
      <c r="M768">
        <v>9567.83</v>
      </c>
      <c r="N768" t="s">
        <v>47</v>
      </c>
      <c r="O768" t="s">
        <v>51</v>
      </c>
      <c r="P768">
        <v>6</v>
      </c>
      <c r="Q768" t="s">
        <v>55</v>
      </c>
      <c r="R768" t="s">
        <v>61</v>
      </c>
      <c r="S768">
        <v>10</v>
      </c>
      <c r="T768">
        <v>2010</v>
      </c>
      <c r="U768" t="s">
        <v>64</v>
      </c>
      <c r="V768">
        <v>144</v>
      </c>
      <c r="W768">
        <v>4.0999999999999996</v>
      </c>
    </row>
    <row r="769" spans="1:23" x14ac:dyDescent="0.35">
      <c r="A769">
        <v>10768</v>
      </c>
      <c r="B769" t="s">
        <v>25</v>
      </c>
      <c r="C769" t="s">
        <v>29</v>
      </c>
      <c r="D769" t="s">
        <v>41</v>
      </c>
      <c r="E769">
        <v>69470</v>
      </c>
      <c r="F769">
        <f ca="1">DATEDIF(Table1[[#This Row],[Hire Date]], TODAY(), "Y")</f>
        <v>6</v>
      </c>
      <c r="G769" s="7">
        <f ca="1">YEARFRAC(Table1[[#This Row],[Hire Date]], TODAY())</f>
        <v>6.7833333333333332</v>
      </c>
      <c r="H769" s="7">
        <v>43565</v>
      </c>
      <c r="I769">
        <v>63</v>
      </c>
      <c r="J769" t="s">
        <v>42</v>
      </c>
      <c r="K769">
        <v>5</v>
      </c>
      <c r="L769" t="s">
        <v>45</v>
      </c>
      <c r="M769">
        <v>8594.27</v>
      </c>
      <c r="N769" t="s">
        <v>46</v>
      </c>
      <c r="O769" t="s">
        <v>51</v>
      </c>
      <c r="P769">
        <v>21</v>
      </c>
      <c r="Q769" t="s">
        <v>55</v>
      </c>
      <c r="R769" t="s">
        <v>58</v>
      </c>
      <c r="S769">
        <v>3</v>
      </c>
      <c r="T769">
        <v>2018</v>
      </c>
      <c r="U769" t="s">
        <v>66</v>
      </c>
      <c r="V769">
        <v>67</v>
      </c>
      <c r="W769">
        <v>1.5</v>
      </c>
    </row>
    <row r="770" spans="1:23" x14ac:dyDescent="0.35">
      <c r="A770">
        <v>10769</v>
      </c>
      <c r="B770" t="s">
        <v>22</v>
      </c>
      <c r="C770" t="s">
        <v>35</v>
      </c>
      <c r="D770" t="s">
        <v>40</v>
      </c>
      <c r="E770">
        <v>104965</v>
      </c>
      <c r="F770">
        <f ca="1">DATEDIF(Table1[[#This Row],[Hire Date]], TODAY(), "Y")</f>
        <v>11</v>
      </c>
      <c r="G770" s="7">
        <f ca="1">YEARFRAC(Table1[[#This Row],[Hire Date]], TODAY())</f>
        <v>11.094444444444445</v>
      </c>
      <c r="H770" s="7">
        <v>41991</v>
      </c>
      <c r="I770">
        <v>30</v>
      </c>
      <c r="J770" t="s">
        <v>42</v>
      </c>
      <c r="K770">
        <v>6</v>
      </c>
      <c r="L770" t="s">
        <v>44</v>
      </c>
      <c r="M770">
        <v>8545.44</v>
      </c>
      <c r="N770" t="s">
        <v>47</v>
      </c>
      <c r="O770" t="s">
        <v>51</v>
      </c>
      <c r="P770">
        <v>7</v>
      </c>
      <c r="Q770" t="s">
        <v>56</v>
      </c>
      <c r="R770" t="s">
        <v>58</v>
      </c>
      <c r="S770">
        <v>0</v>
      </c>
      <c r="T770">
        <v>2010</v>
      </c>
      <c r="U770" t="s">
        <v>64</v>
      </c>
      <c r="V770">
        <v>188</v>
      </c>
      <c r="W770">
        <v>1.2</v>
      </c>
    </row>
    <row r="771" spans="1:23" x14ac:dyDescent="0.35">
      <c r="A771">
        <v>10770</v>
      </c>
      <c r="B771" t="s">
        <v>28</v>
      </c>
      <c r="C771" t="s">
        <v>34</v>
      </c>
      <c r="D771" t="s">
        <v>37</v>
      </c>
      <c r="E771">
        <v>78621</v>
      </c>
      <c r="F771">
        <f ca="1">DATEDIF(Table1[[#This Row],[Hire Date]], TODAY(), "Y")</f>
        <v>25</v>
      </c>
      <c r="G771" s="7">
        <f ca="1">YEARFRAC(Table1[[#This Row],[Hire Date]], TODAY())</f>
        <v>25.5</v>
      </c>
      <c r="H771" s="7">
        <v>36729</v>
      </c>
      <c r="I771">
        <v>38</v>
      </c>
      <c r="J771" t="s">
        <v>42</v>
      </c>
      <c r="K771">
        <v>3</v>
      </c>
      <c r="L771" t="s">
        <v>44</v>
      </c>
      <c r="M771">
        <v>6780.31</v>
      </c>
      <c r="N771" t="s">
        <v>47</v>
      </c>
      <c r="O771" t="s">
        <v>50</v>
      </c>
      <c r="P771">
        <v>18</v>
      </c>
      <c r="Q771" t="s">
        <v>55</v>
      </c>
      <c r="R771" t="s">
        <v>62</v>
      </c>
      <c r="S771">
        <v>0</v>
      </c>
      <c r="T771">
        <v>2011</v>
      </c>
      <c r="U771" t="s">
        <v>65</v>
      </c>
      <c r="V771">
        <v>31</v>
      </c>
      <c r="W771">
        <v>1.1000000000000001</v>
      </c>
    </row>
    <row r="772" spans="1:23" x14ac:dyDescent="0.35">
      <c r="A772">
        <v>10771</v>
      </c>
      <c r="B772" t="s">
        <v>23</v>
      </c>
      <c r="C772" t="s">
        <v>33</v>
      </c>
      <c r="D772" t="s">
        <v>36</v>
      </c>
      <c r="E772">
        <v>62926</v>
      </c>
      <c r="F772">
        <f ca="1">DATEDIF(Table1[[#This Row],[Hire Date]], TODAY(), "Y")</f>
        <v>6</v>
      </c>
      <c r="G772" s="7">
        <f ca="1">YEARFRAC(Table1[[#This Row],[Hire Date]], TODAY())</f>
        <v>6.3666666666666663</v>
      </c>
      <c r="H772" s="7">
        <v>43718</v>
      </c>
      <c r="I772">
        <v>30</v>
      </c>
      <c r="J772" t="s">
        <v>43</v>
      </c>
      <c r="K772">
        <v>5</v>
      </c>
      <c r="L772" t="s">
        <v>45</v>
      </c>
      <c r="M772">
        <v>8349.0300000000007</v>
      </c>
      <c r="N772" t="s">
        <v>48</v>
      </c>
      <c r="O772" t="s">
        <v>54</v>
      </c>
      <c r="P772">
        <v>15</v>
      </c>
      <c r="Q772" t="s">
        <v>55</v>
      </c>
      <c r="R772" t="s">
        <v>60</v>
      </c>
      <c r="S772">
        <v>17</v>
      </c>
      <c r="T772">
        <v>2016</v>
      </c>
      <c r="U772" t="s">
        <v>65</v>
      </c>
      <c r="V772">
        <v>129</v>
      </c>
      <c r="W772">
        <v>1.6</v>
      </c>
    </row>
    <row r="773" spans="1:23" x14ac:dyDescent="0.35">
      <c r="A773">
        <v>10772</v>
      </c>
      <c r="B773" t="s">
        <v>23</v>
      </c>
      <c r="C773" t="s">
        <v>33</v>
      </c>
      <c r="D773" t="s">
        <v>36</v>
      </c>
      <c r="E773">
        <v>67997</v>
      </c>
      <c r="F773">
        <f ca="1">DATEDIF(Table1[[#This Row],[Hire Date]], TODAY(), "Y")</f>
        <v>6</v>
      </c>
      <c r="G773" s="7">
        <f ca="1">YEARFRAC(Table1[[#This Row],[Hire Date]], TODAY())</f>
        <v>6.6166666666666663</v>
      </c>
      <c r="H773" s="7">
        <v>43626</v>
      </c>
      <c r="I773">
        <v>30</v>
      </c>
      <c r="J773" t="s">
        <v>43</v>
      </c>
      <c r="K773">
        <v>9</v>
      </c>
      <c r="L773" t="s">
        <v>44</v>
      </c>
      <c r="M773">
        <v>2479.25</v>
      </c>
      <c r="N773" t="s">
        <v>48</v>
      </c>
      <c r="O773" t="s">
        <v>53</v>
      </c>
      <c r="P773">
        <v>8</v>
      </c>
      <c r="Q773" t="s">
        <v>55</v>
      </c>
      <c r="R773" t="s">
        <v>62</v>
      </c>
      <c r="S773">
        <v>4</v>
      </c>
      <c r="T773">
        <v>2020</v>
      </c>
      <c r="U773" t="s">
        <v>66</v>
      </c>
      <c r="V773">
        <v>156</v>
      </c>
      <c r="W773">
        <v>3.7</v>
      </c>
    </row>
    <row r="774" spans="1:23" x14ac:dyDescent="0.35">
      <c r="A774">
        <v>10773</v>
      </c>
      <c r="B774" t="s">
        <v>28</v>
      </c>
      <c r="C774" t="s">
        <v>31</v>
      </c>
      <c r="D774" t="s">
        <v>38</v>
      </c>
      <c r="E774">
        <v>89940</v>
      </c>
      <c r="F774">
        <f ca="1">DATEDIF(Table1[[#This Row],[Hire Date]], TODAY(), "Y")</f>
        <v>10</v>
      </c>
      <c r="G774" s="7">
        <f ca="1">YEARFRAC(Table1[[#This Row],[Hire Date]], TODAY())</f>
        <v>10.525</v>
      </c>
      <c r="H774" s="7">
        <v>42198</v>
      </c>
      <c r="I774">
        <v>58</v>
      </c>
      <c r="J774" t="s">
        <v>42</v>
      </c>
      <c r="K774">
        <v>4</v>
      </c>
      <c r="L774" t="s">
        <v>44</v>
      </c>
      <c r="M774">
        <v>4185.17</v>
      </c>
      <c r="N774" t="s">
        <v>48</v>
      </c>
      <c r="O774" t="s">
        <v>53</v>
      </c>
      <c r="P774">
        <v>16</v>
      </c>
      <c r="Q774" t="s">
        <v>55</v>
      </c>
      <c r="R774" t="s">
        <v>59</v>
      </c>
      <c r="S774">
        <v>15</v>
      </c>
      <c r="T774">
        <v>2012</v>
      </c>
      <c r="U774" t="s">
        <v>64</v>
      </c>
      <c r="V774">
        <v>158</v>
      </c>
      <c r="W774">
        <v>3</v>
      </c>
    </row>
    <row r="775" spans="1:23" x14ac:dyDescent="0.35">
      <c r="A775">
        <v>10774</v>
      </c>
      <c r="B775" t="s">
        <v>22</v>
      </c>
      <c r="C775" t="s">
        <v>31</v>
      </c>
      <c r="D775" t="s">
        <v>40</v>
      </c>
      <c r="E775">
        <v>70724</v>
      </c>
      <c r="F775">
        <f ca="1">DATEDIF(Table1[[#This Row],[Hire Date]], TODAY(), "Y")</f>
        <v>25</v>
      </c>
      <c r="G775" s="7">
        <f ca="1">YEARFRAC(Table1[[#This Row],[Hire Date]], TODAY())</f>
        <v>25.869444444444444</v>
      </c>
      <c r="H775" s="7">
        <v>36594</v>
      </c>
      <c r="I775">
        <v>45</v>
      </c>
      <c r="J775" t="s">
        <v>42</v>
      </c>
      <c r="K775">
        <v>2</v>
      </c>
      <c r="L775" t="s">
        <v>45</v>
      </c>
      <c r="M775">
        <v>6587.94</v>
      </c>
      <c r="N775" t="s">
        <v>49</v>
      </c>
      <c r="O775" t="s">
        <v>54</v>
      </c>
      <c r="P775">
        <v>3</v>
      </c>
      <c r="Q775" t="s">
        <v>57</v>
      </c>
      <c r="R775" t="s">
        <v>58</v>
      </c>
      <c r="S775">
        <v>1</v>
      </c>
      <c r="T775">
        <v>2015</v>
      </c>
      <c r="U775" t="s">
        <v>65</v>
      </c>
      <c r="V775">
        <v>26</v>
      </c>
      <c r="W775">
        <v>4</v>
      </c>
    </row>
    <row r="776" spans="1:23" x14ac:dyDescent="0.35">
      <c r="A776">
        <v>10775</v>
      </c>
      <c r="B776" t="s">
        <v>26</v>
      </c>
      <c r="C776" t="s">
        <v>30</v>
      </c>
      <c r="D776" t="s">
        <v>38</v>
      </c>
      <c r="E776">
        <v>61704</v>
      </c>
      <c r="F776">
        <f ca="1">DATEDIF(Table1[[#This Row],[Hire Date]], TODAY(), "Y")</f>
        <v>24</v>
      </c>
      <c r="G776" s="7">
        <f ca="1">YEARFRAC(Table1[[#This Row],[Hire Date]], TODAY())</f>
        <v>24.644444444444446</v>
      </c>
      <c r="H776" s="7">
        <v>37041</v>
      </c>
      <c r="I776">
        <v>60</v>
      </c>
      <c r="J776" t="s">
        <v>43</v>
      </c>
      <c r="K776">
        <v>5</v>
      </c>
      <c r="L776" t="s">
        <v>45</v>
      </c>
      <c r="M776">
        <v>8810.33</v>
      </c>
      <c r="N776" t="s">
        <v>47</v>
      </c>
      <c r="O776" t="s">
        <v>51</v>
      </c>
      <c r="P776">
        <v>9</v>
      </c>
      <c r="Q776" t="s">
        <v>56</v>
      </c>
      <c r="R776" t="s">
        <v>62</v>
      </c>
      <c r="S776">
        <v>8</v>
      </c>
      <c r="T776">
        <v>2017</v>
      </c>
      <c r="U776" t="s">
        <v>65</v>
      </c>
      <c r="V776">
        <v>74</v>
      </c>
      <c r="W776">
        <v>1.8</v>
      </c>
    </row>
    <row r="777" spans="1:23" x14ac:dyDescent="0.35">
      <c r="A777">
        <v>10776</v>
      </c>
      <c r="B777" t="s">
        <v>23</v>
      </c>
      <c r="C777" t="s">
        <v>33</v>
      </c>
      <c r="D777" t="s">
        <v>36</v>
      </c>
      <c r="E777">
        <v>58391</v>
      </c>
      <c r="F777">
        <f ca="1">DATEDIF(Table1[[#This Row],[Hire Date]], TODAY(), "Y")</f>
        <v>16</v>
      </c>
      <c r="G777" s="7">
        <f ca="1">YEARFRAC(Table1[[#This Row],[Hire Date]], TODAY())</f>
        <v>16.302777777777777</v>
      </c>
      <c r="H777" s="7">
        <v>40089</v>
      </c>
      <c r="I777">
        <v>32</v>
      </c>
      <c r="J777" t="s">
        <v>43</v>
      </c>
      <c r="K777">
        <v>3</v>
      </c>
      <c r="L777" t="s">
        <v>44</v>
      </c>
      <c r="M777">
        <v>6774.46</v>
      </c>
      <c r="N777" t="s">
        <v>46</v>
      </c>
      <c r="O777" t="s">
        <v>54</v>
      </c>
      <c r="P777">
        <v>26</v>
      </c>
      <c r="Q777" t="s">
        <v>55</v>
      </c>
      <c r="R777" t="s">
        <v>62</v>
      </c>
      <c r="S777">
        <v>1</v>
      </c>
      <c r="T777">
        <v>2014</v>
      </c>
      <c r="U777" t="s">
        <v>64</v>
      </c>
      <c r="V777">
        <v>23</v>
      </c>
      <c r="W777">
        <v>2.5</v>
      </c>
    </row>
    <row r="778" spans="1:23" x14ac:dyDescent="0.35">
      <c r="A778">
        <v>10777</v>
      </c>
      <c r="B778" t="s">
        <v>28</v>
      </c>
      <c r="C778" t="s">
        <v>29</v>
      </c>
      <c r="D778" t="s">
        <v>41</v>
      </c>
      <c r="E778">
        <v>93291</v>
      </c>
      <c r="F778">
        <f ca="1">DATEDIF(Table1[[#This Row],[Hire Date]], TODAY(), "Y")</f>
        <v>8</v>
      </c>
      <c r="G778" s="7">
        <f ca="1">YEARFRAC(Table1[[#This Row],[Hire Date]], TODAY())</f>
        <v>8.5805555555555557</v>
      </c>
      <c r="H778" s="7">
        <v>42909</v>
      </c>
      <c r="I778">
        <v>29</v>
      </c>
      <c r="J778" t="s">
        <v>42</v>
      </c>
      <c r="K778">
        <v>3</v>
      </c>
      <c r="L778" t="s">
        <v>45</v>
      </c>
      <c r="M778">
        <v>8470.7099999999991</v>
      </c>
      <c r="N778" t="s">
        <v>48</v>
      </c>
      <c r="O778" t="s">
        <v>51</v>
      </c>
      <c r="P778">
        <v>26</v>
      </c>
      <c r="Q778" t="s">
        <v>56</v>
      </c>
      <c r="R778" t="s">
        <v>63</v>
      </c>
      <c r="S778">
        <v>4</v>
      </c>
      <c r="T778">
        <v>2010</v>
      </c>
      <c r="U778" t="s">
        <v>66</v>
      </c>
      <c r="V778">
        <v>105</v>
      </c>
      <c r="W778">
        <v>4.5999999999999996</v>
      </c>
    </row>
    <row r="779" spans="1:23" x14ac:dyDescent="0.35">
      <c r="A779">
        <v>10778</v>
      </c>
      <c r="B779" t="s">
        <v>25</v>
      </c>
      <c r="C779" t="s">
        <v>32</v>
      </c>
      <c r="D779" t="s">
        <v>37</v>
      </c>
      <c r="E779">
        <v>119723</v>
      </c>
      <c r="F779">
        <f ca="1">DATEDIF(Table1[[#This Row],[Hire Date]], TODAY(), "Y")</f>
        <v>13</v>
      </c>
      <c r="G779" s="7">
        <f ca="1">YEARFRAC(Table1[[#This Row],[Hire Date]], TODAY())</f>
        <v>13.855555555555556</v>
      </c>
      <c r="H779" s="7">
        <v>40982</v>
      </c>
      <c r="I779">
        <v>46</v>
      </c>
      <c r="J779" t="s">
        <v>43</v>
      </c>
      <c r="K779">
        <v>4</v>
      </c>
      <c r="L779" t="s">
        <v>44</v>
      </c>
      <c r="M779">
        <v>5002.5200000000004</v>
      </c>
      <c r="N779" t="s">
        <v>46</v>
      </c>
      <c r="O779" t="s">
        <v>53</v>
      </c>
      <c r="P779">
        <v>30</v>
      </c>
      <c r="Q779" t="s">
        <v>57</v>
      </c>
      <c r="R779" t="s">
        <v>62</v>
      </c>
      <c r="S779">
        <v>19</v>
      </c>
      <c r="T779">
        <v>2019</v>
      </c>
      <c r="U779" t="s">
        <v>64</v>
      </c>
      <c r="V779">
        <v>166</v>
      </c>
      <c r="W779">
        <v>4.7</v>
      </c>
    </row>
    <row r="780" spans="1:23" x14ac:dyDescent="0.35">
      <c r="A780">
        <v>10779</v>
      </c>
      <c r="B780" t="s">
        <v>25</v>
      </c>
      <c r="C780" t="s">
        <v>32</v>
      </c>
      <c r="D780" t="s">
        <v>40</v>
      </c>
      <c r="E780">
        <v>32526</v>
      </c>
      <c r="F780">
        <f ca="1">DATEDIF(Table1[[#This Row],[Hire Date]], TODAY(), "Y")</f>
        <v>22</v>
      </c>
      <c r="G780" s="7">
        <f ca="1">YEARFRAC(Table1[[#This Row],[Hire Date]], TODAY())</f>
        <v>22.05</v>
      </c>
      <c r="H780" s="7">
        <v>37990</v>
      </c>
      <c r="I780">
        <v>23</v>
      </c>
      <c r="J780" t="s">
        <v>43</v>
      </c>
      <c r="K780">
        <v>4</v>
      </c>
      <c r="L780" t="s">
        <v>45</v>
      </c>
      <c r="M780">
        <v>7314.39</v>
      </c>
      <c r="N780" t="s">
        <v>47</v>
      </c>
      <c r="O780" t="s">
        <v>52</v>
      </c>
      <c r="P780">
        <v>27</v>
      </c>
      <c r="Q780" t="s">
        <v>57</v>
      </c>
      <c r="R780" t="s">
        <v>62</v>
      </c>
      <c r="S780">
        <v>16</v>
      </c>
      <c r="T780">
        <v>2023</v>
      </c>
      <c r="U780" t="s">
        <v>64</v>
      </c>
      <c r="V780">
        <v>143</v>
      </c>
      <c r="W780">
        <v>4.7</v>
      </c>
    </row>
    <row r="781" spans="1:23" x14ac:dyDescent="0.35">
      <c r="A781">
        <v>10780</v>
      </c>
      <c r="B781" t="s">
        <v>24</v>
      </c>
      <c r="C781" t="s">
        <v>34</v>
      </c>
      <c r="D781" t="s">
        <v>41</v>
      </c>
      <c r="E781">
        <v>54686</v>
      </c>
      <c r="F781">
        <f ca="1">DATEDIF(Table1[[#This Row],[Hire Date]], TODAY(), "Y")</f>
        <v>11</v>
      </c>
      <c r="G781" s="7">
        <f ca="1">YEARFRAC(Table1[[#This Row],[Hire Date]], TODAY())</f>
        <v>11.96111111111111</v>
      </c>
      <c r="H781" s="7">
        <v>41676</v>
      </c>
      <c r="I781">
        <v>31</v>
      </c>
      <c r="J781" t="s">
        <v>42</v>
      </c>
      <c r="K781">
        <v>5</v>
      </c>
      <c r="L781" t="s">
        <v>44</v>
      </c>
      <c r="M781">
        <v>9809.82</v>
      </c>
      <c r="N781" t="s">
        <v>47</v>
      </c>
      <c r="O781" t="s">
        <v>53</v>
      </c>
      <c r="P781">
        <v>16</v>
      </c>
      <c r="Q781" t="s">
        <v>55</v>
      </c>
      <c r="R781" t="s">
        <v>60</v>
      </c>
      <c r="S781">
        <v>18</v>
      </c>
      <c r="T781">
        <v>2021</v>
      </c>
      <c r="U781" t="s">
        <v>64</v>
      </c>
      <c r="V781">
        <v>124</v>
      </c>
      <c r="W781">
        <v>4.3</v>
      </c>
    </row>
    <row r="782" spans="1:23" x14ac:dyDescent="0.35">
      <c r="A782">
        <v>10781</v>
      </c>
      <c r="B782" t="s">
        <v>28</v>
      </c>
      <c r="C782" t="s">
        <v>33</v>
      </c>
      <c r="D782" t="s">
        <v>37</v>
      </c>
      <c r="E782">
        <v>103339</v>
      </c>
      <c r="F782">
        <f ca="1">DATEDIF(Table1[[#This Row],[Hire Date]], TODAY(), "Y")</f>
        <v>9</v>
      </c>
      <c r="G782" s="7">
        <f ca="1">YEARFRAC(Table1[[#This Row],[Hire Date]], TODAY())</f>
        <v>9.5805555555555557</v>
      </c>
      <c r="H782" s="7">
        <v>42544</v>
      </c>
      <c r="I782">
        <v>45</v>
      </c>
      <c r="J782" t="s">
        <v>42</v>
      </c>
      <c r="K782">
        <v>7</v>
      </c>
      <c r="L782" t="s">
        <v>44</v>
      </c>
      <c r="M782">
        <v>1958.14</v>
      </c>
      <c r="N782" t="s">
        <v>47</v>
      </c>
      <c r="O782" t="s">
        <v>53</v>
      </c>
      <c r="P782">
        <v>4</v>
      </c>
      <c r="Q782" t="s">
        <v>56</v>
      </c>
      <c r="R782" t="s">
        <v>61</v>
      </c>
      <c r="S782">
        <v>9</v>
      </c>
      <c r="T782">
        <v>2012</v>
      </c>
      <c r="U782" t="s">
        <v>64</v>
      </c>
      <c r="V782">
        <v>92</v>
      </c>
      <c r="W782">
        <v>3.8</v>
      </c>
    </row>
    <row r="783" spans="1:23" x14ac:dyDescent="0.35">
      <c r="A783">
        <v>10782</v>
      </c>
      <c r="B783" t="s">
        <v>24</v>
      </c>
      <c r="C783" t="s">
        <v>33</v>
      </c>
      <c r="D783" t="s">
        <v>40</v>
      </c>
      <c r="E783">
        <v>36574</v>
      </c>
      <c r="F783">
        <f ca="1">DATEDIF(Table1[[#This Row],[Hire Date]], TODAY(), "Y")</f>
        <v>21</v>
      </c>
      <c r="G783" s="7">
        <f ca="1">YEARFRAC(Table1[[#This Row],[Hire Date]], TODAY())</f>
        <v>21.533333333333335</v>
      </c>
      <c r="H783" s="7">
        <v>38178</v>
      </c>
      <c r="I783">
        <v>37</v>
      </c>
      <c r="J783" t="s">
        <v>42</v>
      </c>
      <c r="K783">
        <v>4</v>
      </c>
      <c r="L783" t="s">
        <v>44</v>
      </c>
      <c r="M783">
        <v>9305.75</v>
      </c>
      <c r="N783" t="s">
        <v>46</v>
      </c>
      <c r="O783" t="s">
        <v>52</v>
      </c>
      <c r="P783">
        <v>19</v>
      </c>
      <c r="Q783" t="s">
        <v>56</v>
      </c>
      <c r="R783" t="s">
        <v>63</v>
      </c>
      <c r="S783">
        <v>7</v>
      </c>
      <c r="T783">
        <v>2020</v>
      </c>
      <c r="U783" t="s">
        <v>64</v>
      </c>
      <c r="V783">
        <v>177</v>
      </c>
      <c r="W783">
        <v>4.7</v>
      </c>
    </row>
    <row r="784" spans="1:23" x14ac:dyDescent="0.35">
      <c r="A784">
        <v>10783</v>
      </c>
      <c r="B784" t="s">
        <v>25</v>
      </c>
      <c r="C784" t="s">
        <v>30</v>
      </c>
      <c r="D784" t="s">
        <v>40</v>
      </c>
      <c r="E784">
        <v>38733</v>
      </c>
      <c r="F784">
        <f ca="1">DATEDIF(Table1[[#This Row],[Hire Date]], TODAY(), "Y")</f>
        <v>24</v>
      </c>
      <c r="G784" s="7">
        <f ca="1">YEARFRAC(Table1[[#This Row],[Hire Date]], TODAY())</f>
        <v>24.125</v>
      </c>
      <c r="H784" s="7">
        <v>37232</v>
      </c>
      <c r="I784">
        <v>40</v>
      </c>
      <c r="J784" t="s">
        <v>42</v>
      </c>
      <c r="K784">
        <v>7</v>
      </c>
      <c r="L784" t="s">
        <v>44</v>
      </c>
      <c r="M784">
        <v>5462.46</v>
      </c>
      <c r="N784" t="s">
        <v>46</v>
      </c>
      <c r="O784" t="s">
        <v>54</v>
      </c>
      <c r="P784">
        <v>34</v>
      </c>
      <c r="Q784" t="s">
        <v>56</v>
      </c>
      <c r="R784" t="s">
        <v>63</v>
      </c>
      <c r="S784">
        <v>19</v>
      </c>
      <c r="T784">
        <v>2011</v>
      </c>
      <c r="U784" t="s">
        <v>66</v>
      </c>
      <c r="V784">
        <v>41</v>
      </c>
      <c r="W784">
        <v>3.9</v>
      </c>
    </row>
    <row r="785" spans="1:23" x14ac:dyDescent="0.35">
      <c r="A785">
        <v>10784</v>
      </c>
      <c r="B785" t="s">
        <v>22</v>
      </c>
      <c r="C785" t="s">
        <v>33</v>
      </c>
      <c r="D785" t="s">
        <v>36</v>
      </c>
      <c r="E785">
        <v>80290</v>
      </c>
      <c r="F785">
        <f ca="1">DATEDIF(Table1[[#This Row],[Hire Date]], TODAY(), "Y")</f>
        <v>21</v>
      </c>
      <c r="G785" s="7">
        <f ca="1">YEARFRAC(Table1[[#This Row],[Hire Date]], TODAY())</f>
        <v>21.608333333333334</v>
      </c>
      <c r="H785" s="7">
        <v>38151</v>
      </c>
      <c r="I785">
        <v>52</v>
      </c>
      <c r="J785" t="s">
        <v>43</v>
      </c>
      <c r="K785">
        <v>9</v>
      </c>
      <c r="L785" t="s">
        <v>45</v>
      </c>
      <c r="M785">
        <v>6610.57</v>
      </c>
      <c r="N785" t="s">
        <v>46</v>
      </c>
      <c r="O785" t="s">
        <v>50</v>
      </c>
      <c r="P785">
        <v>6</v>
      </c>
      <c r="Q785" t="s">
        <v>57</v>
      </c>
      <c r="R785" t="s">
        <v>63</v>
      </c>
      <c r="S785">
        <v>10</v>
      </c>
      <c r="T785">
        <v>2015</v>
      </c>
      <c r="U785" t="s">
        <v>65</v>
      </c>
      <c r="V785">
        <v>155</v>
      </c>
      <c r="W785">
        <v>4.8</v>
      </c>
    </row>
    <row r="786" spans="1:23" x14ac:dyDescent="0.35">
      <c r="A786">
        <v>10785</v>
      </c>
      <c r="B786" t="s">
        <v>26</v>
      </c>
      <c r="C786" t="s">
        <v>29</v>
      </c>
      <c r="D786" t="s">
        <v>41</v>
      </c>
      <c r="E786">
        <v>102793</v>
      </c>
      <c r="F786">
        <f ca="1">DATEDIF(Table1[[#This Row],[Hire Date]], TODAY(), "Y")</f>
        <v>7</v>
      </c>
      <c r="G786" s="7">
        <f ca="1">YEARFRAC(Table1[[#This Row],[Hire Date]], TODAY())</f>
        <v>7.35</v>
      </c>
      <c r="H786" s="7">
        <v>43359</v>
      </c>
      <c r="I786">
        <v>32</v>
      </c>
      <c r="J786" t="s">
        <v>42</v>
      </c>
      <c r="K786">
        <v>3</v>
      </c>
      <c r="L786" t="s">
        <v>45</v>
      </c>
      <c r="M786">
        <v>8839.76</v>
      </c>
      <c r="N786" t="s">
        <v>47</v>
      </c>
      <c r="O786" t="s">
        <v>51</v>
      </c>
      <c r="P786">
        <v>15</v>
      </c>
      <c r="Q786" t="s">
        <v>57</v>
      </c>
      <c r="R786" t="s">
        <v>59</v>
      </c>
      <c r="S786">
        <v>12</v>
      </c>
      <c r="T786">
        <v>2023</v>
      </c>
      <c r="U786" t="s">
        <v>64</v>
      </c>
      <c r="V786">
        <v>172</v>
      </c>
      <c r="W786">
        <v>1.1000000000000001</v>
      </c>
    </row>
    <row r="787" spans="1:23" x14ac:dyDescent="0.35">
      <c r="A787">
        <v>10786</v>
      </c>
      <c r="B787" t="s">
        <v>28</v>
      </c>
      <c r="C787" t="s">
        <v>31</v>
      </c>
      <c r="D787" t="s">
        <v>40</v>
      </c>
      <c r="E787">
        <v>66051</v>
      </c>
      <c r="F787">
        <f ca="1">DATEDIF(Table1[[#This Row],[Hire Date]], TODAY(), "Y")</f>
        <v>13</v>
      </c>
      <c r="G787" s="7">
        <f ca="1">YEARFRAC(Table1[[#This Row],[Hire Date]], TODAY())</f>
        <v>13.05</v>
      </c>
      <c r="H787" s="7">
        <v>41278</v>
      </c>
      <c r="I787">
        <v>27</v>
      </c>
      <c r="J787" t="s">
        <v>43</v>
      </c>
      <c r="K787">
        <v>5</v>
      </c>
      <c r="L787" t="s">
        <v>45</v>
      </c>
      <c r="M787">
        <v>4391.71</v>
      </c>
      <c r="N787" t="s">
        <v>47</v>
      </c>
      <c r="O787" t="s">
        <v>51</v>
      </c>
      <c r="P787">
        <v>10</v>
      </c>
      <c r="Q787" t="s">
        <v>55</v>
      </c>
      <c r="R787" t="s">
        <v>63</v>
      </c>
      <c r="S787">
        <v>12</v>
      </c>
      <c r="T787">
        <v>2014</v>
      </c>
      <c r="U787" t="s">
        <v>65</v>
      </c>
      <c r="V787">
        <v>175</v>
      </c>
      <c r="W787">
        <v>4.7</v>
      </c>
    </row>
    <row r="788" spans="1:23" x14ac:dyDescent="0.35">
      <c r="A788">
        <v>10787</v>
      </c>
      <c r="B788" t="s">
        <v>21</v>
      </c>
      <c r="C788" t="s">
        <v>33</v>
      </c>
      <c r="D788" t="s">
        <v>39</v>
      </c>
      <c r="E788">
        <v>45909</v>
      </c>
      <c r="F788">
        <f ca="1">DATEDIF(Table1[[#This Row],[Hire Date]], TODAY(), "Y")</f>
        <v>15</v>
      </c>
      <c r="G788" s="7">
        <f ca="1">YEARFRAC(Table1[[#This Row],[Hire Date]], TODAY())</f>
        <v>15.691666666666666</v>
      </c>
      <c r="H788" s="7">
        <v>40311</v>
      </c>
      <c r="I788">
        <v>27</v>
      </c>
      <c r="J788" t="s">
        <v>43</v>
      </c>
      <c r="K788">
        <v>4</v>
      </c>
      <c r="L788" t="s">
        <v>44</v>
      </c>
      <c r="M788">
        <v>4477.58</v>
      </c>
      <c r="N788" t="s">
        <v>48</v>
      </c>
      <c r="O788" t="s">
        <v>53</v>
      </c>
      <c r="P788">
        <v>36</v>
      </c>
      <c r="Q788" t="s">
        <v>56</v>
      </c>
      <c r="R788" t="s">
        <v>60</v>
      </c>
      <c r="S788">
        <v>8</v>
      </c>
      <c r="T788">
        <v>2016</v>
      </c>
      <c r="U788" t="s">
        <v>65</v>
      </c>
      <c r="V788">
        <v>8</v>
      </c>
      <c r="W788">
        <v>3.2</v>
      </c>
    </row>
    <row r="789" spans="1:23" x14ac:dyDescent="0.35">
      <c r="A789">
        <v>10788</v>
      </c>
      <c r="B789" t="s">
        <v>25</v>
      </c>
      <c r="C789" t="s">
        <v>33</v>
      </c>
      <c r="D789" t="s">
        <v>40</v>
      </c>
      <c r="E789">
        <v>119682</v>
      </c>
      <c r="F789">
        <f ca="1">DATEDIF(Table1[[#This Row],[Hire Date]], TODAY(), "Y")</f>
        <v>22</v>
      </c>
      <c r="G789" s="7">
        <f ca="1">YEARFRAC(Table1[[#This Row],[Hire Date]], TODAY())</f>
        <v>22.375</v>
      </c>
      <c r="H789" s="7">
        <v>37871</v>
      </c>
      <c r="I789">
        <v>53</v>
      </c>
      <c r="J789" t="s">
        <v>43</v>
      </c>
      <c r="K789">
        <v>9</v>
      </c>
      <c r="L789" t="s">
        <v>45</v>
      </c>
      <c r="M789">
        <v>5508.23</v>
      </c>
      <c r="N789" t="s">
        <v>49</v>
      </c>
      <c r="O789" t="s">
        <v>52</v>
      </c>
      <c r="P789">
        <v>6</v>
      </c>
      <c r="Q789" t="s">
        <v>56</v>
      </c>
      <c r="R789" t="s">
        <v>61</v>
      </c>
      <c r="S789">
        <v>4</v>
      </c>
      <c r="T789">
        <v>2011</v>
      </c>
      <c r="U789" t="s">
        <v>64</v>
      </c>
      <c r="V789">
        <v>86</v>
      </c>
      <c r="W789">
        <v>1.4</v>
      </c>
    </row>
    <row r="790" spans="1:23" x14ac:dyDescent="0.35">
      <c r="A790">
        <v>10789</v>
      </c>
      <c r="B790" t="s">
        <v>25</v>
      </c>
      <c r="C790" t="s">
        <v>30</v>
      </c>
      <c r="D790" t="s">
        <v>37</v>
      </c>
      <c r="E790">
        <v>107338</v>
      </c>
      <c r="F790">
        <f ca="1">DATEDIF(Table1[[#This Row],[Hire Date]], TODAY(), "Y")</f>
        <v>25</v>
      </c>
      <c r="G790" s="7">
        <f ca="1">YEARFRAC(Table1[[#This Row],[Hire Date]], TODAY())</f>
        <v>25.119444444444444</v>
      </c>
      <c r="H790" s="7">
        <v>36869</v>
      </c>
      <c r="I790">
        <v>60</v>
      </c>
      <c r="J790" t="s">
        <v>42</v>
      </c>
      <c r="K790">
        <v>5</v>
      </c>
      <c r="L790" t="s">
        <v>44</v>
      </c>
      <c r="M790">
        <v>681.47</v>
      </c>
      <c r="N790" t="s">
        <v>46</v>
      </c>
      <c r="O790" t="s">
        <v>53</v>
      </c>
      <c r="P790">
        <v>6</v>
      </c>
      <c r="Q790" t="s">
        <v>57</v>
      </c>
      <c r="R790" t="s">
        <v>59</v>
      </c>
      <c r="S790">
        <v>17</v>
      </c>
      <c r="T790">
        <v>2023</v>
      </c>
      <c r="U790" t="s">
        <v>65</v>
      </c>
      <c r="V790">
        <v>19</v>
      </c>
      <c r="W790">
        <v>1.9</v>
      </c>
    </row>
    <row r="791" spans="1:23" x14ac:dyDescent="0.35">
      <c r="A791">
        <v>10790</v>
      </c>
      <c r="B791" t="s">
        <v>21</v>
      </c>
      <c r="C791" t="s">
        <v>35</v>
      </c>
      <c r="D791" t="s">
        <v>36</v>
      </c>
      <c r="E791">
        <v>103432</v>
      </c>
      <c r="F791">
        <f ca="1">DATEDIF(Table1[[#This Row],[Hire Date]], TODAY(), "Y")</f>
        <v>15</v>
      </c>
      <c r="G791" s="7">
        <f ca="1">YEARFRAC(Table1[[#This Row],[Hire Date]], TODAY())</f>
        <v>15.688888888888888</v>
      </c>
      <c r="H791" s="7">
        <v>40312</v>
      </c>
      <c r="I791">
        <v>34</v>
      </c>
      <c r="J791" t="s">
        <v>43</v>
      </c>
      <c r="K791">
        <v>2</v>
      </c>
      <c r="L791" t="s">
        <v>44</v>
      </c>
      <c r="M791">
        <v>5218.33</v>
      </c>
      <c r="N791" t="s">
        <v>49</v>
      </c>
      <c r="O791" t="s">
        <v>53</v>
      </c>
      <c r="P791">
        <v>15</v>
      </c>
      <c r="Q791" t="s">
        <v>55</v>
      </c>
      <c r="R791" t="s">
        <v>60</v>
      </c>
      <c r="S791">
        <v>7</v>
      </c>
      <c r="T791">
        <v>2022</v>
      </c>
      <c r="U791" t="s">
        <v>64</v>
      </c>
      <c r="V791">
        <v>155</v>
      </c>
      <c r="W791">
        <v>4.4000000000000004</v>
      </c>
    </row>
    <row r="792" spans="1:23" x14ac:dyDescent="0.35">
      <c r="A792">
        <v>10791</v>
      </c>
      <c r="B792" t="s">
        <v>27</v>
      </c>
      <c r="C792" t="s">
        <v>30</v>
      </c>
      <c r="D792" t="s">
        <v>38</v>
      </c>
      <c r="E792">
        <v>58133</v>
      </c>
      <c r="F792">
        <f ca="1">DATEDIF(Table1[[#This Row],[Hire Date]], TODAY(), "Y")</f>
        <v>24</v>
      </c>
      <c r="G792" s="7">
        <f ca="1">YEARFRAC(Table1[[#This Row],[Hire Date]], TODAY())</f>
        <v>24.591666666666665</v>
      </c>
      <c r="H792" s="7">
        <v>37061</v>
      </c>
      <c r="I792">
        <v>24</v>
      </c>
      <c r="J792" t="s">
        <v>42</v>
      </c>
      <c r="K792">
        <v>1</v>
      </c>
      <c r="L792" t="s">
        <v>45</v>
      </c>
      <c r="M792">
        <v>3265.33</v>
      </c>
      <c r="N792" t="s">
        <v>46</v>
      </c>
      <c r="O792" t="s">
        <v>54</v>
      </c>
      <c r="P792">
        <v>29</v>
      </c>
      <c r="Q792" t="s">
        <v>55</v>
      </c>
      <c r="R792" t="s">
        <v>63</v>
      </c>
      <c r="S792">
        <v>19</v>
      </c>
      <c r="T792">
        <v>2015</v>
      </c>
      <c r="U792" t="s">
        <v>64</v>
      </c>
      <c r="V792">
        <v>144</v>
      </c>
      <c r="W792">
        <v>3</v>
      </c>
    </row>
    <row r="793" spans="1:23" x14ac:dyDescent="0.35">
      <c r="A793">
        <v>10792</v>
      </c>
      <c r="B793" t="s">
        <v>25</v>
      </c>
      <c r="C793" t="s">
        <v>30</v>
      </c>
      <c r="D793" t="s">
        <v>36</v>
      </c>
      <c r="E793">
        <v>81571</v>
      </c>
      <c r="F793">
        <f ca="1">DATEDIF(Table1[[#This Row],[Hire Date]], TODAY(), "Y")</f>
        <v>25</v>
      </c>
      <c r="G793" s="7">
        <f ca="1">YEARFRAC(Table1[[#This Row],[Hire Date]], TODAY())</f>
        <v>25.088888888888889</v>
      </c>
      <c r="H793" s="7">
        <v>36880</v>
      </c>
      <c r="I793">
        <v>62</v>
      </c>
      <c r="J793" t="s">
        <v>42</v>
      </c>
      <c r="K793">
        <v>7</v>
      </c>
      <c r="L793" t="s">
        <v>45</v>
      </c>
      <c r="M793">
        <v>9315.56</v>
      </c>
      <c r="N793" t="s">
        <v>46</v>
      </c>
      <c r="O793" t="s">
        <v>51</v>
      </c>
      <c r="P793">
        <v>25</v>
      </c>
      <c r="Q793" t="s">
        <v>55</v>
      </c>
      <c r="R793" t="s">
        <v>61</v>
      </c>
      <c r="S793">
        <v>13</v>
      </c>
      <c r="T793">
        <v>2020</v>
      </c>
      <c r="U793" t="s">
        <v>64</v>
      </c>
      <c r="V793">
        <v>72</v>
      </c>
      <c r="W793">
        <v>4.9000000000000004</v>
      </c>
    </row>
    <row r="794" spans="1:23" x14ac:dyDescent="0.35">
      <c r="A794">
        <v>10793</v>
      </c>
      <c r="B794" t="s">
        <v>23</v>
      </c>
      <c r="C794" t="s">
        <v>29</v>
      </c>
      <c r="D794" t="s">
        <v>38</v>
      </c>
      <c r="E794">
        <v>109062</v>
      </c>
      <c r="F794">
        <f ca="1">DATEDIF(Table1[[#This Row],[Hire Date]], TODAY(), "Y")</f>
        <v>16</v>
      </c>
      <c r="G794" s="7">
        <f ca="1">YEARFRAC(Table1[[#This Row],[Hire Date]], TODAY())</f>
        <v>16.361111111111111</v>
      </c>
      <c r="H794" s="7">
        <v>40068</v>
      </c>
      <c r="I794">
        <v>56</v>
      </c>
      <c r="J794" t="s">
        <v>42</v>
      </c>
      <c r="K794">
        <v>1</v>
      </c>
      <c r="L794" t="s">
        <v>44</v>
      </c>
      <c r="M794">
        <v>1333.49</v>
      </c>
      <c r="N794" t="s">
        <v>49</v>
      </c>
      <c r="O794" t="s">
        <v>50</v>
      </c>
      <c r="P794">
        <v>19</v>
      </c>
      <c r="Q794" t="s">
        <v>57</v>
      </c>
      <c r="R794" t="s">
        <v>60</v>
      </c>
      <c r="S794">
        <v>1</v>
      </c>
      <c r="T794">
        <v>2014</v>
      </c>
      <c r="U794" t="s">
        <v>66</v>
      </c>
      <c r="V794">
        <v>72</v>
      </c>
      <c r="W794">
        <v>1.5</v>
      </c>
    </row>
    <row r="795" spans="1:23" x14ac:dyDescent="0.35">
      <c r="A795">
        <v>10794</v>
      </c>
      <c r="B795" t="s">
        <v>22</v>
      </c>
      <c r="C795" t="s">
        <v>34</v>
      </c>
      <c r="D795" t="s">
        <v>41</v>
      </c>
      <c r="E795">
        <v>80908</v>
      </c>
      <c r="F795">
        <f ca="1">DATEDIF(Table1[[#This Row],[Hire Date]], TODAY(), "Y")</f>
        <v>12</v>
      </c>
      <c r="G795" s="7">
        <f ca="1">YEARFRAC(Table1[[#This Row],[Hire Date]], TODAY())</f>
        <v>12.305555555555555</v>
      </c>
      <c r="H795" s="7">
        <v>41549</v>
      </c>
      <c r="I795">
        <v>59</v>
      </c>
      <c r="J795" t="s">
        <v>43</v>
      </c>
      <c r="K795">
        <v>8</v>
      </c>
      <c r="L795" t="s">
        <v>44</v>
      </c>
      <c r="M795">
        <v>4863.54</v>
      </c>
      <c r="N795" t="s">
        <v>49</v>
      </c>
      <c r="O795" t="s">
        <v>52</v>
      </c>
      <c r="P795">
        <v>14</v>
      </c>
      <c r="Q795" t="s">
        <v>56</v>
      </c>
      <c r="R795" t="s">
        <v>61</v>
      </c>
      <c r="S795">
        <v>15</v>
      </c>
      <c r="T795">
        <v>2015</v>
      </c>
      <c r="U795" t="s">
        <v>64</v>
      </c>
      <c r="V795">
        <v>184</v>
      </c>
      <c r="W795">
        <v>2.7</v>
      </c>
    </row>
    <row r="796" spans="1:23" x14ac:dyDescent="0.35">
      <c r="A796">
        <v>10795</v>
      </c>
      <c r="B796" t="s">
        <v>28</v>
      </c>
      <c r="C796" t="s">
        <v>33</v>
      </c>
      <c r="D796" t="s">
        <v>41</v>
      </c>
      <c r="E796">
        <v>41278</v>
      </c>
      <c r="F796">
        <f ca="1">DATEDIF(Table1[[#This Row],[Hire Date]], TODAY(), "Y")</f>
        <v>23</v>
      </c>
      <c r="G796" s="7">
        <f ca="1">YEARFRAC(Table1[[#This Row],[Hire Date]], TODAY())</f>
        <v>23.369444444444444</v>
      </c>
      <c r="H796" s="7">
        <v>37508</v>
      </c>
      <c r="I796">
        <v>38</v>
      </c>
      <c r="J796" t="s">
        <v>42</v>
      </c>
      <c r="K796">
        <v>9</v>
      </c>
      <c r="L796" t="s">
        <v>45</v>
      </c>
      <c r="M796">
        <v>9500.9500000000007</v>
      </c>
      <c r="N796" t="s">
        <v>46</v>
      </c>
      <c r="O796" t="s">
        <v>50</v>
      </c>
      <c r="P796">
        <v>3</v>
      </c>
      <c r="Q796" t="s">
        <v>55</v>
      </c>
      <c r="R796" t="s">
        <v>59</v>
      </c>
      <c r="S796">
        <v>0</v>
      </c>
      <c r="T796">
        <v>2014</v>
      </c>
      <c r="U796" t="s">
        <v>64</v>
      </c>
      <c r="V796">
        <v>173</v>
      </c>
      <c r="W796">
        <v>2.2999999999999998</v>
      </c>
    </row>
    <row r="797" spans="1:23" x14ac:dyDescent="0.35">
      <c r="A797">
        <v>10796</v>
      </c>
      <c r="B797" t="s">
        <v>21</v>
      </c>
      <c r="C797" t="s">
        <v>30</v>
      </c>
      <c r="D797" t="s">
        <v>40</v>
      </c>
      <c r="E797">
        <v>81458</v>
      </c>
      <c r="F797">
        <f ca="1">DATEDIF(Table1[[#This Row],[Hire Date]], TODAY(), "Y")</f>
        <v>9</v>
      </c>
      <c r="G797" s="7">
        <f ca="1">YEARFRAC(Table1[[#This Row],[Hire Date]], TODAY())</f>
        <v>9.3222222222222229</v>
      </c>
      <c r="H797" s="7">
        <v>42639</v>
      </c>
      <c r="I797">
        <v>24</v>
      </c>
      <c r="J797" t="s">
        <v>42</v>
      </c>
      <c r="K797">
        <v>7</v>
      </c>
      <c r="L797" t="s">
        <v>45</v>
      </c>
      <c r="M797">
        <v>9059.83</v>
      </c>
      <c r="N797" t="s">
        <v>47</v>
      </c>
      <c r="O797" t="s">
        <v>52</v>
      </c>
      <c r="P797">
        <v>14</v>
      </c>
      <c r="Q797" t="s">
        <v>55</v>
      </c>
      <c r="R797" t="s">
        <v>60</v>
      </c>
      <c r="S797">
        <v>12</v>
      </c>
      <c r="T797">
        <v>2016</v>
      </c>
      <c r="U797" t="s">
        <v>65</v>
      </c>
      <c r="V797">
        <v>109</v>
      </c>
      <c r="W797">
        <v>3.1</v>
      </c>
    </row>
    <row r="798" spans="1:23" x14ac:dyDescent="0.35">
      <c r="A798">
        <v>10797</v>
      </c>
      <c r="B798" t="s">
        <v>23</v>
      </c>
      <c r="C798" t="s">
        <v>30</v>
      </c>
      <c r="D798" t="s">
        <v>39</v>
      </c>
      <c r="E798">
        <v>94265</v>
      </c>
      <c r="F798">
        <f ca="1">DATEDIF(Table1[[#This Row],[Hire Date]], TODAY(), "Y")</f>
        <v>8</v>
      </c>
      <c r="G798" s="7">
        <f ca="1">YEARFRAC(Table1[[#This Row],[Hire Date]], TODAY())</f>
        <v>8.9555555555555557</v>
      </c>
      <c r="H798" s="7">
        <v>42774</v>
      </c>
      <c r="I798">
        <v>55</v>
      </c>
      <c r="J798" t="s">
        <v>43</v>
      </c>
      <c r="K798">
        <v>9</v>
      </c>
      <c r="L798" t="s">
        <v>45</v>
      </c>
      <c r="M798">
        <v>7162.81</v>
      </c>
      <c r="N798" t="s">
        <v>48</v>
      </c>
      <c r="O798" t="s">
        <v>51</v>
      </c>
      <c r="P798">
        <v>39</v>
      </c>
      <c r="Q798" t="s">
        <v>56</v>
      </c>
      <c r="R798" t="s">
        <v>61</v>
      </c>
      <c r="S798">
        <v>17</v>
      </c>
      <c r="T798">
        <v>2014</v>
      </c>
      <c r="U798" t="s">
        <v>66</v>
      </c>
      <c r="V798">
        <v>63</v>
      </c>
      <c r="W798">
        <v>3.5</v>
      </c>
    </row>
    <row r="799" spans="1:23" x14ac:dyDescent="0.35">
      <c r="A799">
        <v>10798</v>
      </c>
      <c r="B799" t="s">
        <v>21</v>
      </c>
      <c r="C799" t="s">
        <v>35</v>
      </c>
      <c r="D799" t="s">
        <v>41</v>
      </c>
      <c r="E799">
        <v>86782</v>
      </c>
      <c r="F799">
        <f ca="1">DATEDIF(Table1[[#This Row],[Hire Date]], TODAY(), "Y")</f>
        <v>22</v>
      </c>
      <c r="G799" s="7">
        <f ca="1">YEARFRAC(Table1[[#This Row],[Hire Date]], TODAY())</f>
        <v>22.375</v>
      </c>
      <c r="H799" s="7">
        <v>37871</v>
      </c>
      <c r="I799">
        <v>33</v>
      </c>
      <c r="J799" t="s">
        <v>42</v>
      </c>
      <c r="K799">
        <v>6</v>
      </c>
      <c r="L799" t="s">
        <v>45</v>
      </c>
      <c r="M799">
        <v>6098.93</v>
      </c>
      <c r="N799" t="s">
        <v>46</v>
      </c>
      <c r="O799" t="s">
        <v>54</v>
      </c>
      <c r="P799">
        <v>39</v>
      </c>
      <c r="Q799" t="s">
        <v>55</v>
      </c>
      <c r="R799" t="s">
        <v>60</v>
      </c>
      <c r="S799">
        <v>0</v>
      </c>
      <c r="T799">
        <v>2023</v>
      </c>
      <c r="U799" t="s">
        <v>65</v>
      </c>
      <c r="V799">
        <v>62</v>
      </c>
      <c r="W799">
        <v>3.6</v>
      </c>
    </row>
    <row r="800" spans="1:23" x14ac:dyDescent="0.35">
      <c r="A800">
        <v>10799</v>
      </c>
      <c r="B800" t="s">
        <v>28</v>
      </c>
      <c r="C800" t="s">
        <v>30</v>
      </c>
      <c r="D800" t="s">
        <v>40</v>
      </c>
      <c r="E800">
        <v>85415</v>
      </c>
      <c r="F800">
        <f ca="1">DATEDIF(Table1[[#This Row],[Hire Date]], TODAY(), "Y")</f>
        <v>10</v>
      </c>
      <c r="G800" s="7">
        <f ca="1">YEARFRAC(Table1[[#This Row],[Hire Date]], TODAY())</f>
        <v>10.475</v>
      </c>
      <c r="H800" s="7">
        <v>42217</v>
      </c>
      <c r="I800">
        <v>45</v>
      </c>
      <c r="J800" t="s">
        <v>43</v>
      </c>
      <c r="K800">
        <v>7</v>
      </c>
      <c r="L800" t="s">
        <v>45</v>
      </c>
      <c r="M800">
        <v>3166.94</v>
      </c>
      <c r="N800" t="s">
        <v>48</v>
      </c>
      <c r="O800" t="s">
        <v>50</v>
      </c>
      <c r="P800">
        <v>21</v>
      </c>
      <c r="Q800" t="s">
        <v>57</v>
      </c>
      <c r="R800" t="s">
        <v>63</v>
      </c>
      <c r="S800">
        <v>6</v>
      </c>
      <c r="T800">
        <v>2022</v>
      </c>
      <c r="U800" t="s">
        <v>65</v>
      </c>
      <c r="V800">
        <v>124</v>
      </c>
      <c r="W800">
        <v>1</v>
      </c>
    </row>
    <row r="801" spans="1:23" x14ac:dyDescent="0.35">
      <c r="A801">
        <v>10800</v>
      </c>
      <c r="B801" t="s">
        <v>24</v>
      </c>
      <c r="C801" t="s">
        <v>32</v>
      </c>
      <c r="D801" t="s">
        <v>36</v>
      </c>
      <c r="E801">
        <v>84160</v>
      </c>
      <c r="F801">
        <f ca="1">DATEDIF(Table1[[#This Row],[Hire Date]], TODAY(), "Y")</f>
        <v>9</v>
      </c>
      <c r="G801" s="7">
        <f ca="1">YEARFRAC(Table1[[#This Row],[Hire Date]], TODAY())</f>
        <v>9.625</v>
      </c>
      <c r="H801" s="7">
        <v>42528</v>
      </c>
      <c r="I801">
        <v>27</v>
      </c>
      <c r="J801" t="s">
        <v>43</v>
      </c>
      <c r="K801">
        <v>3</v>
      </c>
      <c r="L801" t="s">
        <v>44</v>
      </c>
      <c r="M801">
        <v>3986.09</v>
      </c>
      <c r="N801" t="s">
        <v>47</v>
      </c>
      <c r="O801" t="s">
        <v>52</v>
      </c>
      <c r="P801">
        <v>11</v>
      </c>
      <c r="Q801" t="s">
        <v>55</v>
      </c>
      <c r="R801" t="s">
        <v>63</v>
      </c>
      <c r="S801">
        <v>3</v>
      </c>
      <c r="T801">
        <v>2016</v>
      </c>
      <c r="U801" t="s">
        <v>64</v>
      </c>
      <c r="V801">
        <v>191</v>
      </c>
      <c r="W801">
        <v>1.4</v>
      </c>
    </row>
    <row r="802" spans="1:23" x14ac:dyDescent="0.35">
      <c r="A802">
        <v>10801</v>
      </c>
      <c r="B802" t="s">
        <v>28</v>
      </c>
      <c r="C802" t="s">
        <v>34</v>
      </c>
      <c r="D802" t="s">
        <v>41</v>
      </c>
      <c r="E802">
        <v>84399</v>
      </c>
      <c r="F802">
        <f ca="1">DATEDIF(Table1[[#This Row],[Hire Date]], TODAY(), "Y")</f>
        <v>17</v>
      </c>
      <c r="G802" s="7">
        <f ca="1">YEARFRAC(Table1[[#This Row],[Hire Date]], TODAY())</f>
        <v>17.816666666666666</v>
      </c>
      <c r="H802" s="7">
        <v>39535</v>
      </c>
      <c r="I802">
        <v>63</v>
      </c>
      <c r="J802" t="s">
        <v>42</v>
      </c>
      <c r="K802">
        <v>9</v>
      </c>
      <c r="L802" t="s">
        <v>44</v>
      </c>
      <c r="M802">
        <v>1356.28</v>
      </c>
      <c r="N802" t="s">
        <v>47</v>
      </c>
      <c r="O802" t="s">
        <v>53</v>
      </c>
      <c r="P802">
        <v>10</v>
      </c>
      <c r="Q802" t="s">
        <v>56</v>
      </c>
      <c r="R802" t="s">
        <v>63</v>
      </c>
      <c r="S802">
        <v>9</v>
      </c>
      <c r="T802">
        <v>2010</v>
      </c>
      <c r="U802" t="s">
        <v>66</v>
      </c>
      <c r="V802">
        <v>155</v>
      </c>
      <c r="W802">
        <v>1.1000000000000001</v>
      </c>
    </row>
    <row r="803" spans="1:23" x14ac:dyDescent="0.35">
      <c r="A803">
        <v>10802</v>
      </c>
      <c r="B803" t="s">
        <v>27</v>
      </c>
      <c r="C803" t="s">
        <v>33</v>
      </c>
      <c r="D803" t="s">
        <v>36</v>
      </c>
      <c r="E803">
        <v>55298</v>
      </c>
      <c r="F803">
        <f ca="1">DATEDIF(Table1[[#This Row],[Hire Date]], TODAY(), "Y")</f>
        <v>24</v>
      </c>
      <c r="G803" s="7">
        <f ca="1">YEARFRAC(Table1[[#This Row],[Hire Date]], TODAY())</f>
        <v>24.616666666666667</v>
      </c>
      <c r="H803" s="7">
        <v>37052</v>
      </c>
      <c r="I803">
        <v>32</v>
      </c>
      <c r="J803" t="s">
        <v>42</v>
      </c>
      <c r="K803">
        <v>3</v>
      </c>
      <c r="L803" t="s">
        <v>44</v>
      </c>
      <c r="M803">
        <v>7968.03</v>
      </c>
      <c r="N803" t="s">
        <v>48</v>
      </c>
      <c r="O803" t="s">
        <v>51</v>
      </c>
      <c r="P803">
        <v>15</v>
      </c>
      <c r="Q803" t="s">
        <v>57</v>
      </c>
      <c r="R803" t="s">
        <v>59</v>
      </c>
      <c r="S803">
        <v>7</v>
      </c>
      <c r="T803">
        <v>2018</v>
      </c>
      <c r="U803" t="s">
        <v>66</v>
      </c>
      <c r="V803">
        <v>133</v>
      </c>
      <c r="W803">
        <v>4.5</v>
      </c>
    </row>
    <row r="804" spans="1:23" x14ac:dyDescent="0.35">
      <c r="A804">
        <v>10803</v>
      </c>
      <c r="B804" t="s">
        <v>28</v>
      </c>
      <c r="C804" t="s">
        <v>33</v>
      </c>
      <c r="D804" t="s">
        <v>36</v>
      </c>
      <c r="E804">
        <v>52191</v>
      </c>
      <c r="F804">
        <f ca="1">DATEDIF(Table1[[#This Row],[Hire Date]], TODAY(), "Y")</f>
        <v>7</v>
      </c>
      <c r="G804" s="7">
        <f ca="1">YEARFRAC(Table1[[#This Row],[Hire Date]], TODAY())</f>
        <v>7.8555555555555552</v>
      </c>
      <c r="H804" s="7">
        <v>43173</v>
      </c>
      <c r="I804">
        <v>48</v>
      </c>
      <c r="J804" t="s">
        <v>42</v>
      </c>
      <c r="K804">
        <v>6</v>
      </c>
      <c r="L804" t="s">
        <v>45</v>
      </c>
      <c r="M804">
        <v>3576.76</v>
      </c>
      <c r="N804" t="s">
        <v>46</v>
      </c>
      <c r="O804" t="s">
        <v>54</v>
      </c>
      <c r="P804">
        <v>30</v>
      </c>
      <c r="Q804" t="s">
        <v>55</v>
      </c>
      <c r="R804" t="s">
        <v>60</v>
      </c>
      <c r="S804">
        <v>2</v>
      </c>
      <c r="T804">
        <v>2015</v>
      </c>
      <c r="U804" t="s">
        <v>64</v>
      </c>
      <c r="V804">
        <v>60</v>
      </c>
      <c r="W804">
        <v>2.2999999999999998</v>
      </c>
    </row>
    <row r="805" spans="1:23" x14ac:dyDescent="0.35">
      <c r="A805">
        <v>10804</v>
      </c>
      <c r="B805" t="s">
        <v>28</v>
      </c>
      <c r="C805" t="s">
        <v>35</v>
      </c>
      <c r="D805" t="s">
        <v>39</v>
      </c>
      <c r="E805">
        <v>86964</v>
      </c>
      <c r="F805">
        <f ca="1">DATEDIF(Table1[[#This Row],[Hire Date]], TODAY(), "Y")</f>
        <v>6</v>
      </c>
      <c r="G805" s="7">
        <f ca="1">YEARFRAC(Table1[[#This Row],[Hire Date]], TODAY())</f>
        <v>6.2027777777777775</v>
      </c>
      <c r="H805" s="7">
        <v>43778</v>
      </c>
      <c r="I805">
        <v>45</v>
      </c>
      <c r="J805" t="s">
        <v>42</v>
      </c>
      <c r="K805">
        <v>4</v>
      </c>
      <c r="L805" t="s">
        <v>44</v>
      </c>
      <c r="M805">
        <v>6843.93</v>
      </c>
      <c r="N805" t="s">
        <v>48</v>
      </c>
      <c r="O805" t="s">
        <v>53</v>
      </c>
      <c r="P805">
        <v>17</v>
      </c>
      <c r="Q805" t="s">
        <v>56</v>
      </c>
      <c r="R805" t="s">
        <v>61</v>
      </c>
      <c r="S805">
        <v>6</v>
      </c>
      <c r="T805">
        <v>2018</v>
      </c>
      <c r="U805" t="s">
        <v>66</v>
      </c>
      <c r="V805">
        <v>8</v>
      </c>
      <c r="W805">
        <v>2.5</v>
      </c>
    </row>
    <row r="806" spans="1:23" x14ac:dyDescent="0.35">
      <c r="A806">
        <v>10805</v>
      </c>
      <c r="B806" t="s">
        <v>27</v>
      </c>
      <c r="C806" t="s">
        <v>29</v>
      </c>
      <c r="D806" t="s">
        <v>41</v>
      </c>
      <c r="E806">
        <v>63092</v>
      </c>
      <c r="F806">
        <f ca="1">DATEDIF(Table1[[#This Row],[Hire Date]], TODAY(), "Y")</f>
        <v>23</v>
      </c>
      <c r="G806" s="7">
        <f ca="1">YEARFRAC(Table1[[#This Row],[Hire Date]], TODAY())</f>
        <v>23.508333333333333</v>
      </c>
      <c r="H806" s="7">
        <v>37456</v>
      </c>
      <c r="I806">
        <v>39</v>
      </c>
      <c r="J806" t="s">
        <v>43</v>
      </c>
      <c r="K806">
        <v>9</v>
      </c>
      <c r="L806" t="s">
        <v>45</v>
      </c>
      <c r="M806">
        <v>3897.15</v>
      </c>
      <c r="N806" t="s">
        <v>46</v>
      </c>
      <c r="O806" t="s">
        <v>54</v>
      </c>
      <c r="P806">
        <v>29</v>
      </c>
      <c r="Q806" t="s">
        <v>56</v>
      </c>
      <c r="R806" t="s">
        <v>61</v>
      </c>
      <c r="S806">
        <v>15</v>
      </c>
      <c r="T806">
        <v>2010</v>
      </c>
      <c r="U806" t="s">
        <v>64</v>
      </c>
      <c r="V806">
        <v>33</v>
      </c>
      <c r="W806">
        <v>2.8</v>
      </c>
    </row>
    <row r="807" spans="1:23" x14ac:dyDescent="0.35">
      <c r="A807">
        <v>10806</v>
      </c>
      <c r="B807" t="s">
        <v>22</v>
      </c>
      <c r="C807" t="s">
        <v>33</v>
      </c>
      <c r="D807" t="s">
        <v>36</v>
      </c>
      <c r="E807">
        <v>119407</v>
      </c>
      <c r="F807">
        <f ca="1">DATEDIF(Table1[[#This Row],[Hire Date]], TODAY(), "Y")</f>
        <v>18</v>
      </c>
      <c r="G807" s="7">
        <f ca="1">YEARFRAC(Table1[[#This Row],[Hire Date]], TODAY())</f>
        <v>18.508333333333333</v>
      </c>
      <c r="H807" s="7">
        <v>39282</v>
      </c>
      <c r="I807">
        <v>48</v>
      </c>
      <c r="J807" t="s">
        <v>42</v>
      </c>
      <c r="K807">
        <v>1</v>
      </c>
      <c r="L807" t="s">
        <v>45</v>
      </c>
      <c r="M807">
        <v>4911.1400000000003</v>
      </c>
      <c r="N807" t="s">
        <v>49</v>
      </c>
      <c r="O807" t="s">
        <v>52</v>
      </c>
      <c r="P807">
        <v>17</v>
      </c>
      <c r="Q807" t="s">
        <v>56</v>
      </c>
      <c r="R807" t="s">
        <v>58</v>
      </c>
      <c r="S807">
        <v>19</v>
      </c>
      <c r="T807">
        <v>2011</v>
      </c>
      <c r="U807" t="s">
        <v>66</v>
      </c>
      <c r="V807">
        <v>21</v>
      </c>
      <c r="W807">
        <v>4.4000000000000004</v>
      </c>
    </row>
    <row r="808" spans="1:23" x14ac:dyDescent="0.35">
      <c r="A808">
        <v>10807</v>
      </c>
      <c r="B808" t="s">
        <v>25</v>
      </c>
      <c r="C808" t="s">
        <v>32</v>
      </c>
      <c r="D808" t="s">
        <v>39</v>
      </c>
      <c r="E808">
        <v>105257</v>
      </c>
      <c r="F808">
        <f ca="1">DATEDIF(Table1[[#This Row],[Hire Date]], TODAY(), "Y")</f>
        <v>19</v>
      </c>
      <c r="G808" s="7">
        <f ca="1">YEARFRAC(Table1[[#This Row],[Hire Date]], TODAY())</f>
        <v>19.808333333333334</v>
      </c>
      <c r="H808" s="7">
        <v>38808</v>
      </c>
      <c r="I808">
        <v>62</v>
      </c>
      <c r="J808" t="s">
        <v>42</v>
      </c>
      <c r="K808">
        <v>9</v>
      </c>
      <c r="L808" t="s">
        <v>45</v>
      </c>
      <c r="M808">
        <v>5772.52</v>
      </c>
      <c r="N808" t="s">
        <v>46</v>
      </c>
      <c r="O808" t="s">
        <v>53</v>
      </c>
      <c r="P808">
        <v>33</v>
      </c>
      <c r="Q808" t="s">
        <v>56</v>
      </c>
      <c r="R808" t="s">
        <v>62</v>
      </c>
      <c r="S808">
        <v>9</v>
      </c>
      <c r="T808">
        <v>2016</v>
      </c>
      <c r="U808" t="s">
        <v>66</v>
      </c>
      <c r="V808">
        <v>181</v>
      </c>
      <c r="W808">
        <v>1.1000000000000001</v>
      </c>
    </row>
    <row r="809" spans="1:23" x14ac:dyDescent="0.35">
      <c r="A809">
        <v>10808</v>
      </c>
      <c r="B809" t="s">
        <v>28</v>
      </c>
      <c r="C809" t="s">
        <v>33</v>
      </c>
      <c r="D809" t="s">
        <v>39</v>
      </c>
      <c r="E809">
        <v>92513</v>
      </c>
      <c r="F809">
        <f ca="1">DATEDIF(Table1[[#This Row],[Hire Date]], TODAY(), "Y")</f>
        <v>20</v>
      </c>
      <c r="G809" s="7">
        <f ca="1">YEARFRAC(Table1[[#This Row],[Hire Date]], TODAY())</f>
        <v>20.727777777777778</v>
      </c>
      <c r="H809" s="7">
        <v>38472</v>
      </c>
      <c r="I809">
        <v>42</v>
      </c>
      <c r="J809" t="s">
        <v>43</v>
      </c>
      <c r="K809">
        <v>4</v>
      </c>
      <c r="L809" t="s">
        <v>44</v>
      </c>
      <c r="M809">
        <v>8117.6</v>
      </c>
      <c r="N809" t="s">
        <v>49</v>
      </c>
      <c r="O809" t="s">
        <v>54</v>
      </c>
      <c r="P809">
        <v>38</v>
      </c>
      <c r="Q809" t="s">
        <v>55</v>
      </c>
      <c r="R809" t="s">
        <v>63</v>
      </c>
      <c r="S809">
        <v>12</v>
      </c>
      <c r="T809">
        <v>2013</v>
      </c>
      <c r="U809" t="s">
        <v>64</v>
      </c>
      <c r="V809">
        <v>55</v>
      </c>
      <c r="W809">
        <v>1.5</v>
      </c>
    </row>
    <row r="810" spans="1:23" x14ac:dyDescent="0.35">
      <c r="A810">
        <v>10809</v>
      </c>
      <c r="B810" t="s">
        <v>27</v>
      </c>
      <c r="C810" t="s">
        <v>32</v>
      </c>
      <c r="D810" t="s">
        <v>41</v>
      </c>
      <c r="E810">
        <v>81097</v>
      </c>
      <c r="F810">
        <f ca="1">DATEDIF(Table1[[#This Row],[Hire Date]], TODAY(), "Y")</f>
        <v>15</v>
      </c>
      <c r="G810" s="7">
        <f ca="1">YEARFRAC(Table1[[#This Row],[Hire Date]], TODAY())</f>
        <v>15.305555555555555</v>
      </c>
      <c r="H810" s="7">
        <v>40453</v>
      </c>
      <c r="I810">
        <v>55</v>
      </c>
      <c r="J810" t="s">
        <v>42</v>
      </c>
      <c r="K810">
        <v>5</v>
      </c>
      <c r="L810" t="s">
        <v>44</v>
      </c>
      <c r="M810">
        <v>2505.9899999999998</v>
      </c>
      <c r="N810" t="s">
        <v>49</v>
      </c>
      <c r="O810" t="s">
        <v>51</v>
      </c>
      <c r="P810">
        <v>21</v>
      </c>
      <c r="Q810" t="s">
        <v>55</v>
      </c>
      <c r="R810" t="s">
        <v>63</v>
      </c>
      <c r="S810">
        <v>0</v>
      </c>
      <c r="T810">
        <v>2023</v>
      </c>
      <c r="U810" t="s">
        <v>66</v>
      </c>
      <c r="V810">
        <v>181</v>
      </c>
      <c r="W810">
        <v>3.7</v>
      </c>
    </row>
    <row r="811" spans="1:23" x14ac:dyDescent="0.35">
      <c r="A811">
        <v>10810</v>
      </c>
      <c r="B811" t="s">
        <v>23</v>
      </c>
      <c r="C811" t="s">
        <v>34</v>
      </c>
      <c r="D811" t="s">
        <v>39</v>
      </c>
      <c r="E811">
        <v>60279</v>
      </c>
      <c r="F811">
        <f ca="1">DATEDIF(Table1[[#This Row],[Hire Date]], TODAY(), "Y")</f>
        <v>11</v>
      </c>
      <c r="G811" s="7">
        <f ca="1">YEARFRAC(Table1[[#This Row],[Hire Date]], TODAY())</f>
        <v>11.322222222222223</v>
      </c>
      <c r="H811" s="7">
        <v>41908</v>
      </c>
      <c r="I811">
        <v>54</v>
      </c>
      <c r="J811" t="s">
        <v>42</v>
      </c>
      <c r="K811">
        <v>1</v>
      </c>
      <c r="L811" t="s">
        <v>44</v>
      </c>
      <c r="M811">
        <v>4288.2700000000004</v>
      </c>
      <c r="N811" t="s">
        <v>48</v>
      </c>
      <c r="O811" t="s">
        <v>50</v>
      </c>
      <c r="P811">
        <v>14</v>
      </c>
      <c r="Q811" t="s">
        <v>57</v>
      </c>
      <c r="R811" t="s">
        <v>63</v>
      </c>
      <c r="S811">
        <v>6</v>
      </c>
      <c r="T811">
        <v>2022</v>
      </c>
      <c r="U811" t="s">
        <v>66</v>
      </c>
      <c r="V811">
        <v>28</v>
      </c>
      <c r="W811">
        <v>4.9000000000000004</v>
      </c>
    </row>
    <row r="812" spans="1:23" x14ac:dyDescent="0.35">
      <c r="A812">
        <v>10811</v>
      </c>
      <c r="B812" t="s">
        <v>24</v>
      </c>
      <c r="C812" t="s">
        <v>34</v>
      </c>
      <c r="D812" t="s">
        <v>41</v>
      </c>
      <c r="E812">
        <v>44404</v>
      </c>
      <c r="F812">
        <f ca="1">DATEDIF(Table1[[#This Row],[Hire Date]], TODAY(), "Y")</f>
        <v>6</v>
      </c>
      <c r="G812" s="7">
        <f ca="1">YEARFRAC(Table1[[#This Row],[Hire Date]], TODAY())</f>
        <v>6.416666666666667</v>
      </c>
      <c r="H812" s="7">
        <v>43699</v>
      </c>
      <c r="I812">
        <v>39</v>
      </c>
      <c r="J812" t="s">
        <v>42</v>
      </c>
      <c r="K812">
        <v>1</v>
      </c>
      <c r="L812" t="s">
        <v>44</v>
      </c>
      <c r="M812">
        <v>1735.77</v>
      </c>
      <c r="N812" t="s">
        <v>49</v>
      </c>
      <c r="O812" t="s">
        <v>50</v>
      </c>
      <c r="P812">
        <v>10</v>
      </c>
      <c r="Q812" t="s">
        <v>57</v>
      </c>
      <c r="R812" t="s">
        <v>58</v>
      </c>
      <c r="S812">
        <v>9</v>
      </c>
      <c r="T812">
        <v>2019</v>
      </c>
      <c r="U812" t="s">
        <v>66</v>
      </c>
      <c r="V812">
        <v>48</v>
      </c>
      <c r="W812">
        <v>3.6</v>
      </c>
    </row>
    <row r="813" spans="1:23" x14ac:dyDescent="0.35">
      <c r="A813">
        <v>10812</v>
      </c>
      <c r="B813" t="s">
        <v>24</v>
      </c>
      <c r="C813" t="s">
        <v>31</v>
      </c>
      <c r="D813" t="s">
        <v>41</v>
      </c>
      <c r="E813">
        <v>100022</v>
      </c>
      <c r="F813">
        <f ca="1">DATEDIF(Table1[[#This Row],[Hire Date]], TODAY(), "Y")</f>
        <v>19</v>
      </c>
      <c r="G813" s="7">
        <f ca="1">YEARFRAC(Table1[[#This Row],[Hire Date]], TODAY())</f>
        <v>19.100000000000001</v>
      </c>
      <c r="H813" s="7">
        <v>39067</v>
      </c>
      <c r="I813">
        <v>24</v>
      </c>
      <c r="J813" t="s">
        <v>42</v>
      </c>
      <c r="K813">
        <v>6</v>
      </c>
      <c r="L813" t="s">
        <v>45</v>
      </c>
      <c r="M813">
        <v>1219.72</v>
      </c>
      <c r="N813" t="s">
        <v>48</v>
      </c>
      <c r="O813" t="s">
        <v>53</v>
      </c>
      <c r="P813">
        <v>23</v>
      </c>
      <c r="Q813" t="s">
        <v>56</v>
      </c>
      <c r="R813" t="s">
        <v>58</v>
      </c>
      <c r="S813">
        <v>11</v>
      </c>
      <c r="T813">
        <v>2023</v>
      </c>
      <c r="U813" t="s">
        <v>65</v>
      </c>
      <c r="V813">
        <v>120</v>
      </c>
      <c r="W813">
        <v>2</v>
      </c>
    </row>
    <row r="814" spans="1:23" x14ac:dyDescent="0.35">
      <c r="A814">
        <v>10813</v>
      </c>
      <c r="B814" t="s">
        <v>28</v>
      </c>
      <c r="C814" t="s">
        <v>31</v>
      </c>
      <c r="D814" t="s">
        <v>38</v>
      </c>
      <c r="E814">
        <v>65198</v>
      </c>
      <c r="F814">
        <f ca="1">DATEDIF(Table1[[#This Row],[Hire Date]], TODAY(), "Y")</f>
        <v>20</v>
      </c>
      <c r="G814" s="7">
        <f ca="1">YEARFRAC(Table1[[#This Row],[Hire Date]], TODAY())</f>
        <v>20.81111111111111</v>
      </c>
      <c r="H814" s="7">
        <v>38442</v>
      </c>
      <c r="I814">
        <v>45</v>
      </c>
      <c r="J814" t="s">
        <v>42</v>
      </c>
      <c r="K814">
        <v>1</v>
      </c>
      <c r="L814" t="s">
        <v>45</v>
      </c>
      <c r="M814">
        <v>6244.41</v>
      </c>
      <c r="N814" t="s">
        <v>48</v>
      </c>
      <c r="O814" t="s">
        <v>51</v>
      </c>
      <c r="P814">
        <v>39</v>
      </c>
      <c r="Q814" t="s">
        <v>56</v>
      </c>
      <c r="R814" t="s">
        <v>58</v>
      </c>
      <c r="S814">
        <v>13</v>
      </c>
      <c r="T814">
        <v>2010</v>
      </c>
      <c r="U814" t="s">
        <v>64</v>
      </c>
      <c r="V814">
        <v>173</v>
      </c>
      <c r="W814">
        <v>3.1</v>
      </c>
    </row>
    <row r="815" spans="1:23" x14ac:dyDescent="0.35">
      <c r="A815">
        <v>10814</v>
      </c>
      <c r="B815" t="s">
        <v>22</v>
      </c>
      <c r="C815" t="s">
        <v>32</v>
      </c>
      <c r="D815" t="s">
        <v>36</v>
      </c>
      <c r="E815">
        <v>79997</v>
      </c>
      <c r="F815">
        <f ca="1">DATEDIF(Table1[[#This Row],[Hire Date]], TODAY(), "Y")</f>
        <v>16</v>
      </c>
      <c r="G815" s="7">
        <f ca="1">YEARFRAC(Table1[[#This Row],[Hire Date]], TODAY())</f>
        <v>16.855555555555554</v>
      </c>
      <c r="H815" s="7">
        <v>39886</v>
      </c>
      <c r="I815">
        <v>22</v>
      </c>
      <c r="J815" t="s">
        <v>43</v>
      </c>
      <c r="K815">
        <v>2</v>
      </c>
      <c r="L815" t="s">
        <v>44</v>
      </c>
      <c r="M815">
        <v>2296.36</v>
      </c>
      <c r="N815" t="s">
        <v>47</v>
      </c>
      <c r="O815" t="s">
        <v>51</v>
      </c>
      <c r="P815">
        <v>39</v>
      </c>
      <c r="Q815" t="s">
        <v>57</v>
      </c>
      <c r="R815" t="s">
        <v>63</v>
      </c>
      <c r="S815">
        <v>10</v>
      </c>
      <c r="T815">
        <v>2014</v>
      </c>
      <c r="U815" t="s">
        <v>65</v>
      </c>
      <c r="V815">
        <v>61</v>
      </c>
      <c r="W815">
        <v>4.9000000000000004</v>
      </c>
    </row>
    <row r="816" spans="1:23" x14ac:dyDescent="0.35">
      <c r="A816">
        <v>10815</v>
      </c>
      <c r="B816" t="s">
        <v>22</v>
      </c>
      <c r="C816" t="s">
        <v>29</v>
      </c>
      <c r="D816" t="s">
        <v>37</v>
      </c>
      <c r="E816">
        <v>108692</v>
      </c>
      <c r="F816">
        <f ca="1">DATEDIF(Table1[[#This Row],[Hire Date]], TODAY(), "Y")</f>
        <v>21</v>
      </c>
      <c r="G816" s="7">
        <f ca="1">YEARFRAC(Table1[[#This Row],[Hire Date]], TODAY())</f>
        <v>21.694444444444443</v>
      </c>
      <c r="H816" s="7">
        <v>38119</v>
      </c>
      <c r="I816">
        <v>27</v>
      </c>
      <c r="J816" t="s">
        <v>42</v>
      </c>
      <c r="K816">
        <v>3</v>
      </c>
      <c r="L816" t="s">
        <v>44</v>
      </c>
      <c r="M816">
        <v>1068.0899999999999</v>
      </c>
      <c r="N816" t="s">
        <v>48</v>
      </c>
      <c r="O816" t="s">
        <v>54</v>
      </c>
      <c r="P816">
        <v>14</v>
      </c>
      <c r="Q816" t="s">
        <v>55</v>
      </c>
      <c r="R816" t="s">
        <v>61</v>
      </c>
      <c r="S816">
        <v>16</v>
      </c>
      <c r="T816">
        <v>2013</v>
      </c>
      <c r="U816" t="s">
        <v>66</v>
      </c>
      <c r="V816">
        <v>188</v>
      </c>
      <c r="W816">
        <v>3.1</v>
      </c>
    </row>
    <row r="817" spans="1:23" x14ac:dyDescent="0.35">
      <c r="A817">
        <v>10816</v>
      </c>
      <c r="B817" t="s">
        <v>23</v>
      </c>
      <c r="C817" t="s">
        <v>33</v>
      </c>
      <c r="D817" t="s">
        <v>41</v>
      </c>
      <c r="E817">
        <v>30567</v>
      </c>
      <c r="F817">
        <f ca="1">DATEDIF(Table1[[#This Row],[Hire Date]], TODAY(), "Y")</f>
        <v>18</v>
      </c>
      <c r="G817" s="7">
        <f ca="1">YEARFRAC(Table1[[#This Row],[Hire Date]], TODAY())</f>
        <v>18.05</v>
      </c>
      <c r="H817" s="7">
        <v>39451</v>
      </c>
      <c r="I817">
        <v>40</v>
      </c>
      <c r="J817" t="s">
        <v>43</v>
      </c>
      <c r="K817">
        <v>7</v>
      </c>
      <c r="L817" t="s">
        <v>45</v>
      </c>
      <c r="M817">
        <v>9022.43</v>
      </c>
      <c r="N817" t="s">
        <v>47</v>
      </c>
      <c r="O817" t="s">
        <v>53</v>
      </c>
      <c r="P817">
        <v>22</v>
      </c>
      <c r="Q817" t="s">
        <v>55</v>
      </c>
      <c r="R817" t="s">
        <v>63</v>
      </c>
      <c r="S817">
        <v>8</v>
      </c>
      <c r="T817">
        <v>2015</v>
      </c>
      <c r="U817" t="s">
        <v>66</v>
      </c>
      <c r="V817">
        <v>36</v>
      </c>
      <c r="W817">
        <v>2.5</v>
      </c>
    </row>
    <row r="818" spans="1:23" x14ac:dyDescent="0.35">
      <c r="A818">
        <v>10817</v>
      </c>
      <c r="B818" t="s">
        <v>28</v>
      </c>
      <c r="C818" t="s">
        <v>30</v>
      </c>
      <c r="D818" t="s">
        <v>36</v>
      </c>
      <c r="E818">
        <v>91032</v>
      </c>
      <c r="F818">
        <f ca="1">DATEDIF(Table1[[#This Row],[Hire Date]], TODAY(), "Y")</f>
        <v>16</v>
      </c>
      <c r="G818" s="7">
        <f ca="1">YEARFRAC(Table1[[#This Row],[Hire Date]], TODAY())</f>
        <v>16.133333333333333</v>
      </c>
      <c r="H818" s="7">
        <v>40151</v>
      </c>
      <c r="I818">
        <v>43</v>
      </c>
      <c r="J818" t="s">
        <v>43</v>
      </c>
      <c r="K818">
        <v>2</v>
      </c>
      <c r="L818" t="s">
        <v>44</v>
      </c>
      <c r="M818">
        <v>5575.99</v>
      </c>
      <c r="N818" t="s">
        <v>47</v>
      </c>
      <c r="O818" t="s">
        <v>51</v>
      </c>
      <c r="P818">
        <v>28</v>
      </c>
      <c r="Q818" t="s">
        <v>55</v>
      </c>
      <c r="R818" t="s">
        <v>58</v>
      </c>
      <c r="S818">
        <v>7</v>
      </c>
      <c r="T818">
        <v>2022</v>
      </c>
      <c r="U818" t="s">
        <v>65</v>
      </c>
      <c r="V818">
        <v>163</v>
      </c>
      <c r="W818">
        <v>2.5</v>
      </c>
    </row>
    <row r="819" spans="1:23" x14ac:dyDescent="0.35">
      <c r="A819">
        <v>10818</v>
      </c>
      <c r="B819" t="s">
        <v>24</v>
      </c>
      <c r="C819" t="s">
        <v>33</v>
      </c>
      <c r="D819" t="s">
        <v>39</v>
      </c>
      <c r="E819">
        <v>32179</v>
      </c>
      <c r="F819">
        <f ca="1">DATEDIF(Table1[[#This Row],[Hire Date]], TODAY(), "Y")</f>
        <v>11</v>
      </c>
      <c r="G819" s="7">
        <f ca="1">YEARFRAC(Table1[[#This Row],[Hire Date]], TODAY())</f>
        <v>11.083333333333334</v>
      </c>
      <c r="H819" s="7">
        <v>41995</v>
      </c>
      <c r="I819">
        <v>64</v>
      </c>
      <c r="J819" t="s">
        <v>43</v>
      </c>
      <c r="K819">
        <v>5</v>
      </c>
      <c r="L819" t="s">
        <v>44</v>
      </c>
      <c r="M819">
        <v>1778.97</v>
      </c>
      <c r="N819" t="s">
        <v>48</v>
      </c>
      <c r="O819" t="s">
        <v>54</v>
      </c>
      <c r="P819">
        <v>9</v>
      </c>
      <c r="Q819" t="s">
        <v>56</v>
      </c>
      <c r="R819" t="s">
        <v>58</v>
      </c>
      <c r="S819">
        <v>9</v>
      </c>
      <c r="T819">
        <v>2016</v>
      </c>
      <c r="U819" t="s">
        <v>66</v>
      </c>
      <c r="V819">
        <v>148</v>
      </c>
      <c r="W819">
        <v>4.9000000000000004</v>
      </c>
    </row>
    <row r="820" spans="1:23" x14ac:dyDescent="0.35">
      <c r="A820">
        <v>10819</v>
      </c>
      <c r="B820" t="s">
        <v>22</v>
      </c>
      <c r="C820" t="s">
        <v>31</v>
      </c>
      <c r="D820" t="s">
        <v>40</v>
      </c>
      <c r="E820">
        <v>32019</v>
      </c>
      <c r="F820">
        <f ca="1">DATEDIF(Table1[[#This Row],[Hire Date]], TODAY(), "Y")</f>
        <v>22</v>
      </c>
      <c r="G820" s="7">
        <f ca="1">YEARFRAC(Table1[[#This Row],[Hire Date]], TODAY())</f>
        <v>22.705555555555556</v>
      </c>
      <c r="H820" s="7">
        <v>37749</v>
      </c>
      <c r="I820">
        <v>29</v>
      </c>
      <c r="J820" t="s">
        <v>43</v>
      </c>
      <c r="K820">
        <v>9</v>
      </c>
      <c r="L820" t="s">
        <v>45</v>
      </c>
      <c r="M820">
        <v>1007.55</v>
      </c>
      <c r="N820" t="s">
        <v>46</v>
      </c>
      <c r="O820" t="s">
        <v>51</v>
      </c>
      <c r="P820">
        <v>23</v>
      </c>
      <c r="Q820" t="s">
        <v>57</v>
      </c>
      <c r="R820" t="s">
        <v>62</v>
      </c>
      <c r="S820">
        <v>3</v>
      </c>
      <c r="T820">
        <v>2020</v>
      </c>
      <c r="U820" t="s">
        <v>66</v>
      </c>
      <c r="V820">
        <v>164</v>
      </c>
      <c r="W820">
        <v>3.9</v>
      </c>
    </row>
    <row r="821" spans="1:23" x14ac:dyDescent="0.35">
      <c r="A821">
        <v>10820</v>
      </c>
      <c r="B821" t="s">
        <v>28</v>
      </c>
      <c r="C821" t="s">
        <v>30</v>
      </c>
      <c r="D821" t="s">
        <v>41</v>
      </c>
      <c r="E821">
        <v>111455</v>
      </c>
      <c r="F821">
        <f ca="1">DATEDIF(Table1[[#This Row],[Hire Date]], TODAY(), "Y")</f>
        <v>20</v>
      </c>
      <c r="G821" s="7">
        <f ca="1">YEARFRAC(Table1[[#This Row],[Hire Date]], TODAY())</f>
        <v>20.691666666666666</v>
      </c>
      <c r="H821" s="7">
        <v>38485</v>
      </c>
      <c r="I821">
        <v>26</v>
      </c>
      <c r="J821" t="s">
        <v>42</v>
      </c>
      <c r="K821">
        <v>8</v>
      </c>
      <c r="L821" t="s">
        <v>44</v>
      </c>
      <c r="M821">
        <v>1638.67</v>
      </c>
      <c r="N821" t="s">
        <v>46</v>
      </c>
      <c r="O821" t="s">
        <v>53</v>
      </c>
      <c r="P821">
        <v>7</v>
      </c>
      <c r="Q821" t="s">
        <v>57</v>
      </c>
      <c r="R821" t="s">
        <v>60</v>
      </c>
      <c r="S821">
        <v>4</v>
      </c>
      <c r="T821">
        <v>2012</v>
      </c>
      <c r="U821" t="s">
        <v>64</v>
      </c>
      <c r="V821">
        <v>112</v>
      </c>
      <c r="W821">
        <v>3.7</v>
      </c>
    </row>
    <row r="822" spans="1:23" x14ac:dyDescent="0.35">
      <c r="A822">
        <v>10821</v>
      </c>
      <c r="B822" t="s">
        <v>21</v>
      </c>
      <c r="C822" t="s">
        <v>32</v>
      </c>
      <c r="D822" t="s">
        <v>39</v>
      </c>
      <c r="E822">
        <v>115239</v>
      </c>
      <c r="F822">
        <f ca="1">DATEDIF(Table1[[#This Row],[Hire Date]], TODAY(), "Y")</f>
        <v>6</v>
      </c>
      <c r="G822" s="7">
        <f ca="1">YEARFRAC(Table1[[#This Row],[Hire Date]], TODAY())</f>
        <v>6.5888888888888886</v>
      </c>
      <c r="H822" s="7">
        <v>43636</v>
      </c>
      <c r="I822">
        <v>30</v>
      </c>
      <c r="J822" t="s">
        <v>42</v>
      </c>
      <c r="K822">
        <v>8</v>
      </c>
      <c r="L822" t="s">
        <v>44</v>
      </c>
      <c r="M822">
        <v>4977.7</v>
      </c>
      <c r="N822" t="s">
        <v>48</v>
      </c>
      <c r="O822" t="s">
        <v>51</v>
      </c>
      <c r="P822">
        <v>24</v>
      </c>
      <c r="Q822" t="s">
        <v>57</v>
      </c>
      <c r="R822" t="s">
        <v>62</v>
      </c>
      <c r="S822">
        <v>17</v>
      </c>
      <c r="T822">
        <v>2015</v>
      </c>
      <c r="U822" t="s">
        <v>66</v>
      </c>
      <c r="V822">
        <v>46</v>
      </c>
      <c r="W822">
        <v>1.9</v>
      </c>
    </row>
    <row r="823" spans="1:23" x14ac:dyDescent="0.35">
      <c r="A823">
        <v>10822</v>
      </c>
      <c r="B823" t="s">
        <v>22</v>
      </c>
      <c r="C823" t="s">
        <v>30</v>
      </c>
      <c r="D823" t="s">
        <v>39</v>
      </c>
      <c r="E823">
        <v>48704</v>
      </c>
      <c r="F823">
        <f ca="1">DATEDIF(Table1[[#This Row],[Hire Date]], TODAY(), "Y")</f>
        <v>23</v>
      </c>
      <c r="G823" s="7">
        <f ca="1">YEARFRAC(Table1[[#This Row],[Hire Date]], TODAY())</f>
        <v>23.413888888888888</v>
      </c>
      <c r="H823" s="7">
        <v>37491</v>
      </c>
      <c r="I823">
        <v>42</v>
      </c>
      <c r="J823" t="s">
        <v>43</v>
      </c>
      <c r="K823">
        <v>2</v>
      </c>
      <c r="L823" t="s">
        <v>44</v>
      </c>
      <c r="M823">
        <v>6850.42</v>
      </c>
      <c r="N823" t="s">
        <v>49</v>
      </c>
      <c r="O823" t="s">
        <v>51</v>
      </c>
      <c r="P823">
        <v>37</v>
      </c>
      <c r="Q823" t="s">
        <v>55</v>
      </c>
      <c r="R823" t="s">
        <v>62</v>
      </c>
      <c r="S823">
        <v>5</v>
      </c>
      <c r="T823">
        <v>2011</v>
      </c>
      <c r="U823" t="s">
        <v>64</v>
      </c>
      <c r="V823">
        <v>126</v>
      </c>
      <c r="W823">
        <v>3.2</v>
      </c>
    </row>
    <row r="824" spans="1:23" x14ac:dyDescent="0.35">
      <c r="A824">
        <v>10823</v>
      </c>
      <c r="B824" t="s">
        <v>27</v>
      </c>
      <c r="C824" t="s">
        <v>33</v>
      </c>
      <c r="D824" t="s">
        <v>39</v>
      </c>
      <c r="E824">
        <v>48030</v>
      </c>
      <c r="F824">
        <f ca="1">DATEDIF(Table1[[#This Row],[Hire Date]], TODAY(), "Y")</f>
        <v>12</v>
      </c>
      <c r="G824" s="7">
        <f ca="1">YEARFRAC(Table1[[#This Row],[Hire Date]], TODAY())</f>
        <v>12.208333333333334</v>
      </c>
      <c r="H824" s="7">
        <v>41585</v>
      </c>
      <c r="I824">
        <v>49</v>
      </c>
      <c r="J824" t="s">
        <v>42</v>
      </c>
      <c r="K824">
        <v>1</v>
      </c>
      <c r="L824" t="s">
        <v>45</v>
      </c>
      <c r="M824">
        <v>6592.16</v>
      </c>
      <c r="N824" t="s">
        <v>48</v>
      </c>
      <c r="O824" t="s">
        <v>51</v>
      </c>
      <c r="P824">
        <v>9</v>
      </c>
      <c r="Q824" t="s">
        <v>57</v>
      </c>
      <c r="R824" t="s">
        <v>63</v>
      </c>
      <c r="S824">
        <v>9</v>
      </c>
      <c r="T824">
        <v>2021</v>
      </c>
      <c r="U824" t="s">
        <v>64</v>
      </c>
      <c r="V824">
        <v>38</v>
      </c>
      <c r="W824">
        <v>2.4</v>
      </c>
    </row>
    <row r="825" spans="1:23" x14ac:dyDescent="0.35">
      <c r="A825">
        <v>10824</v>
      </c>
      <c r="B825" t="s">
        <v>21</v>
      </c>
      <c r="C825" t="s">
        <v>33</v>
      </c>
      <c r="D825" t="s">
        <v>39</v>
      </c>
      <c r="E825">
        <v>99445</v>
      </c>
      <c r="F825">
        <f ca="1">DATEDIF(Table1[[#This Row],[Hire Date]], TODAY(), "Y")</f>
        <v>12</v>
      </c>
      <c r="G825" s="7">
        <f ca="1">YEARFRAC(Table1[[#This Row],[Hire Date]], TODAY())</f>
        <v>12.391666666666667</v>
      </c>
      <c r="H825" s="7">
        <v>41518</v>
      </c>
      <c r="I825">
        <v>25</v>
      </c>
      <c r="J825" t="s">
        <v>42</v>
      </c>
      <c r="K825">
        <v>9</v>
      </c>
      <c r="L825" t="s">
        <v>44</v>
      </c>
      <c r="M825">
        <v>1872.02</v>
      </c>
      <c r="N825" t="s">
        <v>49</v>
      </c>
      <c r="O825" t="s">
        <v>50</v>
      </c>
      <c r="P825">
        <v>38</v>
      </c>
      <c r="Q825" t="s">
        <v>57</v>
      </c>
      <c r="R825" t="s">
        <v>60</v>
      </c>
      <c r="S825">
        <v>17</v>
      </c>
      <c r="T825">
        <v>2019</v>
      </c>
      <c r="U825" t="s">
        <v>65</v>
      </c>
      <c r="V825">
        <v>169</v>
      </c>
      <c r="W825">
        <v>2</v>
      </c>
    </row>
    <row r="826" spans="1:23" x14ac:dyDescent="0.35">
      <c r="A826">
        <v>10825</v>
      </c>
      <c r="B826" t="s">
        <v>25</v>
      </c>
      <c r="C826" t="s">
        <v>29</v>
      </c>
      <c r="D826" t="s">
        <v>39</v>
      </c>
      <c r="E826">
        <v>103551</v>
      </c>
      <c r="F826">
        <f ca="1">DATEDIF(Table1[[#This Row],[Hire Date]], TODAY(), "Y")</f>
        <v>11</v>
      </c>
      <c r="G826" s="7">
        <f ca="1">YEARFRAC(Table1[[#This Row],[Hire Date]], TODAY())</f>
        <v>11.125</v>
      </c>
      <c r="H826" s="7">
        <v>41980</v>
      </c>
      <c r="I826">
        <v>45</v>
      </c>
      <c r="J826" t="s">
        <v>43</v>
      </c>
      <c r="K826">
        <v>4</v>
      </c>
      <c r="L826" t="s">
        <v>44</v>
      </c>
      <c r="M826">
        <v>6518.15</v>
      </c>
      <c r="N826" t="s">
        <v>46</v>
      </c>
      <c r="O826" t="s">
        <v>52</v>
      </c>
      <c r="P826">
        <v>7</v>
      </c>
      <c r="Q826" t="s">
        <v>55</v>
      </c>
      <c r="R826" t="s">
        <v>60</v>
      </c>
      <c r="S826">
        <v>10</v>
      </c>
      <c r="T826">
        <v>2022</v>
      </c>
      <c r="U826" t="s">
        <v>65</v>
      </c>
      <c r="V826">
        <v>148</v>
      </c>
      <c r="W826">
        <v>4.5999999999999996</v>
      </c>
    </row>
    <row r="827" spans="1:23" x14ac:dyDescent="0.35">
      <c r="A827">
        <v>10826</v>
      </c>
      <c r="B827" t="s">
        <v>22</v>
      </c>
      <c r="C827" t="s">
        <v>35</v>
      </c>
      <c r="D827" t="s">
        <v>41</v>
      </c>
      <c r="E827">
        <v>33420</v>
      </c>
      <c r="F827">
        <f ca="1">DATEDIF(Table1[[#This Row],[Hire Date]], TODAY(), "Y")</f>
        <v>15</v>
      </c>
      <c r="G827" s="7">
        <f ca="1">YEARFRAC(Table1[[#This Row],[Hire Date]], TODAY())</f>
        <v>15.988888888888889</v>
      </c>
      <c r="H827" s="7">
        <v>40204</v>
      </c>
      <c r="I827">
        <v>29</v>
      </c>
      <c r="J827" t="s">
        <v>42</v>
      </c>
      <c r="K827">
        <v>9</v>
      </c>
      <c r="L827" t="s">
        <v>45</v>
      </c>
      <c r="M827">
        <v>4346.22</v>
      </c>
      <c r="N827" t="s">
        <v>49</v>
      </c>
      <c r="O827" t="s">
        <v>53</v>
      </c>
      <c r="P827">
        <v>23</v>
      </c>
      <c r="Q827" t="s">
        <v>56</v>
      </c>
      <c r="R827" t="s">
        <v>63</v>
      </c>
      <c r="S827">
        <v>4</v>
      </c>
      <c r="T827">
        <v>2013</v>
      </c>
      <c r="U827" t="s">
        <v>66</v>
      </c>
      <c r="V827">
        <v>89</v>
      </c>
      <c r="W827">
        <v>2.5</v>
      </c>
    </row>
    <row r="828" spans="1:23" x14ac:dyDescent="0.35">
      <c r="A828">
        <v>10827</v>
      </c>
      <c r="B828" t="s">
        <v>24</v>
      </c>
      <c r="C828" t="s">
        <v>30</v>
      </c>
      <c r="D828" t="s">
        <v>37</v>
      </c>
      <c r="E828">
        <v>89875</v>
      </c>
      <c r="F828">
        <f ca="1">DATEDIF(Table1[[#This Row],[Hire Date]], TODAY(), "Y")</f>
        <v>14</v>
      </c>
      <c r="G828" s="7">
        <f ca="1">YEARFRAC(Table1[[#This Row],[Hire Date]], TODAY())</f>
        <v>14.25</v>
      </c>
      <c r="H828" s="7">
        <v>40838</v>
      </c>
      <c r="I828">
        <v>38</v>
      </c>
      <c r="J828" t="s">
        <v>43</v>
      </c>
      <c r="K828">
        <v>7</v>
      </c>
      <c r="L828" t="s">
        <v>45</v>
      </c>
      <c r="M828">
        <v>4915.07</v>
      </c>
      <c r="N828" t="s">
        <v>48</v>
      </c>
      <c r="O828" t="s">
        <v>50</v>
      </c>
      <c r="P828">
        <v>25</v>
      </c>
      <c r="Q828" t="s">
        <v>56</v>
      </c>
      <c r="R828" t="s">
        <v>61</v>
      </c>
      <c r="S828">
        <v>2</v>
      </c>
      <c r="T828">
        <v>2023</v>
      </c>
      <c r="U828" t="s">
        <v>65</v>
      </c>
      <c r="V828">
        <v>145</v>
      </c>
      <c r="W828">
        <v>2.1</v>
      </c>
    </row>
    <row r="829" spans="1:23" x14ac:dyDescent="0.35">
      <c r="A829">
        <v>10828</v>
      </c>
      <c r="B829" t="s">
        <v>26</v>
      </c>
      <c r="C829" t="s">
        <v>31</v>
      </c>
      <c r="D829" t="s">
        <v>38</v>
      </c>
      <c r="E829">
        <v>77653</v>
      </c>
      <c r="F829">
        <f ca="1">DATEDIF(Table1[[#This Row],[Hire Date]], TODAY(), "Y")</f>
        <v>24</v>
      </c>
      <c r="G829" s="7">
        <f ca="1">YEARFRAC(Table1[[#This Row],[Hire Date]], TODAY())</f>
        <v>24.355555555555554</v>
      </c>
      <c r="H829" s="7">
        <v>37148</v>
      </c>
      <c r="I829">
        <v>55</v>
      </c>
      <c r="J829" t="s">
        <v>43</v>
      </c>
      <c r="K829">
        <v>6</v>
      </c>
      <c r="L829" t="s">
        <v>45</v>
      </c>
      <c r="M829">
        <v>8113.59</v>
      </c>
      <c r="N829" t="s">
        <v>49</v>
      </c>
      <c r="O829" t="s">
        <v>52</v>
      </c>
      <c r="P829">
        <v>22</v>
      </c>
      <c r="Q829" t="s">
        <v>55</v>
      </c>
      <c r="R829" t="s">
        <v>59</v>
      </c>
      <c r="S829">
        <v>17</v>
      </c>
      <c r="T829">
        <v>2019</v>
      </c>
      <c r="U829" t="s">
        <v>64</v>
      </c>
      <c r="V829">
        <v>126</v>
      </c>
      <c r="W829">
        <v>4.7</v>
      </c>
    </row>
    <row r="830" spans="1:23" x14ac:dyDescent="0.35">
      <c r="A830">
        <v>10829</v>
      </c>
      <c r="B830" t="s">
        <v>21</v>
      </c>
      <c r="C830" t="s">
        <v>31</v>
      </c>
      <c r="D830" t="s">
        <v>39</v>
      </c>
      <c r="E830">
        <v>46740</v>
      </c>
      <c r="F830">
        <f ca="1">DATEDIF(Table1[[#This Row],[Hire Date]], TODAY(), "Y")</f>
        <v>13</v>
      </c>
      <c r="G830" s="7">
        <f ca="1">YEARFRAC(Table1[[#This Row],[Hire Date]], TODAY())</f>
        <v>13.877777777777778</v>
      </c>
      <c r="H830" s="7">
        <v>40974</v>
      </c>
      <c r="I830">
        <v>41</v>
      </c>
      <c r="J830" t="s">
        <v>42</v>
      </c>
      <c r="K830">
        <v>9</v>
      </c>
      <c r="L830" t="s">
        <v>45</v>
      </c>
      <c r="M830">
        <v>3658.74</v>
      </c>
      <c r="N830" t="s">
        <v>47</v>
      </c>
      <c r="O830" t="s">
        <v>51</v>
      </c>
      <c r="P830">
        <v>7</v>
      </c>
      <c r="Q830" t="s">
        <v>57</v>
      </c>
      <c r="R830" t="s">
        <v>63</v>
      </c>
      <c r="S830">
        <v>3</v>
      </c>
      <c r="T830">
        <v>2022</v>
      </c>
      <c r="U830" t="s">
        <v>65</v>
      </c>
      <c r="V830">
        <v>124</v>
      </c>
      <c r="W830">
        <v>1.8</v>
      </c>
    </row>
    <row r="831" spans="1:23" x14ac:dyDescent="0.35">
      <c r="A831">
        <v>10830</v>
      </c>
      <c r="B831" t="s">
        <v>25</v>
      </c>
      <c r="C831" t="s">
        <v>35</v>
      </c>
      <c r="D831" t="s">
        <v>39</v>
      </c>
      <c r="E831">
        <v>95263</v>
      </c>
      <c r="F831">
        <f ca="1">DATEDIF(Table1[[#This Row],[Hire Date]], TODAY(), "Y")</f>
        <v>12</v>
      </c>
      <c r="G831" s="7">
        <f ca="1">YEARFRAC(Table1[[#This Row],[Hire Date]], TODAY())</f>
        <v>12.955555555555556</v>
      </c>
      <c r="H831" s="7">
        <v>41313</v>
      </c>
      <c r="I831">
        <v>37</v>
      </c>
      <c r="J831" t="s">
        <v>42</v>
      </c>
      <c r="K831">
        <v>4</v>
      </c>
      <c r="L831" t="s">
        <v>45</v>
      </c>
      <c r="M831">
        <v>1896.49</v>
      </c>
      <c r="N831" t="s">
        <v>47</v>
      </c>
      <c r="O831" t="s">
        <v>51</v>
      </c>
      <c r="P831">
        <v>6</v>
      </c>
      <c r="Q831" t="s">
        <v>56</v>
      </c>
      <c r="R831" t="s">
        <v>61</v>
      </c>
      <c r="S831">
        <v>7</v>
      </c>
      <c r="T831">
        <v>2018</v>
      </c>
      <c r="U831" t="s">
        <v>64</v>
      </c>
      <c r="V831">
        <v>86</v>
      </c>
      <c r="W831">
        <v>4</v>
      </c>
    </row>
    <row r="832" spans="1:23" x14ac:dyDescent="0.35">
      <c r="A832">
        <v>10831</v>
      </c>
      <c r="B832" t="s">
        <v>23</v>
      </c>
      <c r="C832" t="s">
        <v>33</v>
      </c>
      <c r="D832" t="s">
        <v>38</v>
      </c>
      <c r="E832">
        <v>94559</v>
      </c>
      <c r="F832">
        <f ca="1">DATEDIF(Table1[[#This Row],[Hire Date]], TODAY(), "Y")</f>
        <v>7</v>
      </c>
      <c r="G832" s="7">
        <f ca="1">YEARFRAC(Table1[[#This Row],[Hire Date]], TODAY())</f>
        <v>7.3916666666666666</v>
      </c>
      <c r="H832" s="7">
        <v>43344</v>
      </c>
      <c r="I832">
        <v>31</v>
      </c>
      <c r="J832" t="s">
        <v>42</v>
      </c>
      <c r="K832">
        <v>1</v>
      </c>
      <c r="L832" t="s">
        <v>45</v>
      </c>
      <c r="M832">
        <v>8797.7999999999993</v>
      </c>
      <c r="N832" t="s">
        <v>48</v>
      </c>
      <c r="O832" t="s">
        <v>50</v>
      </c>
      <c r="P832">
        <v>36</v>
      </c>
      <c r="Q832" t="s">
        <v>56</v>
      </c>
      <c r="R832" t="s">
        <v>61</v>
      </c>
      <c r="S832">
        <v>16</v>
      </c>
      <c r="T832">
        <v>2022</v>
      </c>
      <c r="U832" t="s">
        <v>65</v>
      </c>
      <c r="V832">
        <v>198</v>
      </c>
      <c r="W832">
        <v>3.6</v>
      </c>
    </row>
    <row r="833" spans="1:23" x14ac:dyDescent="0.35">
      <c r="A833">
        <v>10832</v>
      </c>
      <c r="B833" t="s">
        <v>23</v>
      </c>
      <c r="C833" t="s">
        <v>29</v>
      </c>
      <c r="D833" t="s">
        <v>41</v>
      </c>
      <c r="E833">
        <v>49465</v>
      </c>
      <c r="F833">
        <f ca="1">DATEDIF(Table1[[#This Row],[Hire Date]], TODAY(), "Y")</f>
        <v>13</v>
      </c>
      <c r="G833" s="7">
        <f ca="1">YEARFRAC(Table1[[#This Row],[Hire Date]], TODAY())</f>
        <v>13.119444444444444</v>
      </c>
      <c r="H833" s="7">
        <v>41252</v>
      </c>
      <c r="I833">
        <v>55</v>
      </c>
      <c r="J833" t="s">
        <v>43</v>
      </c>
      <c r="K833">
        <v>5</v>
      </c>
      <c r="L833" t="s">
        <v>45</v>
      </c>
      <c r="M833">
        <v>2515.2399999999998</v>
      </c>
      <c r="N833" t="s">
        <v>48</v>
      </c>
      <c r="O833" t="s">
        <v>54</v>
      </c>
      <c r="P833">
        <v>22</v>
      </c>
      <c r="Q833" t="s">
        <v>56</v>
      </c>
      <c r="R833" t="s">
        <v>60</v>
      </c>
      <c r="S833">
        <v>9</v>
      </c>
      <c r="T833">
        <v>2016</v>
      </c>
      <c r="U833" t="s">
        <v>66</v>
      </c>
      <c r="V833">
        <v>124</v>
      </c>
      <c r="W833">
        <v>4.7</v>
      </c>
    </row>
    <row r="834" spans="1:23" x14ac:dyDescent="0.35">
      <c r="A834">
        <v>10833</v>
      </c>
      <c r="B834" t="s">
        <v>24</v>
      </c>
      <c r="C834" t="s">
        <v>29</v>
      </c>
      <c r="D834" t="s">
        <v>36</v>
      </c>
      <c r="E834">
        <v>81432</v>
      </c>
      <c r="F834">
        <f ca="1">DATEDIF(Table1[[#This Row],[Hire Date]], TODAY(), "Y")</f>
        <v>19</v>
      </c>
      <c r="G834" s="7">
        <f ca="1">YEARFRAC(Table1[[#This Row],[Hire Date]], TODAY())</f>
        <v>19.56111111111111</v>
      </c>
      <c r="H834" s="7">
        <v>38898</v>
      </c>
      <c r="I834">
        <v>64</v>
      </c>
      <c r="J834" t="s">
        <v>43</v>
      </c>
      <c r="K834">
        <v>6</v>
      </c>
      <c r="L834" t="s">
        <v>44</v>
      </c>
      <c r="M834">
        <v>3293.28</v>
      </c>
      <c r="N834" t="s">
        <v>48</v>
      </c>
      <c r="O834" t="s">
        <v>53</v>
      </c>
      <c r="P834">
        <v>35</v>
      </c>
      <c r="Q834" t="s">
        <v>55</v>
      </c>
      <c r="R834" t="s">
        <v>63</v>
      </c>
      <c r="S834">
        <v>18</v>
      </c>
      <c r="T834">
        <v>2011</v>
      </c>
      <c r="U834" t="s">
        <v>65</v>
      </c>
      <c r="V834">
        <v>165</v>
      </c>
      <c r="W834">
        <v>4.3</v>
      </c>
    </row>
    <row r="835" spans="1:23" x14ac:dyDescent="0.35">
      <c r="A835">
        <v>10834</v>
      </c>
      <c r="B835" t="s">
        <v>22</v>
      </c>
      <c r="C835" t="s">
        <v>31</v>
      </c>
      <c r="D835" t="s">
        <v>40</v>
      </c>
      <c r="E835">
        <v>34131</v>
      </c>
      <c r="F835">
        <f ca="1">DATEDIF(Table1[[#This Row],[Hire Date]], TODAY(), "Y")</f>
        <v>17</v>
      </c>
      <c r="G835" s="7">
        <f ca="1">YEARFRAC(Table1[[#This Row],[Hire Date]], TODAY())</f>
        <v>17.986111111111111</v>
      </c>
      <c r="H835" s="7">
        <v>39474</v>
      </c>
      <c r="I835">
        <v>31</v>
      </c>
      <c r="J835" t="s">
        <v>42</v>
      </c>
      <c r="K835">
        <v>6</v>
      </c>
      <c r="L835" t="s">
        <v>45</v>
      </c>
      <c r="M835">
        <v>7212.61</v>
      </c>
      <c r="N835" t="s">
        <v>46</v>
      </c>
      <c r="O835" t="s">
        <v>52</v>
      </c>
      <c r="P835">
        <v>33</v>
      </c>
      <c r="Q835" t="s">
        <v>56</v>
      </c>
      <c r="R835" t="s">
        <v>63</v>
      </c>
      <c r="S835">
        <v>0</v>
      </c>
      <c r="T835">
        <v>2015</v>
      </c>
      <c r="U835" t="s">
        <v>66</v>
      </c>
      <c r="V835">
        <v>109</v>
      </c>
      <c r="W835">
        <v>3.8</v>
      </c>
    </row>
    <row r="836" spans="1:23" x14ac:dyDescent="0.35">
      <c r="A836">
        <v>10835</v>
      </c>
      <c r="B836" t="s">
        <v>28</v>
      </c>
      <c r="C836" t="s">
        <v>29</v>
      </c>
      <c r="D836" t="s">
        <v>40</v>
      </c>
      <c r="E836">
        <v>40652</v>
      </c>
      <c r="F836">
        <f ca="1">DATEDIF(Table1[[#This Row],[Hire Date]], TODAY(), "Y")</f>
        <v>17</v>
      </c>
      <c r="G836" s="7">
        <f ca="1">YEARFRAC(Table1[[#This Row],[Hire Date]], TODAY())</f>
        <v>17.027777777777779</v>
      </c>
      <c r="H836" s="7">
        <v>39825</v>
      </c>
      <c r="I836">
        <v>51</v>
      </c>
      <c r="J836" t="s">
        <v>43</v>
      </c>
      <c r="K836">
        <v>1</v>
      </c>
      <c r="L836" t="s">
        <v>45</v>
      </c>
      <c r="M836">
        <v>6993.73</v>
      </c>
      <c r="N836" t="s">
        <v>46</v>
      </c>
      <c r="O836" t="s">
        <v>51</v>
      </c>
      <c r="P836">
        <v>21</v>
      </c>
      <c r="Q836" t="s">
        <v>57</v>
      </c>
      <c r="R836" t="s">
        <v>60</v>
      </c>
      <c r="S836">
        <v>1</v>
      </c>
      <c r="T836">
        <v>2023</v>
      </c>
      <c r="U836" t="s">
        <v>65</v>
      </c>
      <c r="V836">
        <v>86</v>
      </c>
      <c r="W836">
        <v>2.2999999999999998</v>
      </c>
    </row>
    <row r="837" spans="1:23" x14ac:dyDescent="0.35">
      <c r="A837">
        <v>10836</v>
      </c>
      <c r="B837" t="s">
        <v>22</v>
      </c>
      <c r="C837" t="s">
        <v>34</v>
      </c>
      <c r="D837" t="s">
        <v>36</v>
      </c>
      <c r="E837">
        <v>94973</v>
      </c>
      <c r="F837">
        <f ca="1">DATEDIF(Table1[[#This Row],[Hire Date]], TODAY(), "Y")</f>
        <v>22</v>
      </c>
      <c r="G837" s="7">
        <f ca="1">YEARFRAC(Table1[[#This Row],[Hire Date]], TODAY())</f>
        <v>22.855555555555554</v>
      </c>
      <c r="H837" s="7">
        <v>37694</v>
      </c>
      <c r="I837">
        <v>51</v>
      </c>
      <c r="J837" t="s">
        <v>42</v>
      </c>
      <c r="K837">
        <v>7</v>
      </c>
      <c r="L837" t="s">
        <v>45</v>
      </c>
      <c r="M837">
        <v>8103.8</v>
      </c>
      <c r="N837" t="s">
        <v>46</v>
      </c>
      <c r="O837" t="s">
        <v>53</v>
      </c>
      <c r="P837">
        <v>11</v>
      </c>
      <c r="Q837" t="s">
        <v>55</v>
      </c>
      <c r="R837" t="s">
        <v>62</v>
      </c>
      <c r="S837">
        <v>10</v>
      </c>
      <c r="T837">
        <v>2013</v>
      </c>
      <c r="U837" t="s">
        <v>64</v>
      </c>
      <c r="V837">
        <v>96</v>
      </c>
      <c r="W837">
        <v>3</v>
      </c>
    </row>
    <row r="838" spans="1:23" x14ac:dyDescent="0.35">
      <c r="A838">
        <v>10837</v>
      </c>
      <c r="B838" t="s">
        <v>24</v>
      </c>
      <c r="C838" t="s">
        <v>35</v>
      </c>
      <c r="D838" t="s">
        <v>41</v>
      </c>
      <c r="E838">
        <v>117043</v>
      </c>
      <c r="F838">
        <f ca="1">DATEDIF(Table1[[#This Row],[Hire Date]], TODAY(), "Y")</f>
        <v>8</v>
      </c>
      <c r="G838" s="7">
        <f ca="1">YEARFRAC(Table1[[#This Row],[Hire Date]], TODAY())</f>
        <v>8.3944444444444439</v>
      </c>
      <c r="H838" s="7">
        <v>42977</v>
      </c>
      <c r="I838">
        <v>46</v>
      </c>
      <c r="J838" t="s">
        <v>42</v>
      </c>
      <c r="K838">
        <v>8</v>
      </c>
      <c r="L838" t="s">
        <v>44</v>
      </c>
      <c r="M838">
        <v>2246.73</v>
      </c>
      <c r="N838" t="s">
        <v>47</v>
      </c>
      <c r="O838" t="s">
        <v>51</v>
      </c>
      <c r="P838">
        <v>13</v>
      </c>
      <c r="Q838" t="s">
        <v>55</v>
      </c>
      <c r="R838" t="s">
        <v>63</v>
      </c>
      <c r="S838">
        <v>14</v>
      </c>
      <c r="T838">
        <v>2017</v>
      </c>
      <c r="U838" t="s">
        <v>65</v>
      </c>
      <c r="V838">
        <v>167</v>
      </c>
      <c r="W838">
        <v>4.8</v>
      </c>
    </row>
    <row r="839" spans="1:23" x14ac:dyDescent="0.35">
      <c r="A839">
        <v>10838</v>
      </c>
      <c r="B839" t="s">
        <v>23</v>
      </c>
      <c r="C839" t="s">
        <v>33</v>
      </c>
      <c r="D839" t="s">
        <v>40</v>
      </c>
      <c r="E839">
        <v>77147</v>
      </c>
      <c r="F839">
        <f ca="1">DATEDIF(Table1[[#This Row],[Hire Date]], TODAY(), "Y")</f>
        <v>13</v>
      </c>
      <c r="G839" s="7">
        <f ca="1">YEARFRAC(Table1[[#This Row],[Hire Date]], TODAY())</f>
        <v>13.058333333333334</v>
      </c>
      <c r="H839" s="7">
        <v>41275</v>
      </c>
      <c r="I839">
        <v>64</v>
      </c>
      <c r="J839" t="s">
        <v>42</v>
      </c>
      <c r="K839">
        <v>5</v>
      </c>
      <c r="L839" t="s">
        <v>44</v>
      </c>
      <c r="M839">
        <v>3846.66</v>
      </c>
      <c r="N839" t="s">
        <v>49</v>
      </c>
      <c r="O839" t="s">
        <v>51</v>
      </c>
      <c r="P839">
        <v>3</v>
      </c>
      <c r="Q839" t="s">
        <v>56</v>
      </c>
      <c r="R839" t="s">
        <v>59</v>
      </c>
      <c r="S839">
        <v>0</v>
      </c>
      <c r="T839">
        <v>2021</v>
      </c>
      <c r="U839" t="s">
        <v>65</v>
      </c>
      <c r="V839">
        <v>169</v>
      </c>
      <c r="W839">
        <v>1.1000000000000001</v>
      </c>
    </row>
    <row r="840" spans="1:23" x14ac:dyDescent="0.35">
      <c r="A840">
        <v>10839</v>
      </c>
      <c r="B840" t="s">
        <v>22</v>
      </c>
      <c r="C840" t="s">
        <v>34</v>
      </c>
      <c r="D840" t="s">
        <v>38</v>
      </c>
      <c r="E840">
        <v>77671</v>
      </c>
      <c r="F840">
        <f ca="1">DATEDIF(Table1[[#This Row],[Hire Date]], TODAY(), "Y")</f>
        <v>8</v>
      </c>
      <c r="G840" s="7">
        <f ca="1">YEARFRAC(Table1[[#This Row],[Hire Date]], TODAY())</f>
        <v>8.4583333333333339</v>
      </c>
      <c r="H840" s="7">
        <v>42954</v>
      </c>
      <c r="I840">
        <v>62</v>
      </c>
      <c r="J840" t="s">
        <v>42</v>
      </c>
      <c r="K840">
        <v>2</v>
      </c>
      <c r="L840" t="s">
        <v>45</v>
      </c>
      <c r="M840">
        <v>1695.89</v>
      </c>
      <c r="N840" t="s">
        <v>47</v>
      </c>
      <c r="O840" t="s">
        <v>51</v>
      </c>
      <c r="P840">
        <v>13</v>
      </c>
      <c r="Q840" t="s">
        <v>57</v>
      </c>
      <c r="R840" t="s">
        <v>59</v>
      </c>
      <c r="S840">
        <v>8</v>
      </c>
      <c r="T840">
        <v>2017</v>
      </c>
      <c r="U840" t="s">
        <v>64</v>
      </c>
      <c r="V840">
        <v>44</v>
      </c>
      <c r="W840">
        <v>4.2</v>
      </c>
    </row>
    <row r="841" spans="1:23" x14ac:dyDescent="0.35">
      <c r="A841">
        <v>10840</v>
      </c>
      <c r="B841" t="s">
        <v>23</v>
      </c>
      <c r="C841" t="s">
        <v>35</v>
      </c>
      <c r="D841" t="s">
        <v>36</v>
      </c>
      <c r="E841">
        <v>119342</v>
      </c>
      <c r="F841">
        <f ca="1">DATEDIF(Table1[[#This Row],[Hire Date]], TODAY(), "Y")</f>
        <v>24</v>
      </c>
      <c r="G841" s="7">
        <f ca="1">YEARFRAC(Table1[[#This Row],[Hire Date]], TODAY())</f>
        <v>24.988888888888887</v>
      </c>
      <c r="H841" s="7">
        <v>36917</v>
      </c>
      <c r="I841">
        <v>28</v>
      </c>
      <c r="J841" t="s">
        <v>43</v>
      </c>
      <c r="K841">
        <v>2</v>
      </c>
      <c r="L841" t="s">
        <v>45</v>
      </c>
      <c r="M841">
        <v>5639.87</v>
      </c>
      <c r="N841" t="s">
        <v>49</v>
      </c>
      <c r="O841" t="s">
        <v>53</v>
      </c>
      <c r="P841">
        <v>34</v>
      </c>
      <c r="Q841" t="s">
        <v>55</v>
      </c>
      <c r="R841" t="s">
        <v>58</v>
      </c>
      <c r="S841">
        <v>7</v>
      </c>
      <c r="T841">
        <v>2010</v>
      </c>
      <c r="U841" t="s">
        <v>64</v>
      </c>
      <c r="V841">
        <v>140</v>
      </c>
      <c r="W841">
        <v>2</v>
      </c>
    </row>
    <row r="842" spans="1:23" x14ac:dyDescent="0.35">
      <c r="A842">
        <v>10841</v>
      </c>
      <c r="B842" t="s">
        <v>21</v>
      </c>
      <c r="C842" t="s">
        <v>32</v>
      </c>
      <c r="D842" t="s">
        <v>37</v>
      </c>
      <c r="E842">
        <v>49171</v>
      </c>
      <c r="F842">
        <f ca="1">DATEDIF(Table1[[#This Row],[Hire Date]], TODAY(), "Y")</f>
        <v>15</v>
      </c>
      <c r="G842" s="7">
        <f ca="1">YEARFRAC(Table1[[#This Row],[Hire Date]], TODAY())</f>
        <v>15.627777777777778</v>
      </c>
      <c r="H842" s="7">
        <v>40335</v>
      </c>
      <c r="I842">
        <v>41</v>
      </c>
      <c r="J842" t="s">
        <v>42</v>
      </c>
      <c r="K842">
        <v>5</v>
      </c>
      <c r="L842" t="s">
        <v>45</v>
      </c>
      <c r="M842">
        <v>3279.42</v>
      </c>
      <c r="N842" t="s">
        <v>49</v>
      </c>
      <c r="O842" t="s">
        <v>50</v>
      </c>
      <c r="P842">
        <v>28</v>
      </c>
      <c r="Q842" t="s">
        <v>56</v>
      </c>
      <c r="R842" t="s">
        <v>58</v>
      </c>
      <c r="S842">
        <v>0</v>
      </c>
      <c r="T842">
        <v>2017</v>
      </c>
      <c r="U842" t="s">
        <v>65</v>
      </c>
      <c r="V842">
        <v>58</v>
      </c>
      <c r="W842">
        <v>1.7</v>
      </c>
    </row>
    <row r="843" spans="1:23" x14ac:dyDescent="0.35">
      <c r="A843">
        <v>10842</v>
      </c>
      <c r="B843" t="s">
        <v>25</v>
      </c>
      <c r="C843" t="s">
        <v>30</v>
      </c>
      <c r="D843" t="s">
        <v>41</v>
      </c>
      <c r="E843">
        <v>116129</v>
      </c>
      <c r="F843">
        <f ca="1">DATEDIF(Table1[[#This Row],[Hire Date]], TODAY(), "Y")</f>
        <v>19</v>
      </c>
      <c r="G843" s="7">
        <f ca="1">YEARFRAC(Table1[[#This Row],[Hire Date]], TODAY())</f>
        <v>19.466666666666665</v>
      </c>
      <c r="H843" s="7">
        <v>38933</v>
      </c>
      <c r="I843">
        <v>38</v>
      </c>
      <c r="J843" t="s">
        <v>43</v>
      </c>
      <c r="K843">
        <v>7</v>
      </c>
      <c r="L843" t="s">
        <v>44</v>
      </c>
      <c r="M843">
        <v>7044.89</v>
      </c>
      <c r="N843" t="s">
        <v>48</v>
      </c>
      <c r="O843" t="s">
        <v>53</v>
      </c>
      <c r="P843">
        <v>34</v>
      </c>
      <c r="Q843" t="s">
        <v>57</v>
      </c>
      <c r="R843" t="s">
        <v>63</v>
      </c>
      <c r="S843">
        <v>9</v>
      </c>
      <c r="T843">
        <v>2019</v>
      </c>
      <c r="U843" t="s">
        <v>64</v>
      </c>
      <c r="V843">
        <v>93</v>
      </c>
      <c r="W843">
        <v>1.9</v>
      </c>
    </row>
    <row r="844" spans="1:23" x14ac:dyDescent="0.35">
      <c r="A844">
        <v>10843</v>
      </c>
      <c r="B844" t="s">
        <v>28</v>
      </c>
      <c r="C844" t="s">
        <v>31</v>
      </c>
      <c r="D844" t="s">
        <v>36</v>
      </c>
      <c r="E844">
        <v>85692</v>
      </c>
      <c r="F844">
        <f ca="1">DATEDIF(Table1[[#This Row],[Hire Date]], TODAY(), "Y")</f>
        <v>12</v>
      </c>
      <c r="G844" s="7">
        <f ca="1">YEARFRAC(Table1[[#This Row],[Hire Date]], TODAY())</f>
        <v>12.738888888888889</v>
      </c>
      <c r="H844" s="7">
        <v>41390</v>
      </c>
      <c r="I844">
        <v>24</v>
      </c>
      <c r="J844" t="s">
        <v>43</v>
      </c>
      <c r="K844">
        <v>7</v>
      </c>
      <c r="L844" t="s">
        <v>45</v>
      </c>
      <c r="M844">
        <v>503.27</v>
      </c>
      <c r="N844" t="s">
        <v>48</v>
      </c>
      <c r="O844" t="s">
        <v>53</v>
      </c>
      <c r="P844">
        <v>32</v>
      </c>
      <c r="Q844" t="s">
        <v>57</v>
      </c>
      <c r="R844" t="s">
        <v>61</v>
      </c>
      <c r="S844">
        <v>16</v>
      </c>
      <c r="T844">
        <v>2016</v>
      </c>
      <c r="U844" t="s">
        <v>64</v>
      </c>
      <c r="V844">
        <v>139</v>
      </c>
      <c r="W844">
        <v>1.2</v>
      </c>
    </row>
    <row r="845" spans="1:23" x14ac:dyDescent="0.35">
      <c r="A845">
        <v>10844</v>
      </c>
      <c r="B845" t="s">
        <v>21</v>
      </c>
      <c r="C845" t="s">
        <v>29</v>
      </c>
      <c r="D845" t="s">
        <v>40</v>
      </c>
      <c r="E845">
        <v>88541</v>
      </c>
      <c r="F845">
        <f ca="1">DATEDIF(Table1[[#This Row],[Hire Date]], TODAY(), "Y")</f>
        <v>12</v>
      </c>
      <c r="G845" s="7">
        <f ca="1">YEARFRAC(Table1[[#This Row],[Hire Date]], TODAY())</f>
        <v>12.661111111111111</v>
      </c>
      <c r="H845" s="7">
        <v>41418</v>
      </c>
      <c r="I845">
        <v>61</v>
      </c>
      <c r="J845" t="s">
        <v>43</v>
      </c>
      <c r="K845">
        <v>4</v>
      </c>
      <c r="L845" t="s">
        <v>44</v>
      </c>
      <c r="M845">
        <v>1066.99</v>
      </c>
      <c r="N845" t="s">
        <v>46</v>
      </c>
      <c r="O845" t="s">
        <v>54</v>
      </c>
      <c r="P845">
        <v>23</v>
      </c>
      <c r="Q845" t="s">
        <v>55</v>
      </c>
      <c r="R845" t="s">
        <v>59</v>
      </c>
      <c r="S845">
        <v>17</v>
      </c>
      <c r="T845">
        <v>2023</v>
      </c>
      <c r="U845" t="s">
        <v>65</v>
      </c>
      <c r="V845">
        <v>6</v>
      </c>
      <c r="W845">
        <v>5</v>
      </c>
    </row>
    <row r="846" spans="1:23" x14ac:dyDescent="0.35">
      <c r="A846">
        <v>10845</v>
      </c>
      <c r="B846" t="s">
        <v>23</v>
      </c>
      <c r="C846" t="s">
        <v>32</v>
      </c>
      <c r="D846" t="s">
        <v>41</v>
      </c>
      <c r="E846">
        <v>39470</v>
      </c>
      <c r="F846">
        <f ca="1">DATEDIF(Table1[[#This Row],[Hire Date]], TODAY(), "Y")</f>
        <v>12</v>
      </c>
      <c r="G846" s="7">
        <f ca="1">YEARFRAC(Table1[[#This Row],[Hire Date]], TODAY())</f>
        <v>12.294444444444444</v>
      </c>
      <c r="H846" s="7">
        <v>41553</v>
      </c>
      <c r="I846">
        <v>57</v>
      </c>
      <c r="J846" t="s">
        <v>43</v>
      </c>
      <c r="K846">
        <v>3</v>
      </c>
      <c r="L846" t="s">
        <v>44</v>
      </c>
      <c r="M846">
        <v>4609.32</v>
      </c>
      <c r="N846" t="s">
        <v>48</v>
      </c>
      <c r="O846" t="s">
        <v>54</v>
      </c>
      <c r="P846">
        <v>24</v>
      </c>
      <c r="Q846" t="s">
        <v>56</v>
      </c>
      <c r="R846" t="s">
        <v>59</v>
      </c>
      <c r="S846">
        <v>15</v>
      </c>
      <c r="T846">
        <v>2023</v>
      </c>
      <c r="U846" t="s">
        <v>66</v>
      </c>
      <c r="V846">
        <v>101</v>
      </c>
      <c r="W846">
        <v>4.5</v>
      </c>
    </row>
    <row r="847" spans="1:23" x14ac:dyDescent="0.35">
      <c r="A847">
        <v>10846</v>
      </c>
      <c r="B847" t="s">
        <v>23</v>
      </c>
      <c r="C847" t="s">
        <v>29</v>
      </c>
      <c r="D847" t="s">
        <v>38</v>
      </c>
      <c r="E847">
        <v>91344</v>
      </c>
      <c r="F847">
        <f ca="1">DATEDIF(Table1[[#This Row],[Hire Date]], TODAY(), "Y")</f>
        <v>9</v>
      </c>
      <c r="G847" s="7">
        <f ca="1">YEARFRAC(Table1[[#This Row],[Hire Date]], TODAY())</f>
        <v>9.4499999999999993</v>
      </c>
      <c r="H847" s="7">
        <v>42592</v>
      </c>
      <c r="I847">
        <v>47</v>
      </c>
      <c r="J847" t="s">
        <v>43</v>
      </c>
      <c r="K847">
        <v>9</v>
      </c>
      <c r="L847" t="s">
        <v>45</v>
      </c>
      <c r="M847">
        <v>9602.75</v>
      </c>
      <c r="N847" t="s">
        <v>47</v>
      </c>
      <c r="O847" t="s">
        <v>50</v>
      </c>
      <c r="P847">
        <v>1</v>
      </c>
      <c r="Q847" t="s">
        <v>57</v>
      </c>
      <c r="R847" t="s">
        <v>60</v>
      </c>
      <c r="S847">
        <v>1</v>
      </c>
      <c r="T847">
        <v>2010</v>
      </c>
      <c r="U847" t="s">
        <v>65</v>
      </c>
      <c r="V847">
        <v>60</v>
      </c>
      <c r="W847">
        <v>3.1</v>
      </c>
    </row>
    <row r="848" spans="1:23" x14ac:dyDescent="0.35">
      <c r="A848">
        <v>10847</v>
      </c>
      <c r="B848" t="s">
        <v>26</v>
      </c>
      <c r="C848" t="s">
        <v>34</v>
      </c>
      <c r="D848" t="s">
        <v>41</v>
      </c>
      <c r="E848">
        <v>74308</v>
      </c>
      <c r="F848">
        <f ca="1">DATEDIF(Table1[[#This Row],[Hire Date]], TODAY(), "Y")</f>
        <v>14</v>
      </c>
      <c r="G848" s="7">
        <f ca="1">YEARFRAC(Table1[[#This Row],[Hire Date]], TODAY())</f>
        <v>14.394444444444444</v>
      </c>
      <c r="H848" s="7">
        <v>40786</v>
      </c>
      <c r="I848">
        <v>31</v>
      </c>
      <c r="J848" t="s">
        <v>43</v>
      </c>
      <c r="K848">
        <v>7</v>
      </c>
      <c r="L848" t="s">
        <v>44</v>
      </c>
      <c r="M848">
        <v>8963.09</v>
      </c>
      <c r="N848" t="s">
        <v>47</v>
      </c>
      <c r="O848" t="s">
        <v>54</v>
      </c>
      <c r="P848">
        <v>24</v>
      </c>
      <c r="Q848" t="s">
        <v>55</v>
      </c>
      <c r="R848" t="s">
        <v>59</v>
      </c>
      <c r="S848">
        <v>16</v>
      </c>
      <c r="T848">
        <v>2012</v>
      </c>
      <c r="U848" t="s">
        <v>65</v>
      </c>
      <c r="V848">
        <v>108</v>
      </c>
      <c r="W848">
        <v>3.9</v>
      </c>
    </row>
    <row r="849" spans="1:23" x14ac:dyDescent="0.35">
      <c r="A849">
        <v>10848</v>
      </c>
      <c r="B849" t="s">
        <v>26</v>
      </c>
      <c r="C849" t="s">
        <v>33</v>
      </c>
      <c r="D849" t="s">
        <v>41</v>
      </c>
      <c r="E849">
        <v>80639</v>
      </c>
      <c r="F849">
        <f ca="1">DATEDIF(Table1[[#This Row],[Hire Date]], TODAY(), "Y")</f>
        <v>12</v>
      </c>
      <c r="G849" s="7">
        <f ca="1">YEARFRAC(Table1[[#This Row],[Hire Date]], TODAY())</f>
        <v>12.83611111111111</v>
      </c>
      <c r="H849" s="7">
        <v>41354</v>
      </c>
      <c r="I849">
        <v>55</v>
      </c>
      <c r="J849" t="s">
        <v>42</v>
      </c>
      <c r="K849">
        <v>2</v>
      </c>
      <c r="L849" t="s">
        <v>45</v>
      </c>
      <c r="M849">
        <v>9943.09</v>
      </c>
      <c r="N849" t="s">
        <v>47</v>
      </c>
      <c r="O849" t="s">
        <v>50</v>
      </c>
      <c r="P849">
        <v>3</v>
      </c>
      <c r="Q849" t="s">
        <v>55</v>
      </c>
      <c r="R849" t="s">
        <v>61</v>
      </c>
      <c r="S849">
        <v>3</v>
      </c>
      <c r="T849">
        <v>2023</v>
      </c>
      <c r="U849" t="s">
        <v>66</v>
      </c>
      <c r="V849">
        <v>128</v>
      </c>
      <c r="W849">
        <v>3.2</v>
      </c>
    </row>
    <row r="850" spans="1:23" x14ac:dyDescent="0.35">
      <c r="A850">
        <v>10849</v>
      </c>
      <c r="B850" t="s">
        <v>21</v>
      </c>
      <c r="C850" t="s">
        <v>33</v>
      </c>
      <c r="D850" t="s">
        <v>38</v>
      </c>
      <c r="E850">
        <v>51326</v>
      </c>
      <c r="F850">
        <f ca="1">DATEDIF(Table1[[#This Row],[Hire Date]], TODAY(), "Y")</f>
        <v>24</v>
      </c>
      <c r="G850" s="7">
        <f ca="1">YEARFRAC(Table1[[#This Row],[Hire Date]], TODAY())</f>
        <v>24.469444444444445</v>
      </c>
      <c r="H850" s="7">
        <v>37106</v>
      </c>
      <c r="I850">
        <v>35</v>
      </c>
      <c r="J850" t="s">
        <v>43</v>
      </c>
      <c r="K850">
        <v>1</v>
      </c>
      <c r="L850" t="s">
        <v>44</v>
      </c>
      <c r="M850">
        <v>4459.8900000000003</v>
      </c>
      <c r="N850" t="s">
        <v>48</v>
      </c>
      <c r="O850" t="s">
        <v>51</v>
      </c>
      <c r="P850">
        <v>17</v>
      </c>
      <c r="Q850" t="s">
        <v>55</v>
      </c>
      <c r="R850" t="s">
        <v>58</v>
      </c>
      <c r="S850">
        <v>6</v>
      </c>
      <c r="T850">
        <v>2014</v>
      </c>
      <c r="U850" t="s">
        <v>65</v>
      </c>
      <c r="V850">
        <v>189</v>
      </c>
      <c r="W850">
        <v>4.2</v>
      </c>
    </row>
    <row r="851" spans="1:23" x14ac:dyDescent="0.35">
      <c r="A851">
        <v>10850</v>
      </c>
      <c r="B851" t="s">
        <v>27</v>
      </c>
      <c r="C851" t="s">
        <v>33</v>
      </c>
      <c r="D851" t="s">
        <v>39</v>
      </c>
      <c r="E851">
        <v>34597</v>
      </c>
      <c r="F851">
        <f ca="1">DATEDIF(Table1[[#This Row],[Hire Date]], TODAY(), "Y")</f>
        <v>23</v>
      </c>
      <c r="G851" s="7">
        <f ca="1">YEARFRAC(Table1[[#This Row],[Hire Date]], TODAY())</f>
        <v>23.81111111111111</v>
      </c>
      <c r="H851" s="7">
        <v>37346</v>
      </c>
      <c r="I851">
        <v>29</v>
      </c>
      <c r="J851" t="s">
        <v>42</v>
      </c>
      <c r="K851">
        <v>2</v>
      </c>
      <c r="L851" t="s">
        <v>44</v>
      </c>
      <c r="M851">
        <v>942.4</v>
      </c>
      <c r="N851" t="s">
        <v>48</v>
      </c>
      <c r="O851" t="s">
        <v>51</v>
      </c>
      <c r="P851">
        <v>7</v>
      </c>
      <c r="Q851" t="s">
        <v>55</v>
      </c>
      <c r="R851" t="s">
        <v>58</v>
      </c>
      <c r="S851">
        <v>8</v>
      </c>
      <c r="T851">
        <v>2012</v>
      </c>
      <c r="U851" t="s">
        <v>65</v>
      </c>
      <c r="V851">
        <v>181</v>
      </c>
      <c r="W851">
        <v>4.4000000000000004</v>
      </c>
    </row>
    <row r="852" spans="1:23" x14ac:dyDescent="0.35">
      <c r="A852">
        <v>10851</v>
      </c>
      <c r="B852" t="s">
        <v>21</v>
      </c>
      <c r="C852" t="s">
        <v>29</v>
      </c>
      <c r="D852" t="s">
        <v>38</v>
      </c>
      <c r="E852">
        <v>60788</v>
      </c>
      <c r="F852">
        <f ca="1">DATEDIF(Table1[[#This Row],[Hire Date]], TODAY(), "Y")</f>
        <v>22</v>
      </c>
      <c r="G852" s="7">
        <f ca="1">YEARFRAC(Table1[[#This Row],[Hire Date]], TODAY())</f>
        <v>22.641666666666666</v>
      </c>
      <c r="H852" s="7">
        <v>37773</v>
      </c>
      <c r="I852">
        <v>48</v>
      </c>
      <c r="J852" t="s">
        <v>43</v>
      </c>
      <c r="K852">
        <v>3</v>
      </c>
      <c r="L852" t="s">
        <v>44</v>
      </c>
      <c r="M852">
        <v>3406.58</v>
      </c>
      <c r="N852" t="s">
        <v>49</v>
      </c>
      <c r="O852" t="s">
        <v>53</v>
      </c>
      <c r="P852">
        <v>10</v>
      </c>
      <c r="Q852" t="s">
        <v>55</v>
      </c>
      <c r="R852" t="s">
        <v>60</v>
      </c>
      <c r="S852">
        <v>2</v>
      </c>
      <c r="T852">
        <v>2012</v>
      </c>
      <c r="U852" t="s">
        <v>64</v>
      </c>
      <c r="V852">
        <v>129</v>
      </c>
      <c r="W852">
        <v>1.9</v>
      </c>
    </row>
    <row r="853" spans="1:23" x14ac:dyDescent="0.35">
      <c r="A853">
        <v>10852</v>
      </c>
      <c r="B853" t="s">
        <v>26</v>
      </c>
      <c r="C853" t="s">
        <v>32</v>
      </c>
      <c r="D853" t="s">
        <v>41</v>
      </c>
      <c r="E853">
        <v>95020</v>
      </c>
      <c r="F853">
        <f ca="1">DATEDIF(Table1[[#This Row],[Hire Date]], TODAY(), "Y")</f>
        <v>25</v>
      </c>
      <c r="G853" s="7">
        <f ca="1">YEARFRAC(Table1[[#This Row],[Hire Date]], TODAY())</f>
        <v>25.719444444444445</v>
      </c>
      <c r="H853" s="7">
        <v>36649</v>
      </c>
      <c r="I853">
        <v>31</v>
      </c>
      <c r="J853" t="s">
        <v>42</v>
      </c>
      <c r="K853">
        <v>5</v>
      </c>
      <c r="L853" t="s">
        <v>45</v>
      </c>
      <c r="M853">
        <v>6919.82</v>
      </c>
      <c r="N853" t="s">
        <v>49</v>
      </c>
      <c r="O853" t="s">
        <v>51</v>
      </c>
      <c r="P853">
        <v>19</v>
      </c>
      <c r="Q853" t="s">
        <v>57</v>
      </c>
      <c r="R853" t="s">
        <v>58</v>
      </c>
      <c r="S853">
        <v>19</v>
      </c>
      <c r="T853">
        <v>2010</v>
      </c>
      <c r="U853" t="s">
        <v>65</v>
      </c>
      <c r="V853">
        <v>82</v>
      </c>
      <c r="W853">
        <v>2.8</v>
      </c>
    </row>
    <row r="854" spans="1:23" x14ac:dyDescent="0.35">
      <c r="A854">
        <v>10853</v>
      </c>
      <c r="B854" t="s">
        <v>23</v>
      </c>
      <c r="C854" t="s">
        <v>33</v>
      </c>
      <c r="D854" t="s">
        <v>38</v>
      </c>
      <c r="E854">
        <v>79477</v>
      </c>
      <c r="F854">
        <f ca="1">DATEDIF(Table1[[#This Row],[Hire Date]], TODAY(), "Y")</f>
        <v>9</v>
      </c>
      <c r="G854" s="7">
        <f ca="1">YEARFRAC(Table1[[#This Row],[Hire Date]], TODAY())</f>
        <v>9.4472222222222229</v>
      </c>
      <c r="H854" s="7">
        <v>42593</v>
      </c>
      <c r="I854">
        <v>36</v>
      </c>
      <c r="J854" t="s">
        <v>42</v>
      </c>
      <c r="K854">
        <v>3</v>
      </c>
      <c r="L854" t="s">
        <v>44</v>
      </c>
      <c r="M854">
        <v>1784.06</v>
      </c>
      <c r="N854" t="s">
        <v>48</v>
      </c>
      <c r="O854" t="s">
        <v>54</v>
      </c>
      <c r="P854">
        <v>24</v>
      </c>
      <c r="Q854" t="s">
        <v>55</v>
      </c>
      <c r="R854" t="s">
        <v>62</v>
      </c>
      <c r="S854">
        <v>4</v>
      </c>
      <c r="T854">
        <v>2017</v>
      </c>
      <c r="U854" t="s">
        <v>66</v>
      </c>
      <c r="V854">
        <v>12</v>
      </c>
      <c r="W854">
        <v>3.5</v>
      </c>
    </row>
    <row r="855" spans="1:23" x14ac:dyDescent="0.35">
      <c r="A855">
        <v>10854</v>
      </c>
      <c r="B855" t="s">
        <v>24</v>
      </c>
      <c r="C855" t="s">
        <v>32</v>
      </c>
      <c r="D855" t="s">
        <v>39</v>
      </c>
      <c r="E855">
        <v>63071</v>
      </c>
      <c r="F855">
        <f ca="1">DATEDIF(Table1[[#This Row],[Hire Date]], TODAY(), "Y")</f>
        <v>13</v>
      </c>
      <c r="G855" s="7">
        <f ca="1">YEARFRAC(Table1[[#This Row],[Hire Date]], TODAY())</f>
        <v>13.905555555555555</v>
      </c>
      <c r="H855" s="7">
        <v>40965</v>
      </c>
      <c r="I855">
        <v>58</v>
      </c>
      <c r="J855" t="s">
        <v>43</v>
      </c>
      <c r="K855">
        <v>9</v>
      </c>
      <c r="L855" t="s">
        <v>44</v>
      </c>
      <c r="M855">
        <v>3349.74</v>
      </c>
      <c r="N855" t="s">
        <v>47</v>
      </c>
      <c r="O855" t="s">
        <v>52</v>
      </c>
      <c r="P855">
        <v>9</v>
      </c>
      <c r="Q855" t="s">
        <v>56</v>
      </c>
      <c r="R855" t="s">
        <v>58</v>
      </c>
      <c r="S855">
        <v>17</v>
      </c>
      <c r="T855">
        <v>2018</v>
      </c>
      <c r="U855" t="s">
        <v>66</v>
      </c>
      <c r="V855">
        <v>88</v>
      </c>
      <c r="W855">
        <v>4.9000000000000004</v>
      </c>
    </row>
    <row r="856" spans="1:23" x14ac:dyDescent="0.35">
      <c r="A856">
        <v>10855</v>
      </c>
      <c r="B856" t="s">
        <v>21</v>
      </c>
      <c r="C856" t="s">
        <v>29</v>
      </c>
      <c r="D856" t="s">
        <v>36</v>
      </c>
      <c r="E856">
        <v>100603</v>
      </c>
      <c r="F856">
        <f ca="1">DATEDIF(Table1[[#This Row],[Hire Date]], TODAY(), "Y")</f>
        <v>20</v>
      </c>
      <c r="G856" s="7">
        <f ca="1">YEARFRAC(Table1[[#This Row],[Hire Date]], TODAY())</f>
        <v>20.930555555555557</v>
      </c>
      <c r="H856" s="7">
        <v>38400</v>
      </c>
      <c r="I856">
        <v>43</v>
      </c>
      <c r="J856" t="s">
        <v>42</v>
      </c>
      <c r="K856">
        <v>4</v>
      </c>
      <c r="L856" t="s">
        <v>45</v>
      </c>
      <c r="M856">
        <v>1033.58</v>
      </c>
      <c r="N856" t="s">
        <v>48</v>
      </c>
      <c r="O856" t="s">
        <v>53</v>
      </c>
      <c r="P856">
        <v>15</v>
      </c>
      <c r="Q856" t="s">
        <v>56</v>
      </c>
      <c r="R856" t="s">
        <v>59</v>
      </c>
      <c r="S856">
        <v>16</v>
      </c>
      <c r="T856">
        <v>2014</v>
      </c>
      <c r="U856" t="s">
        <v>64</v>
      </c>
      <c r="V856">
        <v>195</v>
      </c>
      <c r="W856">
        <v>3.7</v>
      </c>
    </row>
    <row r="857" spans="1:23" x14ac:dyDescent="0.35">
      <c r="A857">
        <v>10856</v>
      </c>
      <c r="B857" t="s">
        <v>23</v>
      </c>
      <c r="C857" t="s">
        <v>34</v>
      </c>
      <c r="D857" t="s">
        <v>38</v>
      </c>
      <c r="E857">
        <v>91923</v>
      </c>
      <c r="F857">
        <f ca="1">DATEDIF(Table1[[#This Row],[Hire Date]], TODAY(), "Y")</f>
        <v>24</v>
      </c>
      <c r="G857" s="7">
        <f ca="1">YEARFRAC(Table1[[#This Row],[Hire Date]], TODAY())</f>
        <v>24.625</v>
      </c>
      <c r="H857" s="7">
        <v>37049</v>
      </c>
      <c r="I857">
        <v>52</v>
      </c>
      <c r="J857" t="s">
        <v>42</v>
      </c>
      <c r="K857">
        <v>7</v>
      </c>
      <c r="L857" t="s">
        <v>44</v>
      </c>
      <c r="M857">
        <v>5012.1899999999996</v>
      </c>
      <c r="N857" t="s">
        <v>46</v>
      </c>
      <c r="O857" t="s">
        <v>50</v>
      </c>
      <c r="P857">
        <v>22</v>
      </c>
      <c r="Q857" t="s">
        <v>57</v>
      </c>
      <c r="R857" t="s">
        <v>61</v>
      </c>
      <c r="S857">
        <v>6</v>
      </c>
      <c r="T857">
        <v>2010</v>
      </c>
      <c r="U857" t="s">
        <v>65</v>
      </c>
      <c r="V857">
        <v>86</v>
      </c>
      <c r="W857">
        <v>4.5999999999999996</v>
      </c>
    </row>
    <row r="858" spans="1:23" x14ac:dyDescent="0.35">
      <c r="A858">
        <v>10857</v>
      </c>
      <c r="B858" t="s">
        <v>24</v>
      </c>
      <c r="C858" t="s">
        <v>32</v>
      </c>
      <c r="D858" t="s">
        <v>38</v>
      </c>
      <c r="E858">
        <v>100560</v>
      </c>
      <c r="F858">
        <f ca="1">DATEDIF(Table1[[#This Row],[Hire Date]], TODAY(), "Y")</f>
        <v>17</v>
      </c>
      <c r="G858" s="7">
        <f ca="1">YEARFRAC(Table1[[#This Row],[Hire Date]], TODAY())</f>
        <v>17.505555555555556</v>
      </c>
      <c r="H858" s="7">
        <v>39649</v>
      </c>
      <c r="I858">
        <v>23</v>
      </c>
      <c r="J858" t="s">
        <v>43</v>
      </c>
      <c r="K858">
        <v>4</v>
      </c>
      <c r="L858" t="s">
        <v>44</v>
      </c>
      <c r="M858">
        <v>2484.75</v>
      </c>
      <c r="N858" t="s">
        <v>46</v>
      </c>
      <c r="O858" t="s">
        <v>51</v>
      </c>
      <c r="P858">
        <v>17</v>
      </c>
      <c r="Q858" t="s">
        <v>55</v>
      </c>
      <c r="R858" t="s">
        <v>61</v>
      </c>
      <c r="S858">
        <v>13</v>
      </c>
      <c r="T858">
        <v>2010</v>
      </c>
      <c r="U858" t="s">
        <v>65</v>
      </c>
      <c r="V858">
        <v>92</v>
      </c>
      <c r="W858">
        <v>4.4000000000000004</v>
      </c>
    </row>
    <row r="859" spans="1:23" x14ac:dyDescent="0.35">
      <c r="A859">
        <v>10858</v>
      </c>
      <c r="B859" t="s">
        <v>24</v>
      </c>
      <c r="C859" t="s">
        <v>34</v>
      </c>
      <c r="D859" t="s">
        <v>41</v>
      </c>
      <c r="E859">
        <v>103251</v>
      </c>
      <c r="F859">
        <f ca="1">DATEDIF(Table1[[#This Row],[Hire Date]], TODAY(), "Y")</f>
        <v>14</v>
      </c>
      <c r="G859" s="7">
        <f ca="1">YEARFRAC(Table1[[#This Row],[Hire Date]], TODAY())</f>
        <v>14.488888888888889</v>
      </c>
      <c r="H859" s="7">
        <v>40750</v>
      </c>
      <c r="I859">
        <v>52</v>
      </c>
      <c r="J859" t="s">
        <v>43</v>
      </c>
      <c r="K859">
        <v>3</v>
      </c>
      <c r="L859" t="s">
        <v>45</v>
      </c>
      <c r="M859">
        <v>1366.86</v>
      </c>
      <c r="N859" t="s">
        <v>47</v>
      </c>
      <c r="O859" t="s">
        <v>53</v>
      </c>
      <c r="P859">
        <v>19</v>
      </c>
      <c r="Q859" t="s">
        <v>55</v>
      </c>
      <c r="R859" t="s">
        <v>62</v>
      </c>
      <c r="S859">
        <v>14</v>
      </c>
      <c r="T859">
        <v>2018</v>
      </c>
      <c r="U859" t="s">
        <v>65</v>
      </c>
      <c r="V859">
        <v>178</v>
      </c>
      <c r="W859">
        <v>3.3</v>
      </c>
    </row>
    <row r="860" spans="1:23" x14ac:dyDescent="0.35">
      <c r="A860">
        <v>10859</v>
      </c>
      <c r="B860" t="s">
        <v>26</v>
      </c>
      <c r="C860" t="s">
        <v>29</v>
      </c>
      <c r="D860" t="s">
        <v>36</v>
      </c>
      <c r="E860">
        <v>87492</v>
      </c>
      <c r="F860">
        <f ca="1">DATEDIF(Table1[[#This Row],[Hire Date]], TODAY(), "Y")</f>
        <v>11</v>
      </c>
      <c r="G860" s="7">
        <f ca="1">YEARFRAC(Table1[[#This Row],[Hire Date]], TODAY())</f>
        <v>11.669444444444444</v>
      </c>
      <c r="H860" s="7">
        <v>41780</v>
      </c>
      <c r="I860">
        <v>35</v>
      </c>
      <c r="J860" t="s">
        <v>43</v>
      </c>
      <c r="K860">
        <v>1</v>
      </c>
      <c r="L860" t="s">
        <v>45</v>
      </c>
      <c r="M860">
        <v>4406.55</v>
      </c>
      <c r="N860" t="s">
        <v>46</v>
      </c>
      <c r="O860" t="s">
        <v>53</v>
      </c>
      <c r="P860">
        <v>9</v>
      </c>
      <c r="Q860" t="s">
        <v>57</v>
      </c>
      <c r="R860" t="s">
        <v>61</v>
      </c>
      <c r="S860">
        <v>13</v>
      </c>
      <c r="T860">
        <v>2023</v>
      </c>
      <c r="U860" t="s">
        <v>65</v>
      </c>
      <c r="V860">
        <v>71</v>
      </c>
      <c r="W860">
        <v>4.5999999999999996</v>
      </c>
    </row>
    <row r="861" spans="1:23" x14ac:dyDescent="0.35">
      <c r="A861">
        <v>10860</v>
      </c>
      <c r="B861" t="s">
        <v>21</v>
      </c>
      <c r="C861" t="s">
        <v>29</v>
      </c>
      <c r="D861" t="s">
        <v>37</v>
      </c>
      <c r="E861">
        <v>61770</v>
      </c>
      <c r="F861">
        <f ca="1">DATEDIF(Table1[[#This Row],[Hire Date]], TODAY(), "Y")</f>
        <v>7</v>
      </c>
      <c r="G861" s="7">
        <f ca="1">YEARFRAC(Table1[[#This Row],[Hire Date]], TODAY())</f>
        <v>7.4388888888888891</v>
      </c>
      <c r="H861" s="7">
        <v>43326</v>
      </c>
      <c r="I861">
        <v>31</v>
      </c>
      <c r="J861" t="s">
        <v>43</v>
      </c>
      <c r="K861">
        <v>9</v>
      </c>
      <c r="L861" t="s">
        <v>45</v>
      </c>
      <c r="M861">
        <v>3836.64</v>
      </c>
      <c r="N861" t="s">
        <v>48</v>
      </c>
      <c r="O861" t="s">
        <v>53</v>
      </c>
      <c r="P861">
        <v>38</v>
      </c>
      <c r="Q861" t="s">
        <v>55</v>
      </c>
      <c r="R861" t="s">
        <v>61</v>
      </c>
      <c r="S861">
        <v>8</v>
      </c>
      <c r="T861">
        <v>2010</v>
      </c>
      <c r="U861" t="s">
        <v>66</v>
      </c>
      <c r="V861">
        <v>121</v>
      </c>
      <c r="W861">
        <v>2.5</v>
      </c>
    </row>
    <row r="862" spans="1:23" x14ac:dyDescent="0.35">
      <c r="A862">
        <v>10861</v>
      </c>
      <c r="B862" t="s">
        <v>22</v>
      </c>
      <c r="C862" t="s">
        <v>31</v>
      </c>
      <c r="D862" t="s">
        <v>37</v>
      </c>
      <c r="E862">
        <v>106762</v>
      </c>
      <c r="F862">
        <f ca="1">DATEDIF(Table1[[#This Row],[Hire Date]], TODAY(), "Y")</f>
        <v>17</v>
      </c>
      <c r="G862" s="7">
        <f ca="1">YEARFRAC(Table1[[#This Row],[Hire Date]], TODAY())</f>
        <v>17.302777777777777</v>
      </c>
      <c r="H862" s="7">
        <v>39724</v>
      </c>
      <c r="I862">
        <v>51</v>
      </c>
      <c r="J862" t="s">
        <v>43</v>
      </c>
      <c r="K862">
        <v>1</v>
      </c>
      <c r="L862" t="s">
        <v>44</v>
      </c>
      <c r="M862">
        <v>5606.42</v>
      </c>
      <c r="N862" t="s">
        <v>48</v>
      </c>
      <c r="O862" t="s">
        <v>51</v>
      </c>
      <c r="P862">
        <v>19</v>
      </c>
      <c r="Q862" t="s">
        <v>55</v>
      </c>
      <c r="R862" t="s">
        <v>61</v>
      </c>
      <c r="S862">
        <v>15</v>
      </c>
      <c r="T862">
        <v>2018</v>
      </c>
      <c r="U862" t="s">
        <v>66</v>
      </c>
      <c r="V862">
        <v>178</v>
      </c>
      <c r="W862">
        <v>2.5</v>
      </c>
    </row>
    <row r="863" spans="1:23" x14ac:dyDescent="0.35">
      <c r="A863">
        <v>10862</v>
      </c>
      <c r="B863" t="s">
        <v>28</v>
      </c>
      <c r="C863" t="s">
        <v>29</v>
      </c>
      <c r="D863" t="s">
        <v>40</v>
      </c>
      <c r="E863">
        <v>65399</v>
      </c>
      <c r="F863">
        <f ca="1">DATEDIF(Table1[[#This Row],[Hire Date]], TODAY(), "Y")</f>
        <v>18</v>
      </c>
      <c r="G863" s="7">
        <f ca="1">YEARFRAC(Table1[[#This Row],[Hire Date]], TODAY())</f>
        <v>18.430555555555557</v>
      </c>
      <c r="H863" s="7">
        <v>39311</v>
      </c>
      <c r="I863">
        <v>57</v>
      </c>
      <c r="J863" t="s">
        <v>43</v>
      </c>
      <c r="K863">
        <v>1</v>
      </c>
      <c r="L863" t="s">
        <v>44</v>
      </c>
      <c r="M863">
        <v>7615.87</v>
      </c>
      <c r="N863" t="s">
        <v>49</v>
      </c>
      <c r="O863" t="s">
        <v>50</v>
      </c>
      <c r="P863">
        <v>8</v>
      </c>
      <c r="Q863" t="s">
        <v>56</v>
      </c>
      <c r="R863" t="s">
        <v>63</v>
      </c>
      <c r="S863">
        <v>18</v>
      </c>
      <c r="T863">
        <v>2012</v>
      </c>
      <c r="U863" t="s">
        <v>64</v>
      </c>
      <c r="V863">
        <v>82</v>
      </c>
      <c r="W863">
        <v>4.0999999999999996</v>
      </c>
    </row>
    <row r="864" spans="1:23" x14ac:dyDescent="0.35">
      <c r="A864">
        <v>10863</v>
      </c>
      <c r="B864" t="s">
        <v>26</v>
      </c>
      <c r="C864" t="s">
        <v>29</v>
      </c>
      <c r="D864" t="s">
        <v>38</v>
      </c>
      <c r="E864">
        <v>108948</v>
      </c>
      <c r="F864">
        <f ca="1">DATEDIF(Table1[[#This Row],[Hire Date]], TODAY(), "Y")</f>
        <v>6</v>
      </c>
      <c r="G864" s="7">
        <f ca="1">YEARFRAC(Table1[[#This Row],[Hire Date]], TODAY())</f>
        <v>6.6638888888888888</v>
      </c>
      <c r="H864" s="7">
        <v>43608</v>
      </c>
      <c r="I864">
        <v>61</v>
      </c>
      <c r="J864" t="s">
        <v>43</v>
      </c>
      <c r="K864">
        <v>1</v>
      </c>
      <c r="L864" t="s">
        <v>44</v>
      </c>
      <c r="M864">
        <v>1569.4</v>
      </c>
      <c r="N864" t="s">
        <v>46</v>
      </c>
      <c r="O864" t="s">
        <v>53</v>
      </c>
      <c r="P864">
        <v>6</v>
      </c>
      <c r="Q864" t="s">
        <v>55</v>
      </c>
      <c r="R864" t="s">
        <v>62</v>
      </c>
      <c r="S864">
        <v>0</v>
      </c>
      <c r="T864">
        <v>2012</v>
      </c>
      <c r="U864" t="s">
        <v>65</v>
      </c>
      <c r="V864">
        <v>71</v>
      </c>
      <c r="W864">
        <v>1.5</v>
      </c>
    </row>
    <row r="865" spans="1:23" x14ac:dyDescent="0.35">
      <c r="A865">
        <v>10864</v>
      </c>
      <c r="B865" t="s">
        <v>26</v>
      </c>
      <c r="C865" t="s">
        <v>35</v>
      </c>
      <c r="D865" t="s">
        <v>38</v>
      </c>
      <c r="E865">
        <v>87439</v>
      </c>
      <c r="F865">
        <f ca="1">DATEDIF(Table1[[#This Row],[Hire Date]], TODAY(), "Y")</f>
        <v>20</v>
      </c>
      <c r="G865" s="7">
        <f ca="1">YEARFRAC(Table1[[#This Row],[Hire Date]], TODAY())</f>
        <v>20.258333333333333</v>
      </c>
      <c r="H865" s="7">
        <v>38644</v>
      </c>
      <c r="I865">
        <v>36</v>
      </c>
      <c r="J865" t="s">
        <v>43</v>
      </c>
      <c r="K865">
        <v>5</v>
      </c>
      <c r="L865" t="s">
        <v>44</v>
      </c>
      <c r="M865">
        <v>8015.69</v>
      </c>
      <c r="N865" t="s">
        <v>46</v>
      </c>
      <c r="O865" t="s">
        <v>53</v>
      </c>
      <c r="P865">
        <v>38</v>
      </c>
      <c r="Q865" t="s">
        <v>57</v>
      </c>
      <c r="R865" t="s">
        <v>62</v>
      </c>
      <c r="S865">
        <v>7</v>
      </c>
      <c r="T865">
        <v>2022</v>
      </c>
      <c r="U865" t="s">
        <v>66</v>
      </c>
      <c r="V865">
        <v>46</v>
      </c>
      <c r="W865">
        <v>2.2000000000000002</v>
      </c>
    </row>
    <row r="866" spans="1:23" x14ac:dyDescent="0.35">
      <c r="A866">
        <v>10865</v>
      </c>
      <c r="B866" t="s">
        <v>22</v>
      </c>
      <c r="C866" t="s">
        <v>33</v>
      </c>
      <c r="D866" t="s">
        <v>36</v>
      </c>
      <c r="E866">
        <v>74415</v>
      </c>
      <c r="F866">
        <f ca="1">DATEDIF(Table1[[#This Row],[Hire Date]], TODAY(), "Y")</f>
        <v>8</v>
      </c>
      <c r="G866" s="7">
        <f ca="1">YEARFRAC(Table1[[#This Row],[Hire Date]], TODAY())</f>
        <v>8.4888888888888889</v>
      </c>
      <c r="H866" s="7">
        <v>42942</v>
      </c>
      <c r="I866">
        <v>35</v>
      </c>
      <c r="J866" t="s">
        <v>42</v>
      </c>
      <c r="K866">
        <v>7</v>
      </c>
      <c r="L866" t="s">
        <v>44</v>
      </c>
      <c r="M866">
        <v>749.75</v>
      </c>
      <c r="N866" t="s">
        <v>46</v>
      </c>
      <c r="O866" t="s">
        <v>53</v>
      </c>
      <c r="P866">
        <v>21</v>
      </c>
      <c r="Q866" t="s">
        <v>56</v>
      </c>
      <c r="R866" t="s">
        <v>58</v>
      </c>
      <c r="S866">
        <v>17</v>
      </c>
      <c r="T866">
        <v>2013</v>
      </c>
      <c r="U866" t="s">
        <v>65</v>
      </c>
      <c r="V866">
        <v>68</v>
      </c>
      <c r="W866">
        <v>3.4</v>
      </c>
    </row>
    <row r="867" spans="1:23" x14ac:dyDescent="0.35">
      <c r="A867">
        <v>10866</v>
      </c>
      <c r="B867" t="s">
        <v>28</v>
      </c>
      <c r="C867" t="s">
        <v>31</v>
      </c>
      <c r="D867" t="s">
        <v>39</v>
      </c>
      <c r="E867">
        <v>42569</v>
      </c>
      <c r="F867">
        <f ca="1">DATEDIF(Table1[[#This Row],[Hire Date]], TODAY(), "Y")</f>
        <v>22</v>
      </c>
      <c r="G867" s="7">
        <f ca="1">YEARFRAC(Table1[[#This Row],[Hire Date]], TODAY())</f>
        <v>22.741666666666667</v>
      </c>
      <c r="H867" s="7">
        <v>37736</v>
      </c>
      <c r="I867">
        <v>52</v>
      </c>
      <c r="J867" t="s">
        <v>43</v>
      </c>
      <c r="K867">
        <v>7</v>
      </c>
      <c r="L867" t="s">
        <v>45</v>
      </c>
      <c r="M867">
        <v>4709.47</v>
      </c>
      <c r="N867" t="s">
        <v>46</v>
      </c>
      <c r="O867" t="s">
        <v>51</v>
      </c>
      <c r="P867">
        <v>29</v>
      </c>
      <c r="Q867" t="s">
        <v>57</v>
      </c>
      <c r="R867" t="s">
        <v>59</v>
      </c>
      <c r="S867">
        <v>1</v>
      </c>
      <c r="T867">
        <v>2014</v>
      </c>
      <c r="U867" t="s">
        <v>66</v>
      </c>
      <c r="V867">
        <v>132</v>
      </c>
      <c r="W867">
        <v>2.7</v>
      </c>
    </row>
    <row r="868" spans="1:23" x14ac:dyDescent="0.35">
      <c r="A868">
        <v>10867</v>
      </c>
      <c r="B868" t="s">
        <v>23</v>
      </c>
      <c r="C868" t="s">
        <v>30</v>
      </c>
      <c r="D868" t="s">
        <v>37</v>
      </c>
      <c r="E868">
        <v>32369</v>
      </c>
      <c r="F868">
        <f ca="1">DATEDIF(Table1[[#This Row],[Hire Date]], TODAY(), "Y")</f>
        <v>23</v>
      </c>
      <c r="G868" s="7">
        <f ca="1">YEARFRAC(Table1[[#This Row],[Hire Date]], TODAY())</f>
        <v>23.247222222222224</v>
      </c>
      <c r="H868" s="7">
        <v>37552</v>
      </c>
      <c r="I868">
        <v>50</v>
      </c>
      <c r="J868" t="s">
        <v>42</v>
      </c>
      <c r="K868">
        <v>1</v>
      </c>
      <c r="L868" t="s">
        <v>44</v>
      </c>
      <c r="M868">
        <v>6080.59</v>
      </c>
      <c r="N868" t="s">
        <v>47</v>
      </c>
      <c r="O868" t="s">
        <v>54</v>
      </c>
      <c r="P868">
        <v>34</v>
      </c>
      <c r="Q868" t="s">
        <v>57</v>
      </c>
      <c r="R868" t="s">
        <v>62</v>
      </c>
      <c r="S868">
        <v>3</v>
      </c>
      <c r="T868">
        <v>2015</v>
      </c>
      <c r="U868" t="s">
        <v>66</v>
      </c>
      <c r="V868">
        <v>77</v>
      </c>
      <c r="W868">
        <v>4.8</v>
      </c>
    </row>
    <row r="869" spans="1:23" x14ac:dyDescent="0.35">
      <c r="A869">
        <v>10868</v>
      </c>
      <c r="B869" t="s">
        <v>27</v>
      </c>
      <c r="C869" t="s">
        <v>31</v>
      </c>
      <c r="D869" t="s">
        <v>40</v>
      </c>
      <c r="E869">
        <v>30528</v>
      </c>
      <c r="F869">
        <f ca="1">DATEDIF(Table1[[#This Row],[Hire Date]], TODAY(), "Y")</f>
        <v>11</v>
      </c>
      <c r="G869" s="7">
        <f ca="1">YEARFRAC(Table1[[#This Row],[Hire Date]], TODAY())</f>
        <v>11.261111111111111</v>
      </c>
      <c r="H869" s="7">
        <v>41930</v>
      </c>
      <c r="I869">
        <v>48</v>
      </c>
      <c r="J869" t="s">
        <v>43</v>
      </c>
      <c r="K869">
        <v>6</v>
      </c>
      <c r="L869" t="s">
        <v>45</v>
      </c>
      <c r="M869">
        <v>9591.49</v>
      </c>
      <c r="N869" t="s">
        <v>47</v>
      </c>
      <c r="O869" t="s">
        <v>50</v>
      </c>
      <c r="P869">
        <v>12</v>
      </c>
      <c r="Q869" t="s">
        <v>55</v>
      </c>
      <c r="R869" t="s">
        <v>60</v>
      </c>
      <c r="S869">
        <v>0</v>
      </c>
      <c r="T869">
        <v>2023</v>
      </c>
      <c r="U869" t="s">
        <v>64</v>
      </c>
      <c r="V869">
        <v>185</v>
      </c>
      <c r="W869">
        <v>4.8</v>
      </c>
    </row>
    <row r="870" spans="1:23" x14ac:dyDescent="0.35">
      <c r="A870">
        <v>10869</v>
      </c>
      <c r="B870" t="s">
        <v>21</v>
      </c>
      <c r="C870" t="s">
        <v>31</v>
      </c>
      <c r="D870" t="s">
        <v>36</v>
      </c>
      <c r="E870">
        <v>60314</v>
      </c>
      <c r="F870">
        <f ca="1">DATEDIF(Table1[[#This Row],[Hire Date]], TODAY(), "Y")</f>
        <v>14</v>
      </c>
      <c r="G870" s="7">
        <f ca="1">YEARFRAC(Table1[[#This Row],[Hire Date]], TODAY())</f>
        <v>14.783333333333333</v>
      </c>
      <c r="H870" s="7">
        <v>40643</v>
      </c>
      <c r="I870">
        <v>42</v>
      </c>
      <c r="J870" t="s">
        <v>43</v>
      </c>
      <c r="K870">
        <v>9</v>
      </c>
      <c r="L870" t="s">
        <v>44</v>
      </c>
      <c r="M870">
        <v>5952.27</v>
      </c>
      <c r="N870" t="s">
        <v>48</v>
      </c>
      <c r="O870" t="s">
        <v>53</v>
      </c>
      <c r="P870">
        <v>39</v>
      </c>
      <c r="Q870" t="s">
        <v>55</v>
      </c>
      <c r="R870" t="s">
        <v>62</v>
      </c>
      <c r="S870">
        <v>18</v>
      </c>
      <c r="T870">
        <v>2015</v>
      </c>
      <c r="U870" t="s">
        <v>65</v>
      </c>
      <c r="V870">
        <v>94</v>
      </c>
      <c r="W870">
        <v>3</v>
      </c>
    </row>
    <row r="871" spans="1:23" x14ac:dyDescent="0.35">
      <c r="A871">
        <v>10870</v>
      </c>
      <c r="B871" t="s">
        <v>27</v>
      </c>
      <c r="C871" t="s">
        <v>30</v>
      </c>
      <c r="D871" t="s">
        <v>38</v>
      </c>
      <c r="E871">
        <v>48047</v>
      </c>
      <c r="F871">
        <f ca="1">DATEDIF(Table1[[#This Row],[Hire Date]], TODAY(), "Y")</f>
        <v>14</v>
      </c>
      <c r="G871" s="7">
        <f ca="1">YEARFRAC(Table1[[#This Row],[Hire Date]], TODAY())</f>
        <v>14.391666666666667</v>
      </c>
      <c r="H871" s="7">
        <v>40787</v>
      </c>
      <c r="I871">
        <v>30</v>
      </c>
      <c r="J871" t="s">
        <v>43</v>
      </c>
      <c r="K871">
        <v>6</v>
      </c>
      <c r="L871" t="s">
        <v>44</v>
      </c>
      <c r="M871">
        <v>2008.12</v>
      </c>
      <c r="N871" t="s">
        <v>46</v>
      </c>
      <c r="O871" t="s">
        <v>53</v>
      </c>
      <c r="P871">
        <v>32</v>
      </c>
      <c r="Q871" t="s">
        <v>56</v>
      </c>
      <c r="R871" t="s">
        <v>60</v>
      </c>
      <c r="S871">
        <v>10</v>
      </c>
      <c r="T871">
        <v>2019</v>
      </c>
      <c r="U871" t="s">
        <v>64</v>
      </c>
      <c r="V871">
        <v>11</v>
      </c>
      <c r="W871">
        <v>3.2</v>
      </c>
    </row>
    <row r="872" spans="1:23" x14ac:dyDescent="0.35">
      <c r="A872">
        <v>10871</v>
      </c>
      <c r="B872" t="s">
        <v>23</v>
      </c>
      <c r="C872" t="s">
        <v>35</v>
      </c>
      <c r="D872" t="s">
        <v>37</v>
      </c>
      <c r="E872">
        <v>49748</v>
      </c>
      <c r="F872">
        <f ca="1">DATEDIF(Table1[[#This Row],[Hire Date]], TODAY(), "Y")</f>
        <v>11</v>
      </c>
      <c r="G872" s="7">
        <f ca="1">YEARFRAC(Table1[[#This Row],[Hire Date]], TODAY())</f>
        <v>11.194444444444445</v>
      </c>
      <c r="H872" s="7">
        <v>41955</v>
      </c>
      <c r="I872">
        <v>41</v>
      </c>
      <c r="J872" t="s">
        <v>43</v>
      </c>
      <c r="K872">
        <v>4</v>
      </c>
      <c r="L872" t="s">
        <v>45</v>
      </c>
      <c r="M872">
        <v>5416.65</v>
      </c>
      <c r="N872" t="s">
        <v>49</v>
      </c>
      <c r="O872" t="s">
        <v>53</v>
      </c>
      <c r="P872">
        <v>6</v>
      </c>
      <c r="Q872" t="s">
        <v>57</v>
      </c>
      <c r="R872" t="s">
        <v>61</v>
      </c>
      <c r="S872">
        <v>5</v>
      </c>
      <c r="T872">
        <v>2022</v>
      </c>
      <c r="U872" t="s">
        <v>64</v>
      </c>
      <c r="V872">
        <v>11</v>
      </c>
      <c r="W872">
        <v>3.9</v>
      </c>
    </row>
    <row r="873" spans="1:23" x14ac:dyDescent="0.35">
      <c r="A873">
        <v>10872</v>
      </c>
      <c r="B873" t="s">
        <v>25</v>
      </c>
      <c r="C873" t="s">
        <v>34</v>
      </c>
      <c r="D873" t="s">
        <v>40</v>
      </c>
      <c r="E873">
        <v>65109</v>
      </c>
      <c r="F873">
        <f ca="1">DATEDIF(Table1[[#This Row],[Hire Date]], TODAY(), "Y")</f>
        <v>6</v>
      </c>
      <c r="G873" s="7">
        <f ca="1">YEARFRAC(Table1[[#This Row],[Hire Date]], TODAY())</f>
        <v>6.8388888888888886</v>
      </c>
      <c r="H873" s="7">
        <v>43544</v>
      </c>
      <c r="I873">
        <v>56</v>
      </c>
      <c r="J873" t="s">
        <v>42</v>
      </c>
      <c r="K873">
        <v>9</v>
      </c>
      <c r="L873" t="s">
        <v>44</v>
      </c>
      <c r="M873">
        <v>4259.95</v>
      </c>
      <c r="N873" t="s">
        <v>48</v>
      </c>
      <c r="O873" t="s">
        <v>51</v>
      </c>
      <c r="P873">
        <v>17</v>
      </c>
      <c r="Q873" t="s">
        <v>57</v>
      </c>
      <c r="R873" t="s">
        <v>59</v>
      </c>
      <c r="S873">
        <v>18</v>
      </c>
      <c r="T873">
        <v>2022</v>
      </c>
      <c r="U873" t="s">
        <v>64</v>
      </c>
      <c r="V873">
        <v>126</v>
      </c>
      <c r="W873">
        <v>2.8</v>
      </c>
    </row>
    <row r="874" spans="1:23" x14ac:dyDescent="0.35">
      <c r="A874">
        <v>10873</v>
      </c>
      <c r="B874" t="s">
        <v>26</v>
      </c>
      <c r="C874" t="s">
        <v>29</v>
      </c>
      <c r="D874" t="s">
        <v>41</v>
      </c>
      <c r="E874">
        <v>43919</v>
      </c>
      <c r="F874">
        <f ca="1">DATEDIF(Table1[[#This Row],[Hire Date]], TODAY(), "Y")</f>
        <v>10</v>
      </c>
      <c r="G874" s="7">
        <f ca="1">YEARFRAC(Table1[[#This Row],[Hire Date]], TODAY())</f>
        <v>10.733333333333333</v>
      </c>
      <c r="H874" s="7">
        <v>42122</v>
      </c>
      <c r="I874">
        <v>36</v>
      </c>
      <c r="J874" t="s">
        <v>42</v>
      </c>
      <c r="K874">
        <v>3</v>
      </c>
      <c r="L874" t="s">
        <v>44</v>
      </c>
      <c r="M874">
        <v>5053.88</v>
      </c>
      <c r="N874" t="s">
        <v>48</v>
      </c>
      <c r="O874" t="s">
        <v>54</v>
      </c>
      <c r="P874">
        <v>32</v>
      </c>
      <c r="Q874" t="s">
        <v>55</v>
      </c>
      <c r="R874" t="s">
        <v>60</v>
      </c>
      <c r="S874">
        <v>13</v>
      </c>
      <c r="T874">
        <v>2018</v>
      </c>
      <c r="U874" t="s">
        <v>64</v>
      </c>
      <c r="V874">
        <v>168</v>
      </c>
      <c r="W874">
        <v>1.8</v>
      </c>
    </row>
    <row r="875" spans="1:23" x14ac:dyDescent="0.35">
      <c r="A875">
        <v>10874</v>
      </c>
      <c r="B875" t="s">
        <v>28</v>
      </c>
      <c r="C875" t="s">
        <v>33</v>
      </c>
      <c r="D875" t="s">
        <v>37</v>
      </c>
      <c r="E875">
        <v>77498</v>
      </c>
      <c r="F875">
        <f ca="1">DATEDIF(Table1[[#This Row],[Hire Date]], TODAY(), "Y")</f>
        <v>24</v>
      </c>
      <c r="G875" s="7">
        <f ca="1">YEARFRAC(Table1[[#This Row],[Hire Date]], TODAY())</f>
        <v>24.694444444444443</v>
      </c>
      <c r="H875" s="7">
        <v>37023</v>
      </c>
      <c r="I875">
        <v>45</v>
      </c>
      <c r="J875" t="s">
        <v>43</v>
      </c>
      <c r="K875">
        <v>4</v>
      </c>
      <c r="L875" t="s">
        <v>45</v>
      </c>
      <c r="M875">
        <v>2372.42</v>
      </c>
      <c r="N875" t="s">
        <v>47</v>
      </c>
      <c r="O875" t="s">
        <v>53</v>
      </c>
      <c r="P875">
        <v>8</v>
      </c>
      <c r="Q875" t="s">
        <v>57</v>
      </c>
      <c r="R875" t="s">
        <v>59</v>
      </c>
      <c r="S875">
        <v>18</v>
      </c>
      <c r="T875">
        <v>2010</v>
      </c>
      <c r="U875" t="s">
        <v>64</v>
      </c>
      <c r="V875">
        <v>120</v>
      </c>
      <c r="W875">
        <v>4</v>
      </c>
    </row>
    <row r="876" spans="1:23" x14ac:dyDescent="0.35">
      <c r="A876">
        <v>10875</v>
      </c>
      <c r="B876" t="s">
        <v>26</v>
      </c>
      <c r="C876" t="s">
        <v>32</v>
      </c>
      <c r="D876" t="s">
        <v>40</v>
      </c>
      <c r="E876">
        <v>85808</v>
      </c>
      <c r="F876">
        <f ca="1">DATEDIF(Table1[[#This Row],[Hire Date]], TODAY(), "Y")</f>
        <v>13</v>
      </c>
      <c r="G876" s="7">
        <f ca="1">YEARFRAC(Table1[[#This Row],[Hire Date]], TODAY())</f>
        <v>13.655555555555555</v>
      </c>
      <c r="H876" s="7">
        <v>41055</v>
      </c>
      <c r="I876">
        <v>37</v>
      </c>
      <c r="J876" t="s">
        <v>42</v>
      </c>
      <c r="K876">
        <v>4</v>
      </c>
      <c r="L876" t="s">
        <v>45</v>
      </c>
      <c r="M876">
        <v>5257.86</v>
      </c>
      <c r="N876" t="s">
        <v>48</v>
      </c>
      <c r="O876" t="s">
        <v>53</v>
      </c>
      <c r="P876">
        <v>38</v>
      </c>
      <c r="Q876" t="s">
        <v>57</v>
      </c>
      <c r="R876" t="s">
        <v>59</v>
      </c>
      <c r="S876">
        <v>12</v>
      </c>
      <c r="T876">
        <v>2018</v>
      </c>
      <c r="U876" t="s">
        <v>64</v>
      </c>
      <c r="V876">
        <v>17</v>
      </c>
      <c r="W876">
        <v>4</v>
      </c>
    </row>
    <row r="877" spans="1:23" x14ac:dyDescent="0.35">
      <c r="A877">
        <v>10876</v>
      </c>
      <c r="B877" t="s">
        <v>24</v>
      </c>
      <c r="C877" t="s">
        <v>30</v>
      </c>
      <c r="D877" t="s">
        <v>36</v>
      </c>
      <c r="E877">
        <v>110792</v>
      </c>
      <c r="F877">
        <f ca="1">DATEDIF(Table1[[#This Row],[Hire Date]], TODAY(), "Y")</f>
        <v>18</v>
      </c>
      <c r="G877" s="7">
        <f ca="1">YEARFRAC(Table1[[#This Row],[Hire Date]], TODAY())</f>
        <v>18.377777777777776</v>
      </c>
      <c r="H877" s="7">
        <v>39331</v>
      </c>
      <c r="I877">
        <v>57</v>
      </c>
      <c r="J877" t="s">
        <v>43</v>
      </c>
      <c r="K877">
        <v>4</v>
      </c>
      <c r="L877" t="s">
        <v>44</v>
      </c>
      <c r="M877">
        <v>1925.38</v>
      </c>
      <c r="N877" t="s">
        <v>49</v>
      </c>
      <c r="O877" t="s">
        <v>51</v>
      </c>
      <c r="P877">
        <v>29</v>
      </c>
      <c r="Q877" t="s">
        <v>57</v>
      </c>
      <c r="R877" t="s">
        <v>63</v>
      </c>
      <c r="S877">
        <v>11</v>
      </c>
      <c r="T877">
        <v>2013</v>
      </c>
      <c r="U877" t="s">
        <v>64</v>
      </c>
      <c r="V877">
        <v>199</v>
      </c>
      <c r="W877">
        <v>2</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Sheet2</vt:lpstr>
      <vt:lpstr>Pivot table Summary</vt:lpstr>
      <vt:lpstr>Average Work Experience by Empl</vt:lpstr>
      <vt:lpstr>Total Project Count by Office L</vt:lpstr>
      <vt:lpstr>Average Feedback Score by Emplo</vt:lpstr>
      <vt:lpstr>Question 4</vt:lpstr>
      <vt:lpstr>Recovered Excel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Brigid Chepkemoi</dc:creator>
  <cp:lastModifiedBy>Francis Jaleny</cp:lastModifiedBy>
  <dcterms:created xsi:type="dcterms:W3CDTF">2025-03-31T21:50:24Z</dcterms:created>
  <dcterms:modified xsi:type="dcterms:W3CDTF">2026-01-22T20:08:52Z</dcterms:modified>
</cp:coreProperties>
</file>