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aleny\OneDrive\Desktop\Lux\"/>
    </mc:Choice>
  </mc:AlternateContent>
  <xr:revisionPtr revIDLastSave="0" documentId="13_ncr:1_{DA0FBBDE-4C6D-44FB-9621-1284CD99E9C0}" xr6:coauthVersionLast="47" xr6:coauthVersionMax="47" xr10:uidLastSave="{00000000-0000-0000-0000-000000000000}"/>
  <bookViews>
    <workbookView xWindow="-110" yWindow="-110" windowWidth="19420" windowHeight="11020" firstSheet="3" activeTab="4" xr2:uid="{D2EAFE15-2B22-47F8-8F22-A0DF1CDD8EC3}"/>
  </bookViews>
  <sheets>
    <sheet name="Average Rating and Discount by " sheetId="3" r:id="rId1"/>
    <sheet name="Distribution Across Rating Cate" sheetId="4" r:id="rId2"/>
    <sheet name="Higher Discounts Lead to Increa" sheetId="5" r:id="rId3"/>
    <sheet name="Higher-Rated Products " sheetId="6" r:id="rId4"/>
    <sheet name="DashBoard" sheetId="9" r:id="rId5"/>
    <sheet name="Excel_jumia" sheetId="2" r:id="rId6"/>
  </sheets>
  <definedNames>
    <definedName name="ExternalData_1" localSheetId="5" hidden="1">Excel_jumia!$A$1:$N$110</definedName>
    <definedName name="Slicer_Discount_Category">#N/A</definedName>
    <definedName name="Slicer_Rating_Category">#N/A</definedName>
  </definedNames>
  <calcPr calcId="191029"/>
  <pivotCaches>
    <pivotCache cacheId="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C140" i="2"/>
  <c r="C138" i="2"/>
  <c r="C136" i="2"/>
  <c r="C134" i="2"/>
  <c r="O51" i="2"/>
  <c r="O60" i="2"/>
  <c r="O36" i="2"/>
  <c r="O25" i="2"/>
  <c r="O47" i="2"/>
  <c r="O79" i="2"/>
  <c r="O38" i="2"/>
  <c r="O49" i="2"/>
  <c r="O9" i="2"/>
  <c r="O12" i="2"/>
  <c r="O89" i="2"/>
  <c r="O54" i="2"/>
  <c r="O59" i="2"/>
  <c r="O69" i="2"/>
  <c r="O30" i="2"/>
  <c r="O72" i="2"/>
  <c r="O92" i="2"/>
  <c r="O5" i="2"/>
  <c r="O40" i="2"/>
  <c r="O21" i="2"/>
  <c r="O101" i="2"/>
  <c r="O11" i="2"/>
  <c r="O61" i="2"/>
  <c r="O58" i="2"/>
  <c r="O3" i="2"/>
  <c r="O87" i="2"/>
  <c r="O44" i="2"/>
  <c r="O45" i="2"/>
  <c r="O35" i="2"/>
  <c r="O6" i="2"/>
  <c r="O90" i="2"/>
  <c r="O55" i="2"/>
  <c r="O8" i="2"/>
  <c r="O39" i="2"/>
  <c r="O37" i="2"/>
  <c r="O15" i="2"/>
  <c r="O91" i="2"/>
  <c r="O80" i="2"/>
  <c r="O110" i="2"/>
  <c r="O7" i="2"/>
  <c r="O63" i="2"/>
  <c r="O83" i="2"/>
  <c r="O64" i="2"/>
  <c r="O105" i="2"/>
  <c r="O18" i="2"/>
  <c r="O48" i="2"/>
  <c r="O42" i="2"/>
  <c r="O34" i="2"/>
  <c r="O77" i="2"/>
  <c r="O78" i="2"/>
  <c r="O104" i="2"/>
  <c r="O98" i="2"/>
  <c r="O103" i="2"/>
  <c r="O52" i="2"/>
  <c r="O67" i="2"/>
  <c r="O43" i="2"/>
  <c r="O33" i="2"/>
  <c r="O16" i="2"/>
  <c r="O74" i="2"/>
  <c r="O53" i="2"/>
  <c r="O2" i="2"/>
  <c r="O66" i="2"/>
  <c r="O70" i="2"/>
  <c r="O73" i="2"/>
  <c r="O29" i="2"/>
  <c r="O19" i="2"/>
  <c r="O4" i="2"/>
  <c r="O75" i="2"/>
  <c r="O24" i="2"/>
  <c r="O82" i="2"/>
  <c r="O68" i="2"/>
  <c r="O27" i="2"/>
  <c r="O10" i="2"/>
  <c r="O41" i="2"/>
  <c r="O56" i="2"/>
  <c r="O99" i="2"/>
  <c r="O88" i="2"/>
  <c r="O17" i="2"/>
  <c r="O23" i="2"/>
  <c r="O28" i="2"/>
  <c r="O107" i="2"/>
  <c r="O76" i="2"/>
  <c r="O85" i="2"/>
  <c r="O81" i="2"/>
  <c r="O96" i="2"/>
  <c r="O86" i="2"/>
  <c r="O62" i="2"/>
  <c r="O26" i="2"/>
  <c r="O13" i="2"/>
  <c r="O97" i="2"/>
  <c r="O31" i="2"/>
  <c r="O14" i="2"/>
  <c r="O95" i="2"/>
  <c r="O106" i="2"/>
  <c r="O84" i="2"/>
  <c r="O93" i="2"/>
  <c r="O57" i="2"/>
  <c r="O32" i="2"/>
  <c r="O22" i="2"/>
  <c r="O20" i="2"/>
  <c r="O109" i="2"/>
  <c r="O100" i="2"/>
  <c r="O50" i="2"/>
  <c r="O46" i="2"/>
  <c r="O102" i="2"/>
  <c r="O108" i="2"/>
  <c r="O71" i="2"/>
  <c r="O65" i="2"/>
  <c r="O94" i="2"/>
  <c r="P51" i="2"/>
  <c r="P60" i="2"/>
  <c r="P36" i="2"/>
  <c r="P25" i="2"/>
  <c r="P47" i="2"/>
  <c r="P79" i="2"/>
  <c r="P38" i="2"/>
  <c r="P49" i="2"/>
  <c r="P9" i="2"/>
  <c r="P12" i="2"/>
  <c r="P89" i="2"/>
  <c r="P54" i="2"/>
  <c r="P59" i="2"/>
  <c r="P69" i="2"/>
  <c r="P30" i="2"/>
  <c r="P72" i="2"/>
  <c r="P92" i="2"/>
  <c r="P5" i="2"/>
  <c r="P40" i="2"/>
  <c r="P21" i="2"/>
  <c r="P101" i="2"/>
  <c r="P11" i="2"/>
  <c r="P61" i="2"/>
  <c r="P58" i="2"/>
  <c r="P3" i="2"/>
  <c r="P87" i="2"/>
  <c r="P44" i="2"/>
  <c r="P45" i="2"/>
  <c r="P35" i="2"/>
  <c r="P6" i="2"/>
  <c r="P90" i="2"/>
  <c r="P55" i="2"/>
  <c r="P8" i="2"/>
  <c r="P39" i="2"/>
  <c r="P37" i="2"/>
  <c r="P15" i="2"/>
  <c r="P91" i="2"/>
  <c r="P80" i="2"/>
  <c r="P110" i="2"/>
  <c r="P7" i="2"/>
  <c r="P63" i="2"/>
  <c r="P83" i="2"/>
  <c r="P64" i="2"/>
  <c r="P105" i="2"/>
  <c r="P18" i="2"/>
  <c r="P48" i="2"/>
  <c r="P42" i="2"/>
  <c r="P34" i="2"/>
  <c r="P77" i="2"/>
  <c r="P78" i="2"/>
  <c r="P104" i="2"/>
  <c r="P98" i="2"/>
  <c r="P103" i="2"/>
  <c r="P52" i="2"/>
  <c r="P67" i="2"/>
  <c r="P43" i="2"/>
  <c r="P33" i="2"/>
  <c r="P16" i="2"/>
  <c r="P74" i="2"/>
  <c r="P53" i="2"/>
  <c r="P2" i="2"/>
  <c r="P66" i="2"/>
  <c r="P70" i="2"/>
  <c r="P73" i="2"/>
  <c r="P29" i="2"/>
  <c r="P19" i="2"/>
  <c r="P4" i="2"/>
  <c r="P75" i="2"/>
  <c r="P24" i="2"/>
  <c r="P82" i="2"/>
  <c r="P68" i="2"/>
  <c r="P27" i="2"/>
  <c r="P10" i="2"/>
  <c r="P41" i="2"/>
  <c r="P56" i="2"/>
  <c r="P99" i="2"/>
  <c r="P88" i="2"/>
  <c r="P17" i="2"/>
  <c r="P23" i="2"/>
  <c r="P28" i="2"/>
  <c r="P107" i="2"/>
  <c r="P76" i="2"/>
  <c r="P85" i="2"/>
  <c r="P81" i="2"/>
  <c r="P96" i="2"/>
  <c r="P86" i="2"/>
  <c r="P62" i="2"/>
  <c r="P26" i="2"/>
  <c r="P13" i="2"/>
  <c r="P97" i="2"/>
  <c r="P31" i="2"/>
  <c r="P14" i="2"/>
  <c r="P95" i="2"/>
  <c r="P106" i="2"/>
  <c r="P84" i="2"/>
  <c r="P93" i="2"/>
  <c r="P57" i="2"/>
  <c r="P32" i="2"/>
  <c r="P22" i="2"/>
  <c r="P20" i="2"/>
  <c r="P109" i="2"/>
  <c r="P100" i="2"/>
  <c r="P50" i="2"/>
  <c r="P46" i="2"/>
  <c r="P102" i="2"/>
  <c r="P108" i="2"/>
  <c r="P71" i="2"/>
  <c r="P65" i="2"/>
  <c r="P94" i="2"/>
  <c r="Q51" i="2"/>
  <c r="Q60" i="2"/>
  <c r="Q36" i="2"/>
  <c r="Q25" i="2"/>
  <c r="Q47" i="2"/>
  <c r="Q79" i="2"/>
  <c r="Q38" i="2"/>
  <c r="Q49" i="2"/>
  <c r="Q9" i="2"/>
  <c r="Q12" i="2"/>
  <c r="Q89" i="2"/>
  <c r="Q54" i="2"/>
  <c r="Q59" i="2"/>
  <c r="Q69" i="2"/>
  <c r="Q30" i="2"/>
  <c r="Q72" i="2"/>
  <c r="Q92" i="2"/>
  <c r="Q5" i="2"/>
  <c r="Q40" i="2"/>
  <c r="Q21" i="2"/>
  <c r="Q101" i="2"/>
  <c r="Q11" i="2"/>
  <c r="Q61" i="2"/>
  <c r="Q58" i="2"/>
  <c r="Q3" i="2"/>
  <c r="Q87" i="2"/>
  <c r="Q44" i="2"/>
  <c r="Q45" i="2"/>
  <c r="Q35" i="2"/>
  <c r="Q6" i="2"/>
  <c r="Q90" i="2"/>
  <c r="Q55" i="2"/>
  <c r="Q8" i="2"/>
  <c r="Q39" i="2"/>
  <c r="Q37" i="2"/>
  <c r="Q15" i="2"/>
  <c r="Q91" i="2"/>
  <c r="Q80" i="2"/>
  <c r="Q110" i="2"/>
  <c r="Q7" i="2"/>
  <c r="Q63" i="2"/>
  <c r="Q83" i="2"/>
  <c r="Q64" i="2"/>
  <c r="Q105" i="2"/>
  <c r="Q18" i="2"/>
  <c r="Q48" i="2"/>
  <c r="Q42" i="2"/>
  <c r="Q34" i="2"/>
  <c r="Q77" i="2"/>
  <c r="Q78" i="2"/>
  <c r="Q104" i="2"/>
  <c r="Q98" i="2"/>
  <c r="Q103" i="2"/>
  <c r="Q52" i="2"/>
  <c r="Q67" i="2"/>
  <c r="Q43" i="2"/>
  <c r="Q33" i="2"/>
  <c r="Q16" i="2"/>
  <c r="Q74" i="2"/>
  <c r="Q53" i="2"/>
  <c r="Q2" i="2"/>
  <c r="Q66" i="2"/>
  <c r="Q70" i="2"/>
  <c r="Q73" i="2"/>
  <c r="Q29" i="2"/>
  <c r="Q19" i="2"/>
  <c r="Q4" i="2"/>
  <c r="Q75" i="2"/>
  <c r="Q24" i="2"/>
  <c r="Q82" i="2"/>
  <c r="Q68" i="2"/>
  <c r="Q27" i="2"/>
  <c r="Q10" i="2"/>
  <c r="Q41" i="2"/>
  <c r="Q56" i="2"/>
  <c r="Q99" i="2"/>
  <c r="Q88" i="2"/>
  <c r="Q17" i="2"/>
  <c r="Q23" i="2"/>
  <c r="Q28" i="2"/>
  <c r="Q107" i="2"/>
  <c r="Q76" i="2"/>
  <c r="Q85" i="2"/>
  <c r="Q81" i="2"/>
  <c r="Q96" i="2"/>
  <c r="Q86" i="2"/>
  <c r="Q62" i="2"/>
  <c r="Q26" i="2"/>
  <c r="Q13" i="2"/>
  <c r="Q97" i="2"/>
  <c r="Q31" i="2"/>
  <c r="Q14" i="2"/>
  <c r="Q95" i="2"/>
  <c r="Q106" i="2"/>
  <c r="Q84" i="2"/>
  <c r="Q93" i="2"/>
  <c r="Q57" i="2"/>
  <c r="Q32" i="2"/>
  <c r="Q22" i="2"/>
  <c r="Q20" i="2"/>
  <c r="Q109" i="2"/>
  <c r="Q100" i="2"/>
  <c r="Q50" i="2"/>
  <c r="Q46" i="2"/>
  <c r="Q102" i="2"/>
  <c r="Q108" i="2"/>
  <c r="Q71" i="2"/>
  <c r="Q65" i="2"/>
  <c r="Q94" i="2"/>
  <c r="S51" i="2"/>
  <c r="S60" i="2"/>
  <c r="S36" i="2"/>
  <c r="S25" i="2"/>
  <c r="S47" i="2"/>
  <c r="S79" i="2"/>
  <c r="S38" i="2"/>
  <c r="S49" i="2"/>
  <c r="S9" i="2"/>
  <c r="S12" i="2"/>
  <c r="S89" i="2"/>
  <c r="S54" i="2"/>
  <c r="S59" i="2"/>
  <c r="S69" i="2"/>
  <c r="S30" i="2"/>
  <c r="S72" i="2"/>
  <c r="S92" i="2"/>
  <c r="S5" i="2"/>
  <c r="S40" i="2"/>
  <c r="S21" i="2"/>
  <c r="S101" i="2"/>
  <c r="S11" i="2"/>
  <c r="S61" i="2"/>
  <c r="S58" i="2"/>
  <c r="S3" i="2"/>
  <c r="S87" i="2"/>
  <c r="S44" i="2"/>
  <c r="S45" i="2"/>
  <c r="S35" i="2"/>
  <c r="S6" i="2"/>
  <c r="S90" i="2"/>
  <c r="S55" i="2"/>
  <c r="S8" i="2"/>
  <c r="S39" i="2"/>
  <c r="S37" i="2"/>
  <c r="S15" i="2"/>
  <c r="S91" i="2"/>
  <c r="S80" i="2"/>
  <c r="S110" i="2"/>
  <c r="S7" i="2"/>
  <c r="S63" i="2"/>
  <c r="S83" i="2"/>
  <c r="S64" i="2"/>
  <c r="S105" i="2"/>
  <c r="S18" i="2"/>
  <c r="S48" i="2"/>
  <c r="S42" i="2"/>
  <c r="S34" i="2"/>
  <c r="S77" i="2"/>
  <c r="S78" i="2"/>
  <c r="S104" i="2"/>
  <c r="S98" i="2"/>
  <c r="S103" i="2"/>
  <c r="S52" i="2"/>
  <c r="S67" i="2"/>
  <c r="S43" i="2"/>
  <c r="S33" i="2"/>
  <c r="S16" i="2"/>
  <c r="S74" i="2"/>
  <c r="S53" i="2"/>
  <c r="S2" i="2"/>
  <c r="S66" i="2"/>
  <c r="S70" i="2"/>
  <c r="S73" i="2"/>
  <c r="S29" i="2"/>
  <c r="S19" i="2"/>
  <c r="S4" i="2"/>
  <c r="S75" i="2"/>
  <c r="S24" i="2"/>
  <c r="S82" i="2"/>
  <c r="S68" i="2"/>
  <c r="S27" i="2"/>
  <c r="S10" i="2"/>
  <c r="S41" i="2"/>
  <c r="S56" i="2"/>
  <c r="S99" i="2"/>
  <c r="S88" i="2"/>
  <c r="S17" i="2"/>
  <c r="S23" i="2"/>
  <c r="S28" i="2"/>
  <c r="S107" i="2"/>
  <c r="S76" i="2"/>
  <c r="S85" i="2"/>
  <c r="S81" i="2"/>
  <c r="S96" i="2"/>
  <c r="S86" i="2"/>
  <c r="S62" i="2"/>
  <c r="S26" i="2"/>
  <c r="S13" i="2"/>
  <c r="S97" i="2"/>
  <c r="S31" i="2"/>
  <c r="S14" i="2"/>
  <c r="S95" i="2"/>
  <c r="S106" i="2"/>
  <c r="S84" i="2"/>
  <c r="S93" i="2"/>
  <c r="S57" i="2"/>
  <c r="S32" i="2"/>
  <c r="S22" i="2"/>
  <c r="S20" i="2"/>
  <c r="S109" i="2"/>
  <c r="S100" i="2"/>
  <c r="S50" i="2"/>
  <c r="S46" i="2"/>
  <c r="S102" i="2"/>
  <c r="S108" i="2"/>
  <c r="S71" i="2"/>
  <c r="S65" i="2"/>
  <c r="S94" i="2"/>
  <c r="T51" i="2"/>
  <c r="T60" i="2"/>
  <c r="T36" i="2"/>
  <c r="T25" i="2"/>
  <c r="T47" i="2"/>
  <c r="T79" i="2"/>
  <c r="T38" i="2"/>
  <c r="T49" i="2"/>
  <c r="T9" i="2"/>
  <c r="T12" i="2"/>
  <c r="T89" i="2"/>
  <c r="T54" i="2"/>
  <c r="T59" i="2"/>
  <c r="T69" i="2"/>
  <c r="T30" i="2"/>
  <c r="T72" i="2"/>
  <c r="T92" i="2"/>
  <c r="T5" i="2"/>
  <c r="T40" i="2"/>
  <c r="T21" i="2"/>
  <c r="T101" i="2"/>
  <c r="T11" i="2"/>
  <c r="T61" i="2"/>
  <c r="T58" i="2"/>
  <c r="T3" i="2"/>
  <c r="T87" i="2"/>
  <c r="T44" i="2"/>
  <c r="T45" i="2"/>
  <c r="T35" i="2"/>
  <c r="T6" i="2"/>
  <c r="T90" i="2"/>
  <c r="T55" i="2"/>
  <c r="T8" i="2"/>
  <c r="T39" i="2"/>
  <c r="T37" i="2"/>
  <c r="T15" i="2"/>
  <c r="T91" i="2"/>
  <c r="T80" i="2"/>
  <c r="T110" i="2"/>
  <c r="T7" i="2"/>
  <c r="T63" i="2"/>
  <c r="T83" i="2"/>
  <c r="T64" i="2"/>
  <c r="T105" i="2"/>
  <c r="T18" i="2"/>
  <c r="T48" i="2"/>
  <c r="T42" i="2"/>
  <c r="T34" i="2"/>
  <c r="T77" i="2"/>
  <c r="T78" i="2"/>
  <c r="T104" i="2"/>
  <c r="T98" i="2"/>
  <c r="T103" i="2"/>
  <c r="T52" i="2"/>
  <c r="T67" i="2"/>
  <c r="T43" i="2"/>
  <c r="T33" i="2"/>
  <c r="T16" i="2"/>
  <c r="T74" i="2"/>
  <c r="T53" i="2"/>
  <c r="T2" i="2"/>
  <c r="T66" i="2"/>
  <c r="T70" i="2"/>
  <c r="T73" i="2"/>
  <c r="T29" i="2"/>
  <c r="T19" i="2"/>
  <c r="T4" i="2"/>
  <c r="T75" i="2"/>
  <c r="T24" i="2"/>
  <c r="T82" i="2"/>
  <c r="T68" i="2"/>
  <c r="T27" i="2"/>
  <c r="T10" i="2"/>
  <c r="T41" i="2"/>
  <c r="T56" i="2"/>
  <c r="T99" i="2"/>
  <c r="T88" i="2"/>
  <c r="T17" i="2"/>
  <c r="T23" i="2"/>
  <c r="T28" i="2"/>
  <c r="T107" i="2"/>
  <c r="T76" i="2"/>
  <c r="T85" i="2"/>
  <c r="T81" i="2"/>
  <c r="T96" i="2"/>
  <c r="T86" i="2"/>
  <c r="T62" i="2"/>
  <c r="T26" i="2"/>
  <c r="T13" i="2"/>
  <c r="T97" i="2"/>
  <c r="T31" i="2"/>
  <c r="T14" i="2"/>
  <c r="T95" i="2"/>
  <c r="T106" i="2"/>
  <c r="T84" i="2"/>
  <c r="T93" i="2"/>
  <c r="T57" i="2"/>
  <c r="T32" i="2"/>
  <c r="T22" i="2"/>
  <c r="T20" i="2"/>
  <c r="T109" i="2"/>
  <c r="T100" i="2"/>
  <c r="T50" i="2"/>
  <c r="T46" i="2"/>
  <c r="T102" i="2"/>
  <c r="T108" i="2"/>
  <c r="T71" i="2"/>
  <c r="T65" i="2"/>
  <c r="T94" i="2"/>
  <c r="U51" i="2"/>
  <c r="U60" i="2"/>
  <c r="U36" i="2"/>
  <c r="U25" i="2"/>
  <c r="U47" i="2"/>
  <c r="U79" i="2"/>
  <c r="U38" i="2"/>
  <c r="U49" i="2"/>
  <c r="U9" i="2"/>
  <c r="U12" i="2"/>
  <c r="U89" i="2"/>
  <c r="U54" i="2"/>
  <c r="U59" i="2"/>
  <c r="U69" i="2"/>
  <c r="U30" i="2"/>
  <c r="U72" i="2"/>
  <c r="U92" i="2"/>
  <c r="U5" i="2"/>
  <c r="U40" i="2"/>
  <c r="U21" i="2"/>
  <c r="U101" i="2"/>
  <c r="U11" i="2"/>
  <c r="U61" i="2"/>
  <c r="U58" i="2"/>
  <c r="U3" i="2"/>
  <c r="U87" i="2"/>
  <c r="U44" i="2"/>
  <c r="U45" i="2"/>
  <c r="U35" i="2"/>
  <c r="U6" i="2"/>
  <c r="U90" i="2"/>
  <c r="U55" i="2"/>
  <c r="U8" i="2"/>
  <c r="U39" i="2"/>
  <c r="U37" i="2"/>
  <c r="U15" i="2"/>
  <c r="U91" i="2"/>
  <c r="U80" i="2"/>
  <c r="U110" i="2"/>
  <c r="U7" i="2"/>
  <c r="U63" i="2"/>
  <c r="U83" i="2"/>
  <c r="U64" i="2"/>
  <c r="U105" i="2"/>
  <c r="U18" i="2"/>
  <c r="U48" i="2"/>
  <c r="U42" i="2"/>
  <c r="U34" i="2"/>
  <c r="U77" i="2"/>
  <c r="U78" i="2"/>
  <c r="U104" i="2"/>
  <c r="U98" i="2"/>
  <c r="U103" i="2"/>
  <c r="U52" i="2"/>
  <c r="U67" i="2"/>
  <c r="U43" i="2"/>
  <c r="U33" i="2"/>
  <c r="U16" i="2"/>
  <c r="U74" i="2"/>
  <c r="U53" i="2"/>
  <c r="U2" i="2"/>
  <c r="U66" i="2"/>
  <c r="U70" i="2"/>
  <c r="U73" i="2"/>
  <c r="U29" i="2"/>
  <c r="U19" i="2"/>
  <c r="U4" i="2"/>
  <c r="U75" i="2"/>
  <c r="U24" i="2"/>
  <c r="U82" i="2"/>
  <c r="U68" i="2"/>
  <c r="U27" i="2"/>
  <c r="U10" i="2"/>
  <c r="U41" i="2"/>
  <c r="U56" i="2"/>
  <c r="U99" i="2"/>
  <c r="U88" i="2"/>
  <c r="U17" i="2"/>
  <c r="U23" i="2"/>
  <c r="U28" i="2"/>
  <c r="U107" i="2"/>
  <c r="U76" i="2"/>
  <c r="U85" i="2"/>
  <c r="U81" i="2"/>
  <c r="U96" i="2"/>
  <c r="U86" i="2"/>
  <c r="U62" i="2"/>
  <c r="U26" i="2"/>
  <c r="U13" i="2"/>
  <c r="U97" i="2"/>
  <c r="U31" i="2"/>
  <c r="U14" i="2"/>
  <c r="U95" i="2"/>
  <c r="U106" i="2"/>
  <c r="U84" i="2"/>
  <c r="U93" i="2"/>
  <c r="U57" i="2"/>
  <c r="U32" i="2"/>
  <c r="U22" i="2"/>
  <c r="U20" i="2"/>
  <c r="U109" i="2"/>
  <c r="U100" i="2"/>
  <c r="U50" i="2"/>
  <c r="U46" i="2"/>
  <c r="U102" i="2"/>
  <c r="U108" i="2"/>
  <c r="U71" i="2"/>
  <c r="U65" i="2"/>
  <c r="U94" i="2"/>
  <c r="V51" i="2"/>
  <c r="V60" i="2"/>
  <c r="V36" i="2"/>
  <c r="V25" i="2"/>
  <c r="V47" i="2"/>
  <c r="V79" i="2"/>
  <c r="V38" i="2"/>
  <c r="V49" i="2"/>
  <c r="V9" i="2"/>
  <c r="V12" i="2"/>
  <c r="V89" i="2"/>
  <c r="V54" i="2"/>
  <c r="V59" i="2"/>
  <c r="V69" i="2"/>
  <c r="V30" i="2"/>
  <c r="V72" i="2"/>
  <c r="V92" i="2"/>
  <c r="V5" i="2"/>
  <c r="V40" i="2"/>
  <c r="V21" i="2"/>
  <c r="V101" i="2"/>
  <c r="V11" i="2"/>
  <c r="V61" i="2"/>
  <c r="V58" i="2"/>
  <c r="V3" i="2"/>
  <c r="V87" i="2"/>
  <c r="V44" i="2"/>
  <c r="V45" i="2"/>
  <c r="V35" i="2"/>
  <c r="V6" i="2"/>
  <c r="V90" i="2"/>
  <c r="V55" i="2"/>
  <c r="V8" i="2"/>
  <c r="V39" i="2"/>
  <c r="V37" i="2"/>
  <c r="V15" i="2"/>
  <c r="V91" i="2"/>
  <c r="V80" i="2"/>
  <c r="V110" i="2"/>
  <c r="V7" i="2"/>
  <c r="V63" i="2"/>
  <c r="V83" i="2"/>
  <c r="V64" i="2"/>
  <c r="V105" i="2"/>
  <c r="V18" i="2"/>
  <c r="V48" i="2"/>
  <c r="V42" i="2"/>
  <c r="V34" i="2"/>
  <c r="V77" i="2"/>
  <c r="V78" i="2"/>
  <c r="V104" i="2"/>
  <c r="V98" i="2"/>
  <c r="V103" i="2"/>
  <c r="V52" i="2"/>
  <c r="V67" i="2"/>
  <c r="V43" i="2"/>
  <c r="V33" i="2"/>
  <c r="V16" i="2"/>
  <c r="V74" i="2"/>
  <c r="V53" i="2"/>
  <c r="V2" i="2"/>
  <c r="V66" i="2"/>
  <c r="V70" i="2"/>
  <c r="V73" i="2"/>
  <c r="V29" i="2"/>
  <c r="V19" i="2"/>
  <c r="V4" i="2"/>
  <c r="V75" i="2"/>
  <c r="V24" i="2"/>
  <c r="V82" i="2"/>
  <c r="V68" i="2"/>
  <c r="V27" i="2"/>
  <c r="V10" i="2"/>
  <c r="V41" i="2"/>
  <c r="V56" i="2"/>
  <c r="V99" i="2"/>
  <c r="V88" i="2"/>
  <c r="V17" i="2"/>
  <c r="V23" i="2"/>
  <c r="V28" i="2"/>
  <c r="V107" i="2"/>
  <c r="V76" i="2"/>
  <c r="V85" i="2"/>
  <c r="V81" i="2"/>
  <c r="V96" i="2"/>
  <c r="V86" i="2"/>
  <c r="V62" i="2"/>
  <c r="V26" i="2"/>
  <c r="V13" i="2"/>
  <c r="V97" i="2"/>
  <c r="V31" i="2"/>
  <c r="V14" i="2"/>
  <c r="V95" i="2"/>
  <c r="V106" i="2"/>
  <c r="V84" i="2"/>
  <c r="V93" i="2"/>
  <c r="V57" i="2"/>
  <c r="V32" i="2"/>
  <c r="V22" i="2"/>
  <c r="V20" i="2"/>
  <c r="V109" i="2"/>
  <c r="V100" i="2"/>
  <c r="V50" i="2"/>
  <c r="V46" i="2"/>
  <c r="V102" i="2"/>
  <c r="V108" i="2"/>
  <c r="V71" i="2"/>
  <c r="V65" i="2"/>
  <c r="V94" i="2"/>
  <c r="W51" i="2"/>
  <c r="W60" i="2"/>
  <c r="W36" i="2"/>
  <c r="W25" i="2"/>
  <c r="W47" i="2"/>
  <c r="W79" i="2"/>
  <c r="W38" i="2"/>
  <c r="W49" i="2"/>
  <c r="W9" i="2"/>
  <c r="W12" i="2"/>
  <c r="W89" i="2"/>
  <c r="W54" i="2"/>
  <c r="W59" i="2"/>
  <c r="W69" i="2"/>
  <c r="W30" i="2"/>
  <c r="W72" i="2"/>
  <c r="W92" i="2"/>
  <c r="W5" i="2"/>
  <c r="W40" i="2"/>
  <c r="W21" i="2"/>
  <c r="W101" i="2"/>
  <c r="W11" i="2"/>
  <c r="W61" i="2"/>
  <c r="W58" i="2"/>
  <c r="W3" i="2"/>
  <c r="W87" i="2"/>
  <c r="W44" i="2"/>
  <c r="W45" i="2"/>
  <c r="W35" i="2"/>
  <c r="W6" i="2"/>
  <c r="W90" i="2"/>
  <c r="W55" i="2"/>
  <c r="W8" i="2"/>
  <c r="W39" i="2"/>
  <c r="W37" i="2"/>
  <c r="W15" i="2"/>
  <c r="W91" i="2"/>
  <c r="W80" i="2"/>
  <c r="W110" i="2"/>
  <c r="W7" i="2"/>
  <c r="W63" i="2"/>
  <c r="W83" i="2"/>
  <c r="W64" i="2"/>
  <c r="W105" i="2"/>
  <c r="W18" i="2"/>
  <c r="W48" i="2"/>
  <c r="W42" i="2"/>
  <c r="W34" i="2"/>
  <c r="W77" i="2"/>
  <c r="W78" i="2"/>
  <c r="W104" i="2"/>
  <c r="W98" i="2"/>
  <c r="W103" i="2"/>
  <c r="W52" i="2"/>
  <c r="W67" i="2"/>
  <c r="W43" i="2"/>
  <c r="W33" i="2"/>
  <c r="W16" i="2"/>
  <c r="W74" i="2"/>
  <c r="W53" i="2"/>
  <c r="W2" i="2"/>
  <c r="W66" i="2"/>
  <c r="W70" i="2"/>
  <c r="W73" i="2"/>
  <c r="W29" i="2"/>
  <c r="W19" i="2"/>
  <c r="W4" i="2"/>
  <c r="W75" i="2"/>
  <c r="W24" i="2"/>
  <c r="W82" i="2"/>
  <c r="W68" i="2"/>
  <c r="W27" i="2"/>
  <c r="W10" i="2"/>
  <c r="W41" i="2"/>
  <c r="W56" i="2"/>
  <c r="W99" i="2"/>
  <c r="W88" i="2"/>
  <c r="W17" i="2"/>
  <c r="W23" i="2"/>
  <c r="W28" i="2"/>
  <c r="W107" i="2"/>
  <c r="W76" i="2"/>
  <c r="W85" i="2"/>
  <c r="W81" i="2"/>
  <c r="W96" i="2"/>
  <c r="W86" i="2"/>
  <c r="W62" i="2"/>
  <c r="W26" i="2"/>
  <c r="W13" i="2"/>
  <c r="W97" i="2"/>
  <c r="W31" i="2"/>
  <c r="W14" i="2"/>
  <c r="W95" i="2"/>
  <c r="W106" i="2"/>
  <c r="W84" i="2"/>
  <c r="W93" i="2"/>
  <c r="W57" i="2"/>
  <c r="W32" i="2"/>
  <c r="W22" i="2"/>
  <c r="W20" i="2"/>
  <c r="W109" i="2"/>
  <c r="W100" i="2"/>
  <c r="W50" i="2"/>
  <c r="W46" i="2"/>
  <c r="W102" i="2"/>
  <c r="W108" i="2"/>
  <c r="W71" i="2"/>
  <c r="W65" i="2"/>
  <c r="W94" i="2"/>
  <c r="R51" i="2" l="1"/>
  <c r="R29" i="2"/>
  <c r="R92" i="2"/>
  <c r="R47" i="2"/>
  <c r="R57" i="2"/>
  <c r="R8" i="2"/>
  <c r="R77" i="2"/>
  <c r="R107" i="2"/>
  <c r="R25" i="2"/>
  <c r="R94" i="2"/>
  <c r="R95" i="2"/>
  <c r="R88" i="2"/>
  <c r="R2" i="2"/>
  <c r="R18" i="2"/>
  <c r="R35" i="2"/>
  <c r="R59" i="2"/>
  <c r="R60" i="2"/>
  <c r="R102" i="2"/>
  <c r="R13" i="2"/>
  <c r="R10" i="2"/>
  <c r="R33" i="2"/>
  <c r="R63" i="2"/>
  <c r="R3" i="2"/>
  <c r="R9" i="2"/>
  <c r="R109" i="2"/>
  <c r="R96" i="2"/>
  <c r="R24" i="2"/>
  <c r="R103" i="2"/>
  <c r="R91" i="2"/>
  <c r="R101" i="2"/>
  <c r="R65" i="2"/>
  <c r="R46" i="2"/>
  <c r="R20" i="2"/>
  <c r="R93" i="2"/>
  <c r="R14" i="2"/>
  <c r="R26" i="2"/>
  <c r="R81" i="2"/>
  <c r="R28" i="2"/>
  <c r="R99" i="2"/>
  <c r="R27" i="2"/>
  <c r="R75" i="2"/>
  <c r="R73" i="2"/>
  <c r="R53" i="2"/>
  <c r="R43" i="2"/>
  <c r="R98" i="2"/>
  <c r="R34" i="2"/>
  <c r="R105" i="2"/>
  <c r="R7" i="2"/>
  <c r="R15" i="2"/>
  <c r="R55" i="2"/>
  <c r="R45" i="2"/>
  <c r="R58" i="2"/>
  <c r="R21" i="2"/>
  <c r="R72" i="2"/>
  <c r="R54" i="2"/>
  <c r="R49" i="2"/>
  <c r="R71" i="2"/>
  <c r="R50" i="2"/>
  <c r="R22" i="2"/>
  <c r="R84" i="2"/>
  <c r="R31" i="2"/>
  <c r="R62" i="2"/>
  <c r="R85" i="2"/>
  <c r="R23" i="2"/>
  <c r="R56" i="2"/>
  <c r="R68" i="2"/>
  <c r="R4" i="2"/>
  <c r="R70" i="2"/>
  <c r="R74" i="2"/>
  <c r="R67" i="2"/>
  <c r="R104" i="2"/>
  <c r="R42" i="2"/>
  <c r="R64" i="2"/>
  <c r="R110" i="2"/>
  <c r="R37" i="2"/>
  <c r="R90" i="2"/>
  <c r="R44" i="2"/>
  <c r="R61" i="2"/>
  <c r="R40" i="2"/>
  <c r="R30" i="2"/>
  <c r="R89" i="2"/>
  <c r="R38" i="2"/>
  <c r="R36" i="2"/>
  <c r="R108" i="2"/>
  <c r="R100" i="2"/>
  <c r="R32" i="2"/>
  <c r="R106" i="2"/>
  <c r="R97" i="2"/>
  <c r="R86" i="2"/>
  <c r="R76" i="2"/>
  <c r="R17" i="2"/>
  <c r="R41" i="2"/>
  <c r="R82" i="2"/>
  <c r="R19" i="2"/>
  <c r="R66" i="2"/>
  <c r="R16" i="2"/>
  <c r="R52" i="2"/>
  <c r="R78" i="2"/>
  <c r="R48" i="2"/>
  <c r="R83" i="2"/>
  <c r="R80" i="2"/>
  <c r="R39" i="2"/>
  <c r="R6" i="2"/>
  <c r="R87" i="2"/>
  <c r="R11" i="2"/>
  <c r="R5" i="2"/>
  <c r="R69" i="2"/>
  <c r="R12" i="2"/>
  <c r="R7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F1E9DD-BD38-4518-8847-A21CD4C94608}" keepAlive="1" name="Query - Excel_jumia" description="Connection to the 'Excel_jumia' query in the workbook." type="5" refreshedVersion="8" background="1" saveData="1">
    <dbPr connection="Provider=Microsoft.Mashup.OleDb.1;Data Source=$Workbook$;Location=Excel_jumia;Extended Properties=&quot;&quot;" command="SELECT * FROM [Excel_jumia]"/>
  </connection>
</connections>
</file>

<file path=xl/sharedStrings.xml><?xml version="1.0" encoding="utf-8"?>
<sst xmlns="http://schemas.openxmlformats.org/spreadsheetml/2006/main" count="799" uniqueCount="371">
  <si>
    <t>Product</t>
  </si>
  <si>
    <t>Current price</t>
  </si>
  <si>
    <t>old price</t>
  </si>
  <si>
    <t>Discount</t>
  </si>
  <si>
    <t>Review</t>
  </si>
  <si>
    <t>Ratingd</t>
  </si>
  <si>
    <t>Final Cleaned Price</t>
  </si>
  <si>
    <t>Discount Cleaned</t>
  </si>
  <si>
    <t xml:space="preserve">Ratings Cleaned </t>
  </si>
  <si>
    <t>Positive Review</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</si>
  <si>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</si>
  <si>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</si>
  <si>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</si>
  <si>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</si>
  <si>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</si>
  <si>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</si>
  <si>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</si>
  <si>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</si>
  <si>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</si>
  <si>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</si>
  <si>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</si>
  <si>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</si>
  <si>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</si>
  <si>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</si>
  <si>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</si>
  <si>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</si>
  <si>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</si>
  <si>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</si>
  <si>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</si>
  <si>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</si>
  <si>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</si>
  <si>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</si>
  <si>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</si>
  <si>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</si>
  <si>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</si>
  <si>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</si>
  <si>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</si>
  <si>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</si>
  <si>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</si>
  <si>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KSh 1,580</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</si>
  <si>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</si>
  <si>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</si>
  <si>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</si>
  <si>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</si>
  <si>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</si>
  <si>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</si>
  <si>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</si>
  <si>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</si>
  <si>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</si>
  <si>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</si>
  <si>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</si>
  <si>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</si>
  <si>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</si>
  <si>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</si>
  <si>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</si>
  <si>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</si>
  <si>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</si>
  <si>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</si>
  <si>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</si>
  <si>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</si>
  <si>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</si>
  <si>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</si>
  <si>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</si>
  <si>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</si>
  <si>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</si>
  <si>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</si>
  <si>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</si>
  <si>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</si>
  <si>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</si>
  <si>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</si>
  <si>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</si>
  <si>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</si>
  <si>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</si>
  <si>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</si>
  <si>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</si>
  <si>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</si>
  <si>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</si>
  <si>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</si>
  <si>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</si>
  <si>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</si>
  <si>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</si>
  <si>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</si>
  <si>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</si>
  <si>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</si>
  <si>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</si>
  <si>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</si>
  <si>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</si>
  <si>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</si>
  <si>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</si>
  <si>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</si>
  <si>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</si>
  <si>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</si>
  <si>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</si>
  <si>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</si>
  <si>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</si>
  <si>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</si>
  <si>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</si>
  <si>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</si>
  <si>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</si>
  <si>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</si>
  <si>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</si>
  <si>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</si>
  <si>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1350</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</si>
  <si>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</si>
  <si>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</si>
  <si>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</si>
  <si>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</si>
  <si>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</si>
  <si>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</si>
  <si>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</si>
  <si>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</si>
  <si>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</si>
  <si>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</si>
  <si>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</si>
  <si>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</si>
  <si>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</si>
  <si>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</si>
  <si>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</si>
  <si>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</si>
  <si>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</si>
  <si>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</si>
  <si>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</si>
  <si>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</si>
  <si>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</si>
  <si>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</si>
  <si>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</si>
  <si>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</si>
  <si>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</si>
  <si>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</si>
  <si>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</si>
  <si>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</si>
  <si>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</si>
  <si>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</si>
  <si>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</si>
  <si>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</si>
  <si>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</si>
  <si>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</si>
  <si>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</si>
  <si>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</si>
  <si>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</si>
  <si>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</si>
  <si>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</si>
  <si>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</si>
  <si>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</si>
  <si>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</si>
  <si>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</si>
  <si>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</si>
  <si>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</si>
  <si>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</si>
  <si>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</si>
  <si>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</si>
  <si>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</si>
  <si>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</si>
  <si>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</si>
  <si>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</si>
  <si>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</si>
  <si>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</si>
  <si>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</si>
  <si>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</si>
  <si>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</si>
  <si>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</si>
  <si>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</si>
  <si>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</si>
  <si>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</si>
  <si>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</si>
  <si>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</si>
  <si>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</si>
  <si>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</si>
  <si>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</si>
  <si>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</si>
  <si>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</si>
  <si>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</si>
  <si>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</si>
  <si>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</si>
  <si>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</si>
  <si>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</si>
  <si>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</si>
  <si>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</si>
  <si>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</si>
  <si>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</si>
  <si>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</si>
  <si>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</si>
  <si>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</si>
  <si>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</si>
  <si>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</si>
  <si>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</si>
  <si>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</si>
  <si>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</si>
  <si>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</si>
  <si>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</si>
  <si>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</si>
  <si>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</si>
  <si>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</si>
  <si>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</si>
  <si>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</si>
  <si>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</si>
  <si>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</si>
  <si>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</si>
  <si>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</si>
  <si>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</si>
  <si>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</si>
  <si>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</si>
  <si>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</si>
  <si>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</si>
  <si>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</si>
  <si>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</si>
  <si>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</si>
  <si>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</si>
  <si>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</si>
  <si>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</si>
  <si>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</si>
  <si>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</si>
  <si>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</si>
  <si>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</si>
  <si>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</si>
  <si>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</si>
  <si>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</si>
  <si>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</si>
  <si>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</si>
  <si>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</si>
  <si>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</si>
  <si>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</si>
  <si>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</si>
  <si>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</si>
  <si>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</si>
  <si>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</si>
  <si>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</si>
  <si>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</si>
  <si>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</si>
  <si>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</si>
  <si>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</si>
  <si>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</si>
  <si>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</si>
  <si>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</si>
  <si>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</si>
  <si>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</si>
  <si>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</si>
  <si>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</si>
  <si>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</si>
  <si>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</si>
  <si>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</si>
  <si>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</si>
  <si>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KSh 1,200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</si>
  <si>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</si>
  <si>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</si>
  <si>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</si>
  <si>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</si>
  <si>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</si>
  <si>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</si>
  <si>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</si>
  <si>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</si>
  <si>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KSh 2,199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</si>
  <si>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</si>
  <si>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</si>
  <si>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</si>
  <si>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</si>
  <si>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</si>
  <si>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</si>
  <si>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 Or Above Welding Gloves</t>
  </si>
  <si>
    <t>KSh 1666</t>
  </si>
  <si>
    <t>Household Pineapple Peeler Peeler</t>
  </si>
  <si>
    <t>KSh 330</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</si>
  <si>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</si>
  <si>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</si>
  <si>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</si>
  <si>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</si>
  <si>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</si>
  <si>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</si>
  <si>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</si>
  <si>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</si>
  <si>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</si>
  <si>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</si>
  <si>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</si>
  <si>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</si>
  <si>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</si>
  <si>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</si>
  <si>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</si>
  <si>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</si>
  <si>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</si>
  <si>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</si>
  <si>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</si>
  <si>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</si>
  <si>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</si>
  <si>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</si>
  <si>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</si>
  <si>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</si>
  <si>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KSh 1,660</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</si>
  <si>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</si>
  <si>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</si>
  <si>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</si>
  <si>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</si>
  <si>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</si>
  <si>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</si>
  <si>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</si>
  <si>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</si>
  <si>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</si>
  <si>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</si>
  <si>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</si>
  <si>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</si>
  <si>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</si>
  <si>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</si>
  <si>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</si>
  <si>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</si>
  <si>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</si>
  <si>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</si>
  <si>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</si>
  <si>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</si>
  <si>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</si>
  <si>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</si>
  <si>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</si>
  <si>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</si>
  <si>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</si>
  <si>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</si>
  <si>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</si>
  <si>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</si>
  <si>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</si>
  <si>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</si>
  <si>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</si>
  <si>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</si>
  <si>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</si>
  <si>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</si>
  <si>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</si>
  <si>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</si>
  <si>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</si>
  <si>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</si>
  <si>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</si>
  <si>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</si>
  <si>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</si>
  <si>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Discount Amount</t>
  </si>
  <si>
    <t>Old Price Cleaned</t>
  </si>
  <si>
    <t>Rating Category</t>
  </si>
  <si>
    <t xml:space="preserve">Discount Category </t>
  </si>
  <si>
    <t>Excellent</t>
  </si>
  <si>
    <t>Medium Discount</t>
  </si>
  <si>
    <t>Average</t>
  </si>
  <si>
    <t>High Discount</t>
  </si>
  <si>
    <t>Low Discount</t>
  </si>
  <si>
    <t>Poor</t>
  </si>
  <si>
    <t>Average Cleaned Price</t>
  </si>
  <si>
    <t>Average Old price cleaned</t>
  </si>
  <si>
    <t>Average Discount</t>
  </si>
  <si>
    <t>Avarage Rating</t>
  </si>
  <si>
    <t>Most Expensive Product</t>
  </si>
  <si>
    <t>Least Expensive Product</t>
  </si>
  <si>
    <t>Expensive Product Name</t>
  </si>
  <si>
    <t>Less Expensive Product</t>
  </si>
  <si>
    <t>Row Labels</t>
  </si>
  <si>
    <t>Grand Total</t>
  </si>
  <si>
    <t>(blank)</t>
  </si>
  <si>
    <t xml:space="preserve">Average of Ratings Cleaned </t>
  </si>
  <si>
    <t>Average of Discount Cleaned</t>
  </si>
  <si>
    <t>Count of Product</t>
  </si>
  <si>
    <t>Average of Positive Review</t>
  </si>
  <si>
    <t>Higher average reviews in “High Discount” → stronger engagement</t>
  </si>
  <si>
    <t>Interpretation</t>
  </si>
  <si>
    <t>Higher ratings correlate with more reviews</t>
  </si>
  <si>
    <t xml:space="preserve"> Interpretation:
- Positive slope → higher discounts = more reviews
- R² value → strength of relationship</t>
  </si>
  <si>
    <t>Check if higher ratings correlate with more reviews</t>
  </si>
  <si>
    <t>TOTAL NUMBER OF PRODUCTS</t>
  </si>
  <si>
    <t>AVERAGE RATING</t>
  </si>
  <si>
    <t>AVERAGE DISCOUNT PERCENTAGE</t>
  </si>
  <si>
    <t>TOTAL NUMBER OF REVIEWS</t>
  </si>
  <si>
    <t>Sum of Positive Review</t>
  </si>
  <si>
    <t>TABLE VIEW</t>
  </si>
  <si>
    <t>REVIEWS BY DISCOUNT</t>
  </si>
  <si>
    <t xml:space="preserve">REVIEWS BY RATINGS </t>
  </si>
  <si>
    <t xml:space="preserve">RATINGS </t>
  </si>
  <si>
    <t xml:space="preserve">Total Product </t>
  </si>
  <si>
    <t>TOTAL PRODUCT LIST</t>
  </si>
  <si>
    <t>POSITIVE REVIEWS</t>
  </si>
  <si>
    <t>POSITIVE SUMMATION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</si>
</sst>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KES]\ #,##0.00"/>
  </numFmts>
  <fonts count="4" x14ac:knownFonts="1">
    <font>
      <sz val="11"/>
      <color theme="1"/>
      <name val="Calibri"/>
      <family val="2"/>
      <scheme val="minor"/>
    </font>
    <font>
      <sz val="8"/>
      <name val="Calibri"/>
      <family val="2"/>
      <scheme val="minor"/>
    </font>
    <font>
      <b/>
      <sz val="11"/>
      <color rgb="FFFF0000"/>
      <name val="Calibri"/>
      <family val="2"/>
      <scheme val="minor"/>
    </font>
    <font>
      <b/>
      <sz val="11"/>
      <color theme="5"/>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164" fontId="0" fillId="0" borderId="0" xfId="0" applyNumberFormat="1" applyAlignment="1">
      <alignment horizontal="left"/>
    </xf>
    <xf numFmtId="0" fontId="0" fillId="0" borderId="0" xfId="0" applyAlignment="1">
      <alignment horizontal="left"/>
    </xf>
    <xf numFmtId="0" fontId="0" fillId="2" borderId="0" xfId="0" applyFill="1"/>
    <xf numFmtId="0" fontId="2" fillId="0" borderId="0" xfId="0" applyFont="1" applyAlignment="1">
      <alignment horizontal="left"/>
    </xf>
    <xf numFmtId="0" fontId="2" fillId="0" borderId="0" xfId="0" applyFont="1" applyAlignment="1">
      <alignment wrapText="1"/>
    </xf>
    <xf numFmtId="0" fontId="2" fillId="0" borderId="0" xfId="0" applyFont="1"/>
    <xf numFmtId="0" fontId="0" fillId="0" borderId="0" xfId="0" applyNumberFormat="1"/>
    <xf numFmtId="0" fontId="3" fillId="0" borderId="0" xfId="0" applyFon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KES]\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DashBoard!$B$6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DashBoard!$A$7:$A$11</c:f>
              <c:strCache>
                <c:ptCount val="4"/>
                <c:pt idx="0">
                  <c:v>Average</c:v>
                </c:pt>
                <c:pt idx="1">
                  <c:v>Excellent</c:v>
                </c:pt>
                <c:pt idx="2">
                  <c:v>Poor</c:v>
                </c:pt>
                <c:pt idx="3">
                  <c:v>(blank)</c:v>
                </c:pt>
              </c:strCache>
            </c:strRef>
          </c:cat>
          <c:val>
            <c:numRef>
              <c:f>DashBoard!$B$7:$B$11</c:f>
              <c:numCache>
                <c:formatCode>General</c:formatCode>
                <c:ptCount val="4"/>
                <c:pt idx="0">
                  <c:v>22</c:v>
                </c:pt>
                <c:pt idx="1">
                  <c:v>23</c:v>
                </c:pt>
                <c:pt idx="2">
                  <c:v>12</c:v>
                </c:pt>
                <c:pt idx="3">
                  <c:v>52</c:v>
                </c:pt>
              </c:numCache>
            </c:numRef>
          </c:val>
          <c:extLst>
            <c:ext xmlns:c16="http://schemas.microsoft.com/office/drawing/2014/chart" uri="{C3380CC4-5D6E-409C-BE32-E72D297353CC}">
              <c16:uniqueId val="{00000000-7FAA-439C-89B0-EBE80344BE3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a:t>
            </a:r>
            <a:r>
              <a:rPr lang="en-US" baseline="0"/>
              <a:t> By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DashBoard!$F$6</c:f>
              <c:strCache>
                <c:ptCount val="1"/>
                <c:pt idx="0">
                  <c:v>Total</c:v>
                </c:pt>
              </c:strCache>
            </c:strRef>
          </c:tx>
          <c:spPr>
            <a:solidFill>
              <a:schemeClr val="accent1"/>
            </a:solidFill>
            <a:ln>
              <a:noFill/>
            </a:ln>
            <a:effectLst/>
          </c:spPr>
          <c:invertIfNegative val="0"/>
          <c:cat>
            <c:strRef>
              <c:f>DashBoard!$E$7:$E$11</c:f>
              <c:strCache>
                <c:ptCount val="4"/>
                <c:pt idx="0">
                  <c:v>Average</c:v>
                </c:pt>
                <c:pt idx="1">
                  <c:v>Excellent</c:v>
                </c:pt>
                <c:pt idx="2">
                  <c:v>Poor</c:v>
                </c:pt>
                <c:pt idx="3">
                  <c:v>(blank)</c:v>
                </c:pt>
              </c:strCache>
            </c:strRef>
          </c:cat>
          <c:val>
            <c:numRef>
              <c:f>DashBoard!$F$7:$F$11</c:f>
              <c:numCache>
                <c:formatCode>General</c:formatCode>
                <c:ptCount val="4"/>
                <c:pt idx="0">
                  <c:v>10.136363636363637</c:v>
                </c:pt>
                <c:pt idx="1">
                  <c:v>14.391304347826088</c:v>
                </c:pt>
                <c:pt idx="2">
                  <c:v>14.083333333333334</c:v>
                </c:pt>
              </c:numCache>
            </c:numRef>
          </c:val>
          <c:extLst>
            <c:ext xmlns:c16="http://schemas.microsoft.com/office/drawing/2014/chart" uri="{C3380CC4-5D6E-409C-BE32-E72D297353CC}">
              <c16:uniqueId val="{00000000-4F82-42C4-B774-76BC3876F7C7}"/>
            </c:ext>
          </c:extLst>
        </c:ser>
        <c:dLbls>
          <c:showLegendKey val="0"/>
          <c:showVal val="0"/>
          <c:showCatName val="0"/>
          <c:showSerName val="0"/>
          <c:showPercent val="0"/>
          <c:showBubbleSize val="0"/>
        </c:dLbls>
        <c:gapWidth val="219"/>
        <c:overlap val="-27"/>
        <c:axId val="1962616959"/>
        <c:axId val="1962617439"/>
      </c:barChart>
      <c:catAx>
        <c:axId val="196261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617439"/>
        <c:crosses val="autoZero"/>
        <c:auto val="1"/>
        <c:lblAlgn val="ctr"/>
        <c:lblOffset val="100"/>
        <c:noMultiLvlLbl val="0"/>
      </c:catAx>
      <c:valAx>
        <c:axId val="196261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61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a:t>
            </a:r>
            <a:r>
              <a:rPr lang="en-US" baseline="0"/>
              <a:t>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DashBoard!$J$6</c:f>
              <c:strCache>
                <c:ptCount val="1"/>
                <c:pt idx="0">
                  <c:v>Total</c:v>
                </c:pt>
              </c:strCache>
            </c:strRef>
          </c:tx>
          <c:spPr>
            <a:solidFill>
              <a:schemeClr val="accent1"/>
            </a:solidFill>
            <a:ln>
              <a:noFill/>
            </a:ln>
            <a:effectLst/>
          </c:spPr>
          <c:invertIfNegative val="0"/>
          <c:cat>
            <c:strRef>
              <c:f>DashBoard!$I$7:$I$10</c:f>
              <c:strCache>
                <c:ptCount val="3"/>
                <c:pt idx="0">
                  <c:v>High Discount</c:v>
                </c:pt>
                <c:pt idx="1">
                  <c:v>Low Discount</c:v>
                </c:pt>
                <c:pt idx="2">
                  <c:v>Medium Discount</c:v>
                </c:pt>
              </c:strCache>
            </c:strRef>
          </c:cat>
          <c:val>
            <c:numRef>
              <c:f>DashBoard!$J$7:$J$10</c:f>
              <c:numCache>
                <c:formatCode>General</c:formatCode>
                <c:ptCount val="3"/>
                <c:pt idx="0">
                  <c:v>334</c:v>
                </c:pt>
                <c:pt idx="1">
                  <c:v>38</c:v>
                </c:pt>
                <c:pt idx="2">
                  <c:v>351</c:v>
                </c:pt>
              </c:numCache>
            </c:numRef>
          </c:val>
          <c:extLst>
            <c:ext xmlns:c16="http://schemas.microsoft.com/office/drawing/2014/chart" uri="{C3380CC4-5D6E-409C-BE32-E72D297353CC}">
              <c16:uniqueId val="{00000000-E4DA-41AB-9621-E1E3522BEC26}"/>
            </c:ext>
          </c:extLst>
        </c:ser>
        <c:dLbls>
          <c:showLegendKey val="0"/>
          <c:showVal val="0"/>
          <c:showCatName val="0"/>
          <c:showSerName val="0"/>
          <c:showPercent val="0"/>
          <c:showBubbleSize val="0"/>
        </c:dLbls>
        <c:gapWidth val="219"/>
        <c:overlap val="-27"/>
        <c:axId val="1962567039"/>
        <c:axId val="1962555039"/>
      </c:barChart>
      <c:catAx>
        <c:axId val="196256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55039"/>
        <c:crosses val="autoZero"/>
        <c:auto val="1"/>
        <c:lblAlgn val="ctr"/>
        <c:lblOffset val="100"/>
        <c:noMultiLvlLbl val="0"/>
      </c:catAx>
      <c:valAx>
        <c:axId val="196255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6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Relationship Between Discount Percentage and Number of Reviews</a:t>
            </a:r>
          </a:p>
        </c:rich>
      </c:tx>
      <c:layout>
        <c:manualLayout>
          <c:xMode val="edge"/>
          <c:yMode val="edge"/>
          <c:x val="0.11186148170678663"/>
          <c:y val="2.146852607017221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8.6775371828521436E-2"/>
          <c:y val="0.13467592592592595"/>
          <c:w val="0.88073862642169731"/>
          <c:h val="0.61498432487605714"/>
        </c:manualLayout>
      </c:layout>
      <c:scatterChart>
        <c:scatterStyle val="lineMarker"/>
        <c:varyColors val="0"/>
        <c:ser>
          <c:idx val="0"/>
          <c:order val="0"/>
          <c:spPr>
            <a:ln w="22225" cap="rnd">
              <a:solidFill>
                <a:schemeClr val="accent1"/>
              </a:solidFill>
            </a:ln>
            <a:effectLst>
              <a:glow rad="139700">
                <a:schemeClr val="accent1">
                  <a:satMod val="175000"/>
                  <a:alpha val="14000"/>
                </a:schemeClr>
              </a:glow>
            </a:effectLst>
          </c:spPr>
          <c:marker>
            <c:symbol val="none"/>
          </c:marker>
          <c:trendline>
            <c:spPr>
              <a:ln w="25400" cap="rnd">
                <a:solidFill>
                  <a:schemeClr val="accent1">
                    <a:alpha val="50000"/>
                  </a:schemeClr>
                </a:solidFill>
              </a:ln>
              <a:effectLst/>
            </c:spPr>
            <c:trendlineType val="linear"/>
            <c:forward val="2"/>
            <c:dispRSqr val="0"/>
            <c:dispEq val="0"/>
          </c:trendline>
          <c:xVal>
            <c:numRef>
              <c:f>Excel_jumia!$H$2</c:f>
              <c:numCache>
                <c:formatCode>General</c:formatCode>
                <c:ptCount val="1"/>
                <c:pt idx="0">
                  <c:v>0.55000000000000004</c:v>
                </c:pt>
              </c:numCache>
            </c:numRef>
          </c:xVal>
          <c:yVal>
            <c:numRef>
              <c:f>Excel_jumia!$J$1:$J$110</c:f>
              <c:numCache>
                <c:formatCode>General</c:formatCode>
                <c:ptCount val="110"/>
                <c:pt idx="0">
                  <c:v>0</c:v>
                </c:pt>
                <c:pt idx="1">
                  <c:v>13</c:v>
                </c:pt>
                <c:pt idx="2">
                  <c:v>7</c:v>
                </c:pt>
                <c:pt idx="3">
                  <c:v>5</c:v>
                </c:pt>
                <c:pt idx="4">
                  <c:v>3</c:v>
                </c:pt>
                <c:pt idx="7">
                  <c:v>9</c:v>
                </c:pt>
                <c:pt idx="8">
                  <c:v>5</c:v>
                </c:pt>
                <c:pt idx="9">
                  <c:v>7</c:v>
                </c:pt>
                <c:pt idx="11">
                  <c:v>5</c:v>
                </c:pt>
                <c:pt idx="14">
                  <c:v>1</c:v>
                </c:pt>
                <c:pt idx="16">
                  <c:v>1</c:v>
                </c:pt>
                <c:pt idx="18">
                  <c:v>7</c:v>
                </c:pt>
                <c:pt idx="20">
                  <c:v>44</c:v>
                </c:pt>
                <c:pt idx="21">
                  <c:v>1</c:v>
                </c:pt>
                <c:pt idx="22">
                  <c:v>1</c:v>
                </c:pt>
                <c:pt idx="23">
                  <c:v>5</c:v>
                </c:pt>
                <c:pt idx="24">
                  <c:v>7</c:v>
                </c:pt>
                <c:pt idx="26">
                  <c:v>6</c:v>
                </c:pt>
                <c:pt idx="28">
                  <c:v>6</c:v>
                </c:pt>
                <c:pt idx="29">
                  <c:v>9</c:v>
                </c:pt>
                <c:pt idx="34">
                  <c:v>20</c:v>
                </c:pt>
                <c:pt idx="35">
                  <c:v>24</c:v>
                </c:pt>
                <c:pt idx="36">
                  <c:v>32</c:v>
                </c:pt>
                <c:pt idx="37">
                  <c:v>55</c:v>
                </c:pt>
                <c:pt idx="38">
                  <c:v>20</c:v>
                </c:pt>
                <c:pt idx="39">
                  <c:v>5</c:v>
                </c:pt>
                <c:pt idx="43">
                  <c:v>12</c:v>
                </c:pt>
                <c:pt idx="44">
                  <c:v>13</c:v>
                </c:pt>
                <c:pt idx="46">
                  <c:v>5</c:v>
                </c:pt>
                <c:pt idx="48">
                  <c:v>2</c:v>
                </c:pt>
                <c:pt idx="50">
                  <c:v>2</c:v>
                </c:pt>
                <c:pt idx="52">
                  <c:v>10</c:v>
                </c:pt>
                <c:pt idx="53">
                  <c:v>39</c:v>
                </c:pt>
                <c:pt idx="54">
                  <c:v>12</c:v>
                </c:pt>
                <c:pt idx="57">
                  <c:v>14</c:v>
                </c:pt>
                <c:pt idx="58">
                  <c:v>12</c:v>
                </c:pt>
                <c:pt idx="59">
                  <c:v>14</c:v>
                </c:pt>
                <c:pt idx="60">
                  <c:v>6</c:v>
                </c:pt>
                <c:pt idx="64">
                  <c:v>1</c:v>
                </c:pt>
                <c:pt idx="65">
                  <c:v>69</c:v>
                </c:pt>
                <c:pt idx="67">
                  <c:v>5</c:v>
                </c:pt>
                <c:pt idx="68">
                  <c:v>6</c:v>
                </c:pt>
                <c:pt idx="69">
                  <c:v>15</c:v>
                </c:pt>
                <c:pt idx="71">
                  <c:v>2</c:v>
                </c:pt>
                <c:pt idx="72">
                  <c:v>16</c:v>
                </c:pt>
                <c:pt idx="73">
                  <c:v>6</c:v>
                </c:pt>
                <c:pt idx="74">
                  <c:v>17</c:v>
                </c:pt>
                <c:pt idx="75">
                  <c:v>1</c:v>
                </c:pt>
                <c:pt idx="78">
                  <c:v>15</c:v>
                </c:pt>
                <c:pt idx="79">
                  <c:v>36</c:v>
                </c:pt>
                <c:pt idx="81">
                  <c:v>6</c:v>
                </c:pt>
                <c:pt idx="86">
                  <c:v>49</c:v>
                </c:pt>
                <c:pt idx="88">
                  <c:v>12</c:v>
                </c:pt>
                <c:pt idx="89">
                  <c:v>9</c:v>
                </c:pt>
                <c:pt idx="90">
                  <c:v>2</c:v>
                </c:pt>
                <c:pt idx="91">
                  <c:v>2</c:v>
                </c:pt>
                <c:pt idx="100">
                  <c:v>13</c:v>
                </c:pt>
                <c:pt idx="109">
                  <c:v>2</c:v>
                </c:pt>
              </c:numCache>
            </c:numRef>
          </c:yVal>
          <c:smooth val="0"/>
          <c:extLst>
            <c:ext xmlns:c16="http://schemas.microsoft.com/office/drawing/2014/chart" uri="{C3380CC4-5D6E-409C-BE32-E72D297353CC}">
              <c16:uniqueId val="{00000000-412E-4021-8463-E0D30C8A1BEE}"/>
            </c:ext>
          </c:extLst>
        </c:ser>
        <c:ser>
          <c:idx val="1"/>
          <c:order val="1"/>
          <c:spPr>
            <a:ln w="22225" cap="rnd">
              <a:solidFill>
                <a:schemeClr val="accent2"/>
              </a:solidFill>
            </a:ln>
            <a:effectLst>
              <a:glow rad="139700">
                <a:schemeClr val="accent2">
                  <a:satMod val="175000"/>
                  <a:alpha val="14000"/>
                </a:schemeClr>
              </a:glow>
            </a:effectLst>
          </c:spPr>
          <c:marker>
            <c:symbol val="none"/>
          </c:marker>
          <c:trendline>
            <c:spPr>
              <a:ln w="25400" cap="rnd">
                <a:solidFill>
                  <a:schemeClr val="accent2">
                    <a:alpha val="50000"/>
                  </a:schemeClr>
                </a:solidFill>
              </a:ln>
              <a:effectLst/>
            </c:spPr>
            <c:trendlineType val="linear"/>
            <c:dispRSqr val="0"/>
            <c:dispEq val="0"/>
          </c:trendline>
          <c:xVal>
            <c:numRef>
              <c:f>Excel_jumia!$H$2:$H$110</c:f>
              <c:numCache>
                <c:formatCode>General</c:formatCode>
                <c:ptCount val="109"/>
                <c:pt idx="0">
                  <c:v>0.55000000000000004</c:v>
                </c:pt>
                <c:pt idx="1">
                  <c:v>0.54</c:v>
                </c:pt>
                <c:pt idx="2">
                  <c:v>0.39</c:v>
                </c:pt>
                <c:pt idx="3">
                  <c:v>0.49</c:v>
                </c:pt>
                <c:pt idx="4">
                  <c:v>0.46</c:v>
                </c:pt>
                <c:pt idx="5">
                  <c:v>0.38</c:v>
                </c:pt>
                <c:pt idx="6">
                  <c:v>0.48</c:v>
                </c:pt>
                <c:pt idx="7">
                  <c:v>0.55000000000000004</c:v>
                </c:pt>
                <c:pt idx="8">
                  <c:v>0.47</c:v>
                </c:pt>
                <c:pt idx="9">
                  <c:v>0.42</c:v>
                </c:pt>
                <c:pt idx="10">
                  <c:v>0.45</c:v>
                </c:pt>
                <c:pt idx="11">
                  <c:v>0.48</c:v>
                </c:pt>
                <c:pt idx="12">
                  <c:v>0.5</c:v>
                </c:pt>
                <c:pt idx="13">
                  <c:v>0.4</c:v>
                </c:pt>
                <c:pt idx="14">
                  <c:v>0.27</c:v>
                </c:pt>
                <c:pt idx="15">
                  <c:v>0.46</c:v>
                </c:pt>
                <c:pt idx="16">
                  <c:v>0.5</c:v>
                </c:pt>
                <c:pt idx="17">
                  <c:v>0.5</c:v>
                </c:pt>
                <c:pt idx="18">
                  <c:v>0.41</c:v>
                </c:pt>
                <c:pt idx="19">
                  <c:v>0.49</c:v>
                </c:pt>
                <c:pt idx="20">
                  <c:v>0.21</c:v>
                </c:pt>
                <c:pt idx="21">
                  <c:v>0.49</c:v>
                </c:pt>
                <c:pt idx="22">
                  <c:v>0.28999999999999998</c:v>
                </c:pt>
                <c:pt idx="23">
                  <c:v>0.37</c:v>
                </c:pt>
                <c:pt idx="24">
                  <c:v>0.5</c:v>
                </c:pt>
                <c:pt idx="25">
                  <c:v>0.47</c:v>
                </c:pt>
                <c:pt idx="26">
                  <c:v>0.36</c:v>
                </c:pt>
                <c:pt idx="27">
                  <c:v>0.45</c:v>
                </c:pt>
                <c:pt idx="28">
                  <c:v>0.33</c:v>
                </c:pt>
                <c:pt idx="29">
                  <c:v>0.47</c:v>
                </c:pt>
                <c:pt idx="30">
                  <c:v>0.42</c:v>
                </c:pt>
                <c:pt idx="31">
                  <c:v>0.49</c:v>
                </c:pt>
                <c:pt idx="32">
                  <c:v>0.38</c:v>
                </c:pt>
                <c:pt idx="33">
                  <c:v>0.3</c:v>
                </c:pt>
                <c:pt idx="34">
                  <c:v>0.25</c:v>
                </c:pt>
                <c:pt idx="35">
                  <c:v>0.27</c:v>
                </c:pt>
                <c:pt idx="36">
                  <c:v>0.24</c:v>
                </c:pt>
                <c:pt idx="37">
                  <c:v>0.27</c:v>
                </c:pt>
                <c:pt idx="38">
                  <c:v>0.19</c:v>
                </c:pt>
                <c:pt idx="39">
                  <c:v>0.47</c:v>
                </c:pt>
                <c:pt idx="40">
                  <c:v>0.49</c:v>
                </c:pt>
                <c:pt idx="41">
                  <c:v>0.48</c:v>
                </c:pt>
                <c:pt idx="42">
                  <c:v>0.18</c:v>
                </c:pt>
                <c:pt idx="43">
                  <c:v>0.32</c:v>
                </c:pt>
                <c:pt idx="44">
                  <c:v>0.34</c:v>
                </c:pt>
                <c:pt idx="45">
                  <c:v>0.26</c:v>
                </c:pt>
                <c:pt idx="46">
                  <c:v>0.33</c:v>
                </c:pt>
                <c:pt idx="47">
                  <c:v>0.37</c:v>
                </c:pt>
                <c:pt idx="48">
                  <c:v>0.34</c:v>
                </c:pt>
                <c:pt idx="49">
                  <c:v>0.38</c:v>
                </c:pt>
                <c:pt idx="50">
                  <c:v>0.41</c:v>
                </c:pt>
                <c:pt idx="51">
                  <c:v>0.54</c:v>
                </c:pt>
                <c:pt idx="52">
                  <c:v>0.34</c:v>
                </c:pt>
                <c:pt idx="53">
                  <c:v>0.34</c:v>
                </c:pt>
                <c:pt idx="54">
                  <c:v>0.43</c:v>
                </c:pt>
                <c:pt idx="55">
                  <c:v>0.49</c:v>
                </c:pt>
                <c:pt idx="56">
                  <c:v>0.23</c:v>
                </c:pt>
                <c:pt idx="57">
                  <c:v>0.47</c:v>
                </c:pt>
                <c:pt idx="58">
                  <c:v>0.47</c:v>
                </c:pt>
                <c:pt idx="59">
                  <c:v>0.35</c:v>
                </c:pt>
                <c:pt idx="60">
                  <c:v>0.43</c:v>
                </c:pt>
                <c:pt idx="61">
                  <c:v>0.49</c:v>
                </c:pt>
                <c:pt idx="62">
                  <c:v>0.42</c:v>
                </c:pt>
                <c:pt idx="63">
                  <c:v>0.5</c:v>
                </c:pt>
                <c:pt idx="64">
                  <c:v>0.49</c:v>
                </c:pt>
                <c:pt idx="65">
                  <c:v>0.45</c:v>
                </c:pt>
                <c:pt idx="66">
                  <c:v>0.43</c:v>
                </c:pt>
                <c:pt idx="67">
                  <c:v>0.42</c:v>
                </c:pt>
                <c:pt idx="68">
                  <c:v>0.52</c:v>
                </c:pt>
                <c:pt idx="69">
                  <c:v>0.64</c:v>
                </c:pt>
                <c:pt idx="70">
                  <c:v>0.51</c:v>
                </c:pt>
                <c:pt idx="71">
                  <c:v>0.22</c:v>
                </c:pt>
                <c:pt idx="72">
                  <c:v>0.13</c:v>
                </c:pt>
                <c:pt idx="73">
                  <c:v>0.45</c:v>
                </c:pt>
                <c:pt idx="74">
                  <c:v>0.49</c:v>
                </c:pt>
                <c:pt idx="75">
                  <c:v>0.61</c:v>
                </c:pt>
                <c:pt idx="76">
                  <c:v>0.5</c:v>
                </c:pt>
                <c:pt idx="77">
                  <c:v>0.09</c:v>
                </c:pt>
                <c:pt idx="78">
                  <c:v>0.41</c:v>
                </c:pt>
                <c:pt idx="79">
                  <c:v>0.49</c:v>
                </c:pt>
                <c:pt idx="80">
                  <c:v>0.43</c:v>
                </c:pt>
                <c:pt idx="81">
                  <c:v>0.5</c:v>
                </c:pt>
                <c:pt idx="82">
                  <c:v>0.49</c:v>
                </c:pt>
                <c:pt idx="83">
                  <c:v>0.14000000000000001</c:v>
                </c:pt>
                <c:pt idx="84">
                  <c:v>0.14000000000000001</c:v>
                </c:pt>
                <c:pt idx="85">
                  <c:v>0.35</c:v>
                </c:pt>
                <c:pt idx="86">
                  <c:v>0.49</c:v>
                </c:pt>
                <c:pt idx="87">
                  <c:v>0.2</c:v>
                </c:pt>
                <c:pt idx="88">
                  <c:v>0.52</c:v>
                </c:pt>
                <c:pt idx="89">
                  <c:v>0.53</c:v>
                </c:pt>
                <c:pt idx="90">
                  <c:v>0.46</c:v>
                </c:pt>
                <c:pt idx="91">
                  <c:v>0.04</c:v>
                </c:pt>
                <c:pt idx="92">
                  <c:v>0.47</c:v>
                </c:pt>
                <c:pt idx="93">
                  <c:v>0.08</c:v>
                </c:pt>
                <c:pt idx="94">
                  <c:v>0.11</c:v>
                </c:pt>
                <c:pt idx="95">
                  <c:v>0.48</c:v>
                </c:pt>
                <c:pt idx="96">
                  <c:v>0.22</c:v>
                </c:pt>
                <c:pt idx="97">
                  <c:v>0.04</c:v>
                </c:pt>
                <c:pt idx="98">
                  <c:v>0.24</c:v>
                </c:pt>
                <c:pt idx="99">
                  <c:v>0.53</c:v>
                </c:pt>
                <c:pt idx="100">
                  <c:v>0.02</c:v>
                </c:pt>
                <c:pt idx="101">
                  <c:v>0.03</c:v>
                </c:pt>
                <c:pt idx="102">
                  <c:v>0.02</c:v>
                </c:pt>
                <c:pt idx="103">
                  <c:v>0.02</c:v>
                </c:pt>
                <c:pt idx="104">
                  <c:v>0.02</c:v>
                </c:pt>
                <c:pt idx="105">
                  <c:v>0.02</c:v>
                </c:pt>
                <c:pt idx="106">
                  <c:v>0.02</c:v>
                </c:pt>
                <c:pt idx="107">
                  <c:v>0.01</c:v>
                </c:pt>
                <c:pt idx="108">
                  <c:v>0.38</c:v>
                </c:pt>
              </c:numCache>
            </c:numRef>
          </c:xVal>
          <c:yVal>
            <c:numRef>
              <c:f>Excel_jumia!$J$2:$J$110</c:f>
              <c:numCache>
                <c:formatCode>General</c:formatCode>
                <c:ptCount val="109"/>
                <c:pt idx="0">
                  <c:v>13</c:v>
                </c:pt>
                <c:pt idx="1">
                  <c:v>7</c:v>
                </c:pt>
                <c:pt idx="2">
                  <c:v>5</c:v>
                </c:pt>
                <c:pt idx="3">
                  <c:v>3</c:v>
                </c:pt>
                <c:pt idx="6">
                  <c:v>9</c:v>
                </c:pt>
                <c:pt idx="7">
                  <c:v>5</c:v>
                </c:pt>
                <c:pt idx="8">
                  <c:v>7</c:v>
                </c:pt>
                <c:pt idx="10">
                  <c:v>5</c:v>
                </c:pt>
                <c:pt idx="13">
                  <c:v>1</c:v>
                </c:pt>
                <c:pt idx="15">
                  <c:v>1</c:v>
                </c:pt>
                <c:pt idx="17">
                  <c:v>7</c:v>
                </c:pt>
                <c:pt idx="19">
                  <c:v>44</c:v>
                </c:pt>
                <c:pt idx="20">
                  <c:v>1</c:v>
                </c:pt>
                <c:pt idx="21">
                  <c:v>1</c:v>
                </c:pt>
                <c:pt idx="22">
                  <c:v>5</c:v>
                </c:pt>
                <c:pt idx="23">
                  <c:v>7</c:v>
                </c:pt>
                <c:pt idx="25">
                  <c:v>6</c:v>
                </c:pt>
                <c:pt idx="27">
                  <c:v>6</c:v>
                </c:pt>
                <c:pt idx="28">
                  <c:v>9</c:v>
                </c:pt>
                <c:pt idx="33">
                  <c:v>20</c:v>
                </c:pt>
                <c:pt idx="34">
                  <c:v>24</c:v>
                </c:pt>
                <c:pt idx="35">
                  <c:v>32</c:v>
                </c:pt>
                <c:pt idx="36">
                  <c:v>55</c:v>
                </c:pt>
                <c:pt idx="37">
                  <c:v>20</c:v>
                </c:pt>
                <c:pt idx="38">
                  <c:v>5</c:v>
                </c:pt>
                <c:pt idx="42">
                  <c:v>12</c:v>
                </c:pt>
                <c:pt idx="43">
                  <c:v>13</c:v>
                </c:pt>
                <c:pt idx="45">
                  <c:v>5</c:v>
                </c:pt>
                <c:pt idx="47">
                  <c:v>2</c:v>
                </c:pt>
                <c:pt idx="49">
                  <c:v>2</c:v>
                </c:pt>
                <c:pt idx="51">
                  <c:v>10</c:v>
                </c:pt>
                <c:pt idx="52">
                  <c:v>39</c:v>
                </c:pt>
                <c:pt idx="53">
                  <c:v>12</c:v>
                </c:pt>
                <c:pt idx="56">
                  <c:v>14</c:v>
                </c:pt>
                <c:pt idx="57">
                  <c:v>12</c:v>
                </c:pt>
                <c:pt idx="58">
                  <c:v>14</c:v>
                </c:pt>
                <c:pt idx="59">
                  <c:v>6</c:v>
                </c:pt>
                <c:pt idx="63">
                  <c:v>1</c:v>
                </c:pt>
                <c:pt idx="64">
                  <c:v>69</c:v>
                </c:pt>
                <c:pt idx="66">
                  <c:v>5</c:v>
                </c:pt>
                <c:pt idx="67">
                  <c:v>6</c:v>
                </c:pt>
                <c:pt idx="68">
                  <c:v>15</c:v>
                </c:pt>
                <c:pt idx="70">
                  <c:v>2</c:v>
                </c:pt>
                <c:pt idx="71">
                  <c:v>16</c:v>
                </c:pt>
                <c:pt idx="72">
                  <c:v>6</c:v>
                </c:pt>
                <c:pt idx="73">
                  <c:v>17</c:v>
                </c:pt>
                <c:pt idx="74">
                  <c:v>1</c:v>
                </c:pt>
                <c:pt idx="77">
                  <c:v>15</c:v>
                </c:pt>
                <c:pt idx="78">
                  <c:v>36</c:v>
                </c:pt>
                <c:pt idx="80">
                  <c:v>6</c:v>
                </c:pt>
                <c:pt idx="85">
                  <c:v>49</c:v>
                </c:pt>
                <c:pt idx="87">
                  <c:v>12</c:v>
                </c:pt>
                <c:pt idx="88">
                  <c:v>9</c:v>
                </c:pt>
                <c:pt idx="89">
                  <c:v>2</c:v>
                </c:pt>
                <c:pt idx="90">
                  <c:v>2</c:v>
                </c:pt>
                <c:pt idx="99">
                  <c:v>13</c:v>
                </c:pt>
                <c:pt idx="108">
                  <c:v>2</c:v>
                </c:pt>
              </c:numCache>
            </c:numRef>
          </c:yVal>
          <c:smooth val="0"/>
          <c:extLst>
            <c:ext xmlns:c16="http://schemas.microsoft.com/office/drawing/2014/chart" uri="{C3380CC4-5D6E-409C-BE32-E72D297353CC}">
              <c16:uniqueId val="{00000001-412E-4021-8463-E0D30C8A1BEE}"/>
            </c:ext>
          </c:extLst>
        </c:ser>
        <c:dLbls>
          <c:showLegendKey val="0"/>
          <c:showVal val="0"/>
          <c:showCatName val="0"/>
          <c:showSerName val="0"/>
          <c:showPercent val="0"/>
          <c:showBubbleSize val="0"/>
        </c:dLbls>
        <c:axId val="1729627839"/>
        <c:axId val="1729629279"/>
      </c:scatterChart>
      <c:valAx>
        <c:axId val="1729627839"/>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Discount</a:t>
                </a:r>
                <a:r>
                  <a:rPr lang="en-US" baseline="0"/>
                  <a:t> Cleaned</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9629279"/>
        <c:crosses val="autoZero"/>
        <c:crossBetween val="midCat"/>
      </c:valAx>
      <c:valAx>
        <c:axId val="1729629279"/>
        <c:scaling>
          <c:orientation val="minMax"/>
        </c:scaling>
        <c:delete val="1"/>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Positive</a:t>
                </a:r>
                <a:r>
                  <a:rPr lang="en-US" baseline="0"/>
                  <a:t> Reviews</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crossAx val="1729627839"/>
        <c:crosses val="autoZero"/>
        <c:crossBetween val="midCat"/>
      </c:valAx>
      <c:spPr>
        <a:noFill/>
        <a:ln>
          <a:noFill/>
        </a:ln>
        <a:effectLst/>
      </c:spPr>
    </c:plotArea>
    <c:legend>
      <c:legendPos val="t"/>
      <c:legendEntry>
        <c:idx val="2"/>
        <c:delete val="1"/>
      </c:legendEntry>
      <c:legendEntry>
        <c:idx val="3"/>
        <c:delete val="1"/>
      </c:legendEntry>
      <c:layout>
        <c:manualLayout>
          <c:xMode val="edge"/>
          <c:yMode val="edge"/>
          <c:x val="7.1317102386292477E-2"/>
          <c:y val="0.8629631862673558"/>
          <c:w val="0.25474068799945854"/>
          <c:h val="6.03806521811402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Relationship Between Rating and Number of Reviews</a:t>
            </a:r>
          </a:p>
        </c:rich>
      </c:tx>
      <c:layout>
        <c:manualLayout>
          <c:xMode val="edge"/>
          <c:yMode val="edge"/>
          <c:x val="0.12996522309711286"/>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Excel_jumia!$J$1</c:f>
              <c:strCache>
                <c:ptCount val="1"/>
                <c:pt idx="0">
                  <c:v>Positive Review</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Excel_jumia!$I$2:$I$110</c:f>
              <c:numCache>
                <c:formatCode>General</c:formatCode>
                <c:ptCount val="109"/>
                <c:pt idx="0">
                  <c:v>2.1</c:v>
                </c:pt>
                <c:pt idx="1">
                  <c:v>4.3</c:v>
                </c:pt>
                <c:pt idx="2">
                  <c:v>3</c:v>
                </c:pt>
                <c:pt idx="3">
                  <c:v>5</c:v>
                </c:pt>
                <c:pt idx="6">
                  <c:v>4.3</c:v>
                </c:pt>
                <c:pt idx="7">
                  <c:v>4.8</c:v>
                </c:pt>
                <c:pt idx="8">
                  <c:v>2.1</c:v>
                </c:pt>
                <c:pt idx="10">
                  <c:v>3.8</c:v>
                </c:pt>
                <c:pt idx="13">
                  <c:v>5</c:v>
                </c:pt>
                <c:pt idx="15">
                  <c:v>3</c:v>
                </c:pt>
                <c:pt idx="17">
                  <c:v>2.2999999999999998</c:v>
                </c:pt>
                <c:pt idx="19">
                  <c:v>4.5999999999999996</c:v>
                </c:pt>
                <c:pt idx="20">
                  <c:v>5</c:v>
                </c:pt>
                <c:pt idx="21">
                  <c:v>5</c:v>
                </c:pt>
                <c:pt idx="22">
                  <c:v>3</c:v>
                </c:pt>
                <c:pt idx="23">
                  <c:v>4.7</c:v>
                </c:pt>
                <c:pt idx="25">
                  <c:v>2.2000000000000002</c:v>
                </c:pt>
                <c:pt idx="27">
                  <c:v>2.2000000000000002</c:v>
                </c:pt>
                <c:pt idx="28">
                  <c:v>4.2</c:v>
                </c:pt>
                <c:pt idx="33">
                  <c:v>4.0999999999999996</c:v>
                </c:pt>
                <c:pt idx="34">
                  <c:v>4.5999999999999996</c:v>
                </c:pt>
                <c:pt idx="35">
                  <c:v>4.5</c:v>
                </c:pt>
                <c:pt idx="36">
                  <c:v>4.5999999999999996</c:v>
                </c:pt>
                <c:pt idx="37">
                  <c:v>4.7</c:v>
                </c:pt>
                <c:pt idx="38">
                  <c:v>4.5999999999999996</c:v>
                </c:pt>
                <c:pt idx="42">
                  <c:v>3.8</c:v>
                </c:pt>
                <c:pt idx="43">
                  <c:v>3.8</c:v>
                </c:pt>
                <c:pt idx="45">
                  <c:v>4.8</c:v>
                </c:pt>
                <c:pt idx="47">
                  <c:v>4</c:v>
                </c:pt>
                <c:pt idx="49">
                  <c:v>4.5</c:v>
                </c:pt>
                <c:pt idx="51">
                  <c:v>3</c:v>
                </c:pt>
                <c:pt idx="52">
                  <c:v>4.7</c:v>
                </c:pt>
                <c:pt idx="53">
                  <c:v>4.7</c:v>
                </c:pt>
                <c:pt idx="56">
                  <c:v>4.4000000000000004</c:v>
                </c:pt>
                <c:pt idx="57">
                  <c:v>4.8</c:v>
                </c:pt>
                <c:pt idx="58">
                  <c:v>4.0999999999999996</c:v>
                </c:pt>
                <c:pt idx="59">
                  <c:v>4</c:v>
                </c:pt>
                <c:pt idx="63">
                  <c:v>2</c:v>
                </c:pt>
                <c:pt idx="64">
                  <c:v>2.8</c:v>
                </c:pt>
                <c:pt idx="66">
                  <c:v>3</c:v>
                </c:pt>
                <c:pt idx="67">
                  <c:v>4.5</c:v>
                </c:pt>
                <c:pt idx="68">
                  <c:v>2.7</c:v>
                </c:pt>
                <c:pt idx="70">
                  <c:v>5</c:v>
                </c:pt>
                <c:pt idx="71">
                  <c:v>2.9</c:v>
                </c:pt>
                <c:pt idx="72">
                  <c:v>2.5</c:v>
                </c:pt>
                <c:pt idx="73">
                  <c:v>2.6</c:v>
                </c:pt>
                <c:pt idx="74">
                  <c:v>4</c:v>
                </c:pt>
                <c:pt idx="77">
                  <c:v>4</c:v>
                </c:pt>
                <c:pt idx="78">
                  <c:v>4.3</c:v>
                </c:pt>
                <c:pt idx="80">
                  <c:v>2.2999999999999998</c:v>
                </c:pt>
                <c:pt idx="85">
                  <c:v>4.5999999999999996</c:v>
                </c:pt>
                <c:pt idx="87">
                  <c:v>4.0999999999999996</c:v>
                </c:pt>
                <c:pt idx="88">
                  <c:v>4.3</c:v>
                </c:pt>
                <c:pt idx="89">
                  <c:v>5</c:v>
                </c:pt>
                <c:pt idx="90">
                  <c:v>5</c:v>
                </c:pt>
                <c:pt idx="99">
                  <c:v>3.3</c:v>
                </c:pt>
                <c:pt idx="108">
                  <c:v>4.5</c:v>
                </c:pt>
              </c:numCache>
            </c:numRef>
          </c:xVal>
          <c:yVal>
            <c:numRef>
              <c:f>Excel_jumia!$J$2:$J$110</c:f>
              <c:numCache>
                <c:formatCode>General</c:formatCode>
                <c:ptCount val="109"/>
                <c:pt idx="0">
                  <c:v>13</c:v>
                </c:pt>
                <c:pt idx="1">
                  <c:v>7</c:v>
                </c:pt>
                <c:pt idx="2">
                  <c:v>5</c:v>
                </c:pt>
                <c:pt idx="3">
                  <c:v>3</c:v>
                </c:pt>
                <c:pt idx="6">
                  <c:v>9</c:v>
                </c:pt>
                <c:pt idx="7">
                  <c:v>5</c:v>
                </c:pt>
                <c:pt idx="8">
                  <c:v>7</c:v>
                </c:pt>
                <c:pt idx="10">
                  <c:v>5</c:v>
                </c:pt>
                <c:pt idx="13">
                  <c:v>1</c:v>
                </c:pt>
                <c:pt idx="15">
                  <c:v>1</c:v>
                </c:pt>
                <c:pt idx="17">
                  <c:v>7</c:v>
                </c:pt>
                <c:pt idx="19">
                  <c:v>44</c:v>
                </c:pt>
                <c:pt idx="20">
                  <c:v>1</c:v>
                </c:pt>
                <c:pt idx="21">
                  <c:v>1</c:v>
                </c:pt>
                <c:pt idx="22">
                  <c:v>5</c:v>
                </c:pt>
                <c:pt idx="23">
                  <c:v>7</c:v>
                </c:pt>
                <c:pt idx="25">
                  <c:v>6</c:v>
                </c:pt>
                <c:pt idx="27">
                  <c:v>6</c:v>
                </c:pt>
                <c:pt idx="28">
                  <c:v>9</c:v>
                </c:pt>
                <c:pt idx="33">
                  <c:v>20</c:v>
                </c:pt>
                <c:pt idx="34">
                  <c:v>24</c:v>
                </c:pt>
                <c:pt idx="35">
                  <c:v>32</c:v>
                </c:pt>
                <c:pt idx="36">
                  <c:v>55</c:v>
                </c:pt>
                <c:pt idx="37">
                  <c:v>20</c:v>
                </c:pt>
                <c:pt idx="38">
                  <c:v>5</c:v>
                </c:pt>
                <c:pt idx="42">
                  <c:v>12</c:v>
                </c:pt>
                <c:pt idx="43">
                  <c:v>13</c:v>
                </c:pt>
                <c:pt idx="45">
                  <c:v>5</c:v>
                </c:pt>
                <c:pt idx="47">
                  <c:v>2</c:v>
                </c:pt>
                <c:pt idx="49">
                  <c:v>2</c:v>
                </c:pt>
                <c:pt idx="51">
                  <c:v>10</c:v>
                </c:pt>
                <c:pt idx="52">
                  <c:v>39</c:v>
                </c:pt>
                <c:pt idx="53">
                  <c:v>12</c:v>
                </c:pt>
                <c:pt idx="56">
                  <c:v>14</c:v>
                </c:pt>
                <c:pt idx="57">
                  <c:v>12</c:v>
                </c:pt>
                <c:pt idx="58">
                  <c:v>14</c:v>
                </c:pt>
                <c:pt idx="59">
                  <c:v>6</c:v>
                </c:pt>
                <c:pt idx="63">
                  <c:v>1</c:v>
                </c:pt>
                <c:pt idx="64">
                  <c:v>69</c:v>
                </c:pt>
                <c:pt idx="66">
                  <c:v>5</c:v>
                </c:pt>
                <c:pt idx="67">
                  <c:v>6</c:v>
                </c:pt>
                <c:pt idx="68">
                  <c:v>15</c:v>
                </c:pt>
                <c:pt idx="70">
                  <c:v>2</c:v>
                </c:pt>
                <c:pt idx="71">
                  <c:v>16</c:v>
                </c:pt>
                <c:pt idx="72">
                  <c:v>6</c:v>
                </c:pt>
                <c:pt idx="73">
                  <c:v>17</c:v>
                </c:pt>
                <c:pt idx="74">
                  <c:v>1</c:v>
                </c:pt>
                <c:pt idx="77">
                  <c:v>15</c:v>
                </c:pt>
                <c:pt idx="78">
                  <c:v>36</c:v>
                </c:pt>
                <c:pt idx="80">
                  <c:v>6</c:v>
                </c:pt>
                <c:pt idx="85">
                  <c:v>49</c:v>
                </c:pt>
                <c:pt idx="87">
                  <c:v>12</c:v>
                </c:pt>
                <c:pt idx="88">
                  <c:v>9</c:v>
                </c:pt>
                <c:pt idx="89">
                  <c:v>2</c:v>
                </c:pt>
                <c:pt idx="90">
                  <c:v>2</c:v>
                </c:pt>
                <c:pt idx="99">
                  <c:v>13</c:v>
                </c:pt>
                <c:pt idx="108">
                  <c:v>2</c:v>
                </c:pt>
              </c:numCache>
            </c:numRef>
          </c:yVal>
          <c:smooth val="0"/>
          <c:extLst>
            <c:ext xmlns:c16="http://schemas.microsoft.com/office/drawing/2014/chart" uri="{C3380CC4-5D6E-409C-BE32-E72D297353CC}">
              <c16:uniqueId val="{00000000-E606-4B7B-9A6A-5D1497822BAC}"/>
            </c:ext>
          </c:extLst>
        </c:ser>
        <c:dLbls>
          <c:showLegendKey val="0"/>
          <c:showVal val="0"/>
          <c:showCatName val="0"/>
          <c:showSerName val="0"/>
          <c:showPercent val="0"/>
          <c:showBubbleSize val="0"/>
        </c:dLbls>
        <c:axId val="206651856"/>
        <c:axId val="206662416"/>
      </c:scatterChart>
      <c:valAx>
        <c:axId val="20665185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662416"/>
        <c:crosses val="autoZero"/>
        <c:crossBetween val="midCat"/>
      </c:valAx>
      <c:valAx>
        <c:axId val="206662416"/>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No. of Review</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651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52029</xdr:rowOff>
    </xdr:from>
    <xdr:to>
      <xdr:col>5</xdr:col>
      <xdr:colOff>24581</xdr:colOff>
      <xdr:row>30</xdr:row>
      <xdr:rowOff>29906</xdr:rowOff>
    </xdr:to>
    <xdr:graphicFrame macro="">
      <xdr:nvGraphicFramePr>
        <xdr:cNvPr id="2" name="Chart 1">
          <a:extLst>
            <a:ext uri="{FF2B5EF4-FFF2-40B4-BE49-F238E27FC236}">
              <a16:creationId xmlns:a16="http://schemas.microsoft.com/office/drawing/2014/main" id="{1E03C2D3-0B08-F171-7835-B577144D6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49162</xdr:colOff>
      <xdr:row>15</xdr:row>
      <xdr:rowOff>62271</xdr:rowOff>
    </xdr:from>
    <xdr:to>
      <xdr:col>9</xdr:col>
      <xdr:colOff>237613</xdr:colOff>
      <xdr:row>30</xdr:row>
      <xdr:rowOff>40148</xdr:rowOff>
    </xdr:to>
    <xdr:graphicFrame macro="">
      <xdr:nvGraphicFramePr>
        <xdr:cNvPr id="3" name="Chart 2">
          <a:extLst>
            <a:ext uri="{FF2B5EF4-FFF2-40B4-BE49-F238E27FC236}">
              <a16:creationId xmlns:a16="http://schemas.microsoft.com/office/drawing/2014/main" id="{9A104C02-FC0C-8DFC-74F5-E335B0C37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213032</xdr:colOff>
      <xdr:row>30</xdr:row>
      <xdr:rowOff>92997</xdr:rowOff>
    </xdr:from>
    <xdr:to>
      <xdr:col>5</xdr:col>
      <xdr:colOff>237613</xdr:colOff>
      <xdr:row>45</xdr:row>
      <xdr:rowOff>70875</xdr:rowOff>
    </xdr:to>
    <xdr:graphicFrame macro="">
      <xdr:nvGraphicFramePr>
        <xdr:cNvPr id="4" name="Chart 3">
          <a:extLst>
            <a:ext uri="{FF2B5EF4-FFF2-40B4-BE49-F238E27FC236}">
              <a16:creationId xmlns:a16="http://schemas.microsoft.com/office/drawing/2014/main" id="{9844FB53-146D-72C9-4EDC-1524700ED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81935</xdr:colOff>
      <xdr:row>1</xdr:row>
      <xdr:rowOff>102419</xdr:rowOff>
    </xdr:from>
    <xdr:to>
      <xdr:col>2</xdr:col>
      <xdr:colOff>102419</xdr:colOff>
      <xdr:row>3</xdr:row>
      <xdr:rowOff>81937</xdr:rowOff>
    </xdr:to>
    <xdr:sp macro="" textlink="Excel_jumia!X2">
      <xdr:nvSpPr>
        <xdr:cNvPr id="5" name="Rectangle 4">
          <a:extLst>
            <a:ext uri="{FF2B5EF4-FFF2-40B4-BE49-F238E27FC236}">
              <a16:creationId xmlns:a16="http://schemas.microsoft.com/office/drawing/2014/main" id="{CE59A91D-2B05-6AC9-022A-50260BD770A5}"/>
            </a:ext>
          </a:extLst>
        </xdr:cNvPr>
        <xdr:cNvSpPr/>
      </xdr:nvSpPr>
      <xdr:spPr>
        <a:xfrm>
          <a:off x="81935" y="102419"/>
          <a:ext cx="1945968" cy="34822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B76B88D-D369-4C08-86EB-299EF6C7A8DC}" type="TxLink">
            <a:rPr lang="en-US" sz="1100" b="0" i="0" u="none" strike="noStrike">
              <a:solidFill>
                <a:srgbClr val="000000"/>
              </a:solidFill>
              <a:latin typeface="Calibri"/>
              <a:ea typeface="Calibri"/>
              <a:cs typeface="Calibri"/>
            </a:rPr>
            <a:t>109</a:t>
          </a:fld>
          <a:endParaRPr lang="en-US" sz="1100"/>
        </a:p>
      </xdr:txBody>
    </xdr:sp>
    <xdr:clientData/>
  </xdr:twoCellAnchor>
  <xdr:twoCellAnchor>
    <xdr:from>
      <xdr:col>3</xdr:col>
      <xdr:colOff>30727</xdr:colOff>
      <xdr:row>1</xdr:row>
      <xdr:rowOff>102420</xdr:rowOff>
    </xdr:from>
    <xdr:to>
      <xdr:col>4</xdr:col>
      <xdr:colOff>1259759</xdr:colOff>
      <xdr:row>3</xdr:row>
      <xdr:rowOff>133146</xdr:rowOff>
    </xdr:to>
    <xdr:sp macro="" textlink="Excel_jumia!S2">
      <xdr:nvSpPr>
        <xdr:cNvPr id="6" name="Rectangle 5">
          <a:extLst>
            <a:ext uri="{FF2B5EF4-FFF2-40B4-BE49-F238E27FC236}">
              <a16:creationId xmlns:a16="http://schemas.microsoft.com/office/drawing/2014/main" id="{F6D85656-3898-E0AF-C214-9CCB6DC159D7}"/>
            </a:ext>
          </a:extLst>
        </xdr:cNvPr>
        <xdr:cNvSpPr/>
      </xdr:nvSpPr>
      <xdr:spPr>
        <a:xfrm>
          <a:off x="2570727" y="102420"/>
          <a:ext cx="1843548" cy="39943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DFF610D-5619-4338-9247-28CF2C1D4339}" type="TxLink">
            <a:rPr lang="en-US" sz="1100" b="0" i="0" u="none" strike="noStrike">
              <a:solidFill>
                <a:srgbClr val="000000"/>
              </a:solidFill>
              <a:latin typeface="Calibri"/>
              <a:ea typeface="Calibri"/>
              <a:cs typeface="Calibri"/>
            </a:rPr>
            <a:t>3.889473684</a:t>
          </a:fld>
          <a:endParaRPr lang="en-US" sz="1100"/>
        </a:p>
      </xdr:txBody>
    </xdr:sp>
    <xdr:clientData/>
  </xdr:twoCellAnchor>
  <xdr:twoCellAnchor>
    <xdr:from>
      <xdr:col>5</xdr:col>
      <xdr:colOff>696451</xdr:colOff>
      <xdr:row>1</xdr:row>
      <xdr:rowOff>133146</xdr:rowOff>
    </xdr:from>
    <xdr:to>
      <xdr:col>8</xdr:col>
      <xdr:colOff>40966</xdr:colOff>
      <xdr:row>3</xdr:row>
      <xdr:rowOff>143388</xdr:rowOff>
    </xdr:to>
    <xdr:sp macro="" textlink="Excel_jumia!K2">
      <xdr:nvSpPr>
        <xdr:cNvPr id="7" name="Rectangle 6">
          <a:extLst>
            <a:ext uri="{FF2B5EF4-FFF2-40B4-BE49-F238E27FC236}">
              <a16:creationId xmlns:a16="http://schemas.microsoft.com/office/drawing/2014/main" id="{11D92CF6-C82D-FB28-9872-620086557ECD}"/>
            </a:ext>
          </a:extLst>
        </xdr:cNvPr>
        <xdr:cNvSpPr/>
      </xdr:nvSpPr>
      <xdr:spPr>
        <a:xfrm>
          <a:off x="5243870" y="133146"/>
          <a:ext cx="2283951" cy="3789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E0E5D6-53CF-408D-9EAF-DE800F50EA50}" type="TxLink">
            <a:rPr lang="en-US" sz="1100" b="0" i="0" u="none" strike="noStrike">
              <a:solidFill>
                <a:srgbClr val="000000"/>
              </a:solidFill>
              <a:latin typeface="Calibri"/>
              <a:ea typeface="Calibri"/>
              <a:cs typeface="Calibri"/>
            </a:rPr>
            <a:t>723</a:t>
          </a:fld>
          <a:endParaRPr lang="en-US" sz="1100"/>
        </a:p>
      </xdr:txBody>
    </xdr:sp>
    <xdr:clientData/>
  </xdr:twoCellAnchor>
  <xdr:twoCellAnchor editAs="oneCell">
    <xdr:from>
      <xdr:col>9</xdr:col>
      <xdr:colOff>493252</xdr:colOff>
      <xdr:row>13</xdr:row>
      <xdr:rowOff>38510</xdr:rowOff>
    </xdr:from>
    <xdr:to>
      <xdr:col>11</xdr:col>
      <xdr:colOff>232698</xdr:colOff>
      <xdr:row>26</xdr:row>
      <xdr:rowOff>166022</xdr:rowOff>
    </xdr:to>
    <mc:AlternateContent xmlns:mc="http://schemas.openxmlformats.org/markup-compatibility/2006">
      <mc:Choice xmlns:a14="http://schemas.microsoft.com/office/drawing/2010/main" Requires="a14">
        <xdr:graphicFrame macro="">
          <xdr:nvGraphicFramePr>
            <xdr:cNvPr id="8" name="Rating Category">
              <a:extLst>
                <a:ext uri="{FF2B5EF4-FFF2-40B4-BE49-F238E27FC236}">
                  <a16:creationId xmlns:a16="http://schemas.microsoft.com/office/drawing/2014/main" id="{623E9E8C-17B1-FF1E-A599-2E81198185BF}"/>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9936317" y="243512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713453</xdr:colOff>
      <xdr:row>31</xdr:row>
      <xdr:rowOff>94839</xdr:rowOff>
    </xdr:from>
    <xdr:to>
      <xdr:col>8</xdr:col>
      <xdr:colOff>749915</xdr:colOff>
      <xdr:row>45</xdr:row>
      <xdr:rowOff>37996</xdr:rowOff>
    </xdr:to>
    <mc:AlternateContent xmlns:mc="http://schemas.openxmlformats.org/markup-compatibility/2006">
      <mc:Choice xmlns:a14="http://schemas.microsoft.com/office/drawing/2010/main" Requires="a14">
        <xdr:graphicFrame macro="">
          <xdr:nvGraphicFramePr>
            <xdr:cNvPr id="9" name="Discount Category ">
              <a:extLst>
                <a:ext uri="{FF2B5EF4-FFF2-40B4-BE49-F238E27FC236}">
                  <a16:creationId xmlns:a16="http://schemas.microsoft.com/office/drawing/2014/main" id="{A9DEDF85-37FD-646E-376D-CFC38778EC60}"/>
                </a:ext>
              </a:extLst>
            </xdr:cNvPr>
            <xdr:cNvGraphicFramePr/>
          </xdr:nvGraphicFramePr>
          <xdr:xfrm>
            <a:off x="0" y="0"/>
            <a:ext cx="0" cy="0"/>
          </xdr:xfrm>
          <a:graphic>
            <a:graphicData uri="http://schemas.microsoft.com/office/drawing/2010/slicer">
              <sle:slicer xmlns:sle="http://schemas.microsoft.com/office/drawing/2010/slicer" name="Discount Category "/>
            </a:graphicData>
          </a:graphic>
        </xdr:graphicFrame>
      </mc:Choice>
      <mc:Fallback>
        <xdr:sp macro="" textlink="">
          <xdr:nvSpPr>
            <xdr:cNvPr id="0" name=""/>
            <xdr:cNvSpPr>
              <a:spLocks noTextEdit="1"/>
            </xdr:cNvSpPr>
          </xdr:nvSpPr>
          <xdr:spPr>
            <a:xfrm>
              <a:off x="7268292" y="580983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1234226</xdr:colOff>
      <xdr:row>110</xdr:row>
      <xdr:rowOff>134154</xdr:rowOff>
    </xdr:from>
    <xdr:to>
      <xdr:col>7</xdr:col>
      <xdr:colOff>697606</xdr:colOff>
      <xdr:row>129</xdr:row>
      <xdr:rowOff>115015</xdr:rowOff>
    </xdr:to>
    <xdr:graphicFrame macro="">
      <xdr:nvGraphicFramePr>
        <xdr:cNvPr id="2" name="Chart 1">
          <a:extLst>
            <a:ext uri="{FF2B5EF4-FFF2-40B4-BE49-F238E27FC236}">
              <a16:creationId xmlns:a16="http://schemas.microsoft.com/office/drawing/2014/main" id="{16ACA366-1FFE-5252-172B-D87501AD3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956077</xdr:colOff>
      <xdr:row>110</xdr:row>
      <xdr:rowOff>180124</xdr:rowOff>
    </xdr:from>
    <xdr:to>
      <xdr:col>13</xdr:col>
      <xdr:colOff>965915</xdr:colOff>
      <xdr:row>129</xdr:row>
      <xdr:rowOff>134154</xdr:rowOff>
    </xdr:to>
    <xdr:graphicFrame macro="">
      <xdr:nvGraphicFramePr>
        <xdr:cNvPr id="4" name="Chart 3">
          <a:extLst>
            <a:ext uri="{FF2B5EF4-FFF2-40B4-BE49-F238E27FC236}">
              <a16:creationId xmlns:a16="http://schemas.microsoft.com/office/drawing/2014/main" id="{C6093D5F-8FF4-2A92-9942-4C61C4E42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leny" refreshedDate="46053.597512037035" createdVersion="8" refreshedVersion="8" minRefreshableVersion="3" recordCount="109" xr:uid="{B3C4964D-DAB3-417E-A263-421C4E3B903F}">
  <cacheSource type="worksheet">
    <worksheetSource name="Excel_jumia"/>
  </cacheSource>
  <cacheFields count="22">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acheField>
    <cacheField name="old price" numFmtId="0">
      <sharedItems/>
    </cacheField>
    <cacheField name="Discount" numFmtId="0">
      <sharedItems containsSemiMixedTypes="0" containsString="0" containsNumber="1" minValue="0.01" maxValue="0.64"/>
    </cacheField>
    <cacheField name="Review" numFmtId="0">
      <sharedItems containsString="0" containsBlank="1" containsNumber="1" containsInteger="1" minValue="-69" maxValue="-1"/>
    </cacheField>
    <cacheField name="Ratingd" numFmtId="0">
      <sharedItems/>
    </cacheField>
    <cacheField name="Final Cleaned Price" numFmtId="0">
      <sharedItems containsString="0" containsBlank="1" containsNumber="1" containsInteger="1" minValue="38" maxValue="3750"/>
    </cacheField>
    <cacheField name="Discount Cleaned" numFmtId="0">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atings Cleaned " numFmtId="0">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Positive Review" numFmtId="0">
      <sharedItems containsString="0" containsBlank="1" containsNumber="1" containsInteger="1" minValue="1" maxValue="69"/>
    </cacheField>
    <cacheField name="Old Price Cleaned" numFmtId="0">
      <sharedItems containsString="0" containsBlank="1" containsNumber="1" containsInteger="1" minValue="80" maxValue="6143"/>
    </cacheField>
    <cacheField name="Rating Category" numFmtId="0">
      <sharedItems containsBlank="1" count="4">
        <s v="Excellent"/>
        <s v="Average"/>
        <m/>
        <s v="Poor"/>
      </sharedItems>
    </cacheField>
    <cacheField name="Discount Category " numFmtId="0">
      <sharedItems count="3">
        <s v="Medium Discount"/>
        <s v="High Discount"/>
        <s v="Low Discount"/>
      </sharedItems>
    </cacheField>
    <cacheField name="Discount Amount" numFmtId="164">
      <sharedItems containsSemiMixedTypes="0" containsString="0" containsNumber="1" containsInteger="1" minValue="0" maxValue="2585" count="100">
        <n v="575"/>
        <n v="472"/>
        <n v="724"/>
        <n v="919"/>
        <n v="616"/>
        <n v="291"/>
        <n v="713"/>
        <n v="592"/>
        <n v="1526"/>
        <n v="1329"/>
        <n v="200"/>
        <n v="510"/>
        <n v="483"/>
        <n v="359"/>
        <n v="819"/>
        <n v="352"/>
        <n v="165"/>
        <n v="1946"/>
        <n v="700"/>
        <n v="968"/>
        <n v="42"/>
        <n v="1360"/>
        <n v="470"/>
        <n v="500"/>
        <n v="2452"/>
        <n v="227"/>
        <n v="640"/>
        <n v="741"/>
        <n v="1880"/>
        <n v="197"/>
        <n v="1670"/>
        <n v="710"/>
        <n v="719"/>
        <n v="1070"/>
        <n v="189"/>
        <n v="267"/>
        <n v="0"/>
        <n v="1721"/>
        <n v="456"/>
        <n v="238"/>
        <n v="450"/>
        <n v="37"/>
        <n v="1001"/>
        <n v="595"/>
        <n v="645"/>
        <n v="750"/>
        <n v="305"/>
        <n v="301"/>
        <n v="39"/>
        <n v="85"/>
        <n v="40"/>
        <n v="544"/>
        <n v="401"/>
        <n v="644"/>
        <n v="768"/>
        <n v="1011"/>
        <n v="330"/>
        <n v="528"/>
        <n v="2585"/>
        <n v="428"/>
        <n v="355"/>
        <n v="335"/>
        <n v="824"/>
        <n v="1000"/>
        <n v="2393"/>
        <n v="318"/>
        <n v="940"/>
        <n v="257"/>
        <n v="390"/>
        <n v="846"/>
        <n v="1418"/>
        <n v="695"/>
        <n v="67"/>
        <n v="220"/>
        <n v="1010"/>
        <n v="941"/>
        <n v="830"/>
        <n v="33"/>
        <n v="317"/>
        <n v="233"/>
        <n v="263"/>
        <n v="101"/>
        <n v="231"/>
        <n v="850"/>
        <n v="1200"/>
        <n v="95"/>
        <n v="800"/>
        <n v="134"/>
        <n v="153"/>
        <n v="504"/>
        <n v="794"/>
        <n v="948"/>
        <n v="24"/>
        <n v="62"/>
        <n v="587"/>
        <n v="620"/>
        <n v="41"/>
        <n v="31"/>
        <n v="354"/>
        <n v="151"/>
      </sharedItems>
    </cacheField>
    <cacheField name="Average Cleaned Price" numFmtId="0">
      <sharedItems containsSemiMixedTypes="0" containsString="0" containsNumber="1" minValue="1202.7777777777778" maxValue="1202.7777777777778"/>
    </cacheField>
    <cacheField name="Average Old price cleaned" numFmtId="0">
      <sharedItems containsSemiMixedTypes="0" containsString="0" containsNumber="1" minValue="1829.7685185185185" maxValue="1829.7685185185185"/>
    </cacheField>
    <cacheField name="Average Discount" numFmtId="0">
      <sharedItems containsSemiMixedTypes="0" containsString="0" containsNumber="1" minValue="621.2385321100918" maxValue="621.2385321100918"/>
    </cacheField>
    <cacheField name="Avarage Rating" numFmtId="0">
      <sharedItems containsSemiMixedTypes="0" containsString="0" containsNumber="1" minValue="3.8894736842105258" maxValue="3.8894736842105258"/>
    </cacheField>
    <cacheField name="Most Expensive Product" numFmtId="0">
      <sharedItems containsSemiMixedTypes="0" containsString="0" containsNumber="1" containsInteger="1" minValue="3750" maxValue="3750"/>
    </cacheField>
    <cacheField name="Least Expensive Product" numFmtId="0">
      <sharedItems containsSemiMixedTypes="0" containsString="0" containsNumber="1" containsInteger="1" minValue="38" maxValue="38"/>
    </cacheField>
    <cacheField name="Expensive Product Name" numFmtId="0">
      <sharedItems/>
    </cacheField>
    <cacheField name="Less Expensive Product" numFmtId="0">
      <sharedItems/>
    </cacheField>
  </cacheFields>
  <extLst>
    <ext xmlns:x14="http://schemas.microsoft.com/office/spreadsheetml/2009/9/main" uri="{725AE2AE-9491-48be-B2B4-4EB974FC3084}">
      <x14:pivotCacheDefinition pivotCacheId="1860770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s v="KSh 950"/>
    <s v="KSh 1,525"/>
    <n v="0.38"/>
    <n v="-2"/>
    <s v="4.5 out of 5"/>
    <n v="950"/>
    <x v="0"/>
    <x v="0"/>
    <n v="2"/>
    <n v="1525"/>
    <x v="0"/>
    <x v="0"/>
    <x v="0"/>
    <n v="1202.7777777777778"/>
    <n v="1829.7685185185185"/>
    <n v="621.2385321100918"/>
    <n v="3.8894736842105258"/>
    <n v="3750"/>
    <n v="38"/>
    <s v="32PCS Portable Cordless Drill Set With Cyclic Battery Drive -26 Variable Speed"/>
    <s v="3PCS Single Head Knitting Crochet Sweater Needle Set"/>
  </r>
  <r>
    <x v="1"/>
    <s v="KSh 527"/>
    <s v="KSh 999"/>
    <n v="0.47"/>
    <n v="-14"/>
    <s v="4.1 out of 5"/>
    <n v="527"/>
    <x v="1"/>
    <x v="1"/>
    <n v="14"/>
    <n v="999"/>
    <x v="1"/>
    <x v="1"/>
    <x v="1"/>
    <n v="1202.7777777777778"/>
    <n v="1829.7685185185185"/>
    <n v="621.2385321100918"/>
    <n v="3.8894736842105258"/>
    <n v="3750"/>
    <n v="38"/>
    <s v="32PCS Portable Cordless Drill Set With Cyclic Battery Drive -26 Variable Speed"/>
    <s v="3PCS Single Head Knitting Crochet Sweater Needle Set"/>
  </r>
  <r>
    <x v="2"/>
    <s v="KSh 2199"/>
    <s v="KSh 2,923"/>
    <n v="0.25"/>
    <n v="-24"/>
    <s v="4.6 out of 5"/>
    <n v="2199"/>
    <x v="2"/>
    <x v="2"/>
    <n v="24"/>
    <n v="2923"/>
    <x v="0"/>
    <x v="0"/>
    <x v="2"/>
    <n v="1202.7777777777778"/>
    <n v="1829.7685185185185"/>
    <n v="621.2385321100918"/>
    <n v="3.8894736842105258"/>
    <n v="3750"/>
    <n v="38"/>
    <s v="32PCS Portable Cordless Drill Set With Cyclic Battery Drive -26 Variable Speed"/>
    <s v="3PCS Single Head Knitting Crochet Sweater Needle Set"/>
  </r>
  <r>
    <x v="3"/>
    <s v="KSh 1580"/>
    <s v="KSh 2,499"/>
    <n v="0.37"/>
    <n v="-7"/>
    <s v="4.7 out of 5"/>
    <n v="1580"/>
    <x v="3"/>
    <x v="3"/>
    <n v="7"/>
    <n v="2499"/>
    <x v="0"/>
    <x v="0"/>
    <x v="3"/>
    <n v="1202.7777777777778"/>
    <n v="1829.7685185185185"/>
    <n v="621.2385321100918"/>
    <n v="3.8894736842105258"/>
    <n v="3750"/>
    <n v="38"/>
    <s v="32PCS Portable Cordless Drill Set With Cyclic Battery Drive -26 Variable Speed"/>
    <s v="3PCS Single Head Knitting Crochet Sweater Needle Set"/>
  </r>
  <r>
    <x v="4"/>
    <s v="KSh 1740"/>
    <s v="KSh 2,356"/>
    <n v="0.26"/>
    <n v="-5"/>
    <s v="4.8 out of 5"/>
    <n v="1740"/>
    <x v="4"/>
    <x v="4"/>
    <n v="5"/>
    <n v="2356"/>
    <x v="0"/>
    <x v="0"/>
    <x v="4"/>
    <n v="1202.7777777777778"/>
    <n v="1829.7685185185185"/>
    <n v="621.2385321100918"/>
    <n v="3.8894736842105258"/>
    <n v="3750"/>
    <n v="38"/>
    <s v="32PCS Portable Cordless Drill Set With Cyclic Battery Drive -26 Variable Speed"/>
    <s v="3PCS Single Head Knitting Crochet Sweater Needle Set"/>
  </r>
  <r>
    <x v="5"/>
    <s v="KSh 2999"/>
    <s v="KSh 3,290"/>
    <n v="0.09"/>
    <n v="-15"/>
    <s v="4 out of 5"/>
    <n v="2999"/>
    <x v="5"/>
    <x v="5"/>
    <n v="15"/>
    <n v="3290"/>
    <x v="1"/>
    <x v="2"/>
    <x v="5"/>
    <n v="1202.7777777777778"/>
    <n v="1829.7685185185185"/>
    <n v="621.2385321100918"/>
    <n v="3.8894736842105258"/>
    <n v="3750"/>
    <n v="38"/>
    <s v="32PCS Portable Cordless Drill Set With Cyclic Battery Drive -26 Variable Speed"/>
    <s v="3PCS Single Head Knitting Crochet Sweater Needle Set"/>
  </r>
  <r>
    <x v="6"/>
    <s v="KSh 2319"/>
    <s v="KSh 3,032"/>
    <n v="0.24"/>
    <n v="-55"/>
    <s v="4.6 out of 5"/>
    <n v="2319"/>
    <x v="6"/>
    <x v="2"/>
    <n v="55"/>
    <n v="3032"/>
    <x v="0"/>
    <x v="0"/>
    <x v="6"/>
    <n v="1202.7777777777778"/>
    <n v="1829.7685185185185"/>
    <n v="621.2385321100918"/>
    <n v="3.8894736842105258"/>
    <n v="3750"/>
    <n v="38"/>
    <s v="32PCS Portable Cordless Drill Set With Cyclic Battery Drive -26 Variable Speed"/>
    <s v="3PCS Single Head Knitting Crochet Sweater Needle Set"/>
  </r>
  <r>
    <x v="7"/>
    <s v="KSh 988"/>
    <s v="KSh 1,580"/>
    <n v="0.37"/>
    <n v="-2"/>
    <s v="4 out of 5"/>
    <n v="988"/>
    <x v="3"/>
    <x v="5"/>
    <n v="2"/>
    <n v="1580"/>
    <x v="1"/>
    <x v="0"/>
    <x v="7"/>
    <n v="1202.7777777777778"/>
    <n v="1829.7685185185185"/>
    <n v="621.2385321100918"/>
    <n v="3.8894736842105258"/>
    <n v="3750"/>
    <n v="38"/>
    <s v="32PCS Portable Cordless Drill Set With Cyclic Battery Drive -26 Variable Speed"/>
    <s v="3PCS Single Head Knitting Crochet Sweater Needle Set"/>
  </r>
  <r>
    <x v="8"/>
    <s v="KSh 1274"/>
    <s v="KSh 2,800"/>
    <n v="0.55000000000000004"/>
    <n v="-5"/>
    <s v="4.8 out of 5"/>
    <n v="1274"/>
    <x v="7"/>
    <x v="4"/>
    <n v="5"/>
    <n v="2800"/>
    <x v="0"/>
    <x v="1"/>
    <x v="8"/>
    <n v="1202.7777777777778"/>
    <n v="1829.7685185185185"/>
    <n v="621.2385321100918"/>
    <n v="3.8894736842105258"/>
    <n v="3750"/>
    <n v="38"/>
    <s v="32PCS Portable Cordless Drill Set With Cyclic Battery Drive -26 Variable Speed"/>
    <s v="3PCS Single Head Knitting Crochet Sweater Needle Set"/>
  </r>
  <r>
    <x v="9"/>
    <s v="KSh 1600"/>
    <s v="KSh 2,929"/>
    <n v="0.45"/>
    <n v="-5"/>
    <s v="3.8 out of 5"/>
    <n v="1600"/>
    <x v="8"/>
    <x v="6"/>
    <n v="5"/>
    <n v="2929"/>
    <x v="1"/>
    <x v="1"/>
    <x v="9"/>
    <n v="1202.7777777777778"/>
    <n v="1829.7685185185185"/>
    <n v="621.2385321100918"/>
    <n v="3.8894736842105258"/>
    <n v="3750"/>
    <n v="38"/>
    <s v="32PCS Portable Cordless Drill Set With Cyclic Battery Drive -26 Variable Speed"/>
    <s v="3PCS Single Head Knitting Crochet Sweater Needle Set"/>
  </r>
  <r>
    <x v="10"/>
    <s v="KSh 799"/>
    <s v="KSh 999"/>
    <n v="0.2"/>
    <n v="-12"/>
    <s v="4.1 out of 5"/>
    <n v="799"/>
    <x v="9"/>
    <x v="1"/>
    <n v="12"/>
    <n v="999"/>
    <x v="1"/>
    <x v="0"/>
    <x v="10"/>
    <n v="1202.7777777777778"/>
    <n v="1829.7685185185185"/>
    <n v="621.2385321100918"/>
    <n v="3.8894736842105258"/>
    <n v="3750"/>
    <n v="38"/>
    <s v="32PCS Portable Cordless Drill Set With Cyclic Battery Drive -26 Variable Speed"/>
    <s v="3PCS Single Head Knitting Crochet Sweater Needle Set"/>
  </r>
  <r>
    <x v="11"/>
    <s v="KSh 990"/>
    <s v="KSh 1,500"/>
    <n v="0.34"/>
    <n v="-39"/>
    <s v="4.7 out of 5"/>
    <n v="990"/>
    <x v="10"/>
    <x v="3"/>
    <n v="39"/>
    <n v="1500"/>
    <x v="0"/>
    <x v="0"/>
    <x v="11"/>
    <n v="1202.7777777777778"/>
    <n v="1829.7685185185185"/>
    <n v="621.2385321100918"/>
    <n v="3.8894736842105258"/>
    <n v="3750"/>
    <n v="38"/>
    <s v="32PCS Portable Cordless Drill Set With Cyclic Battery Drive -26 Variable Speed"/>
    <s v="3PCS Single Head Knitting Crochet Sweater Needle Set"/>
  </r>
  <r>
    <x v="12"/>
    <s v="KSh 552"/>
    <s v="KSh 1,035"/>
    <n v="0.47"/>
    <n v="-12"/>
    <s v="4.8 out of 5"/>
    <n v="552"/>
    <x v="1"/>
    <x v="4"/>
    <n v="12"/>
    <n v="1035"/>
    <x v="0"/>
    <x v="1"/>
    <x v="12"/>
    <n v="1202.7777777777778"/>
    <n v="1829.7685185185185"/>
    <n v="621.2385321100918"/>
    <n v="3.8894736842105258"/>
    <n v="3750"/>
    <n v="38"/>
    <s v="32PCS Portable Cordless Drill Set With Cyclic Battery Drive -26 Variable Speed"/>
    <s v="3PCS Single Head Knitting Crochet Sweater Needle Set"/>
  </r>
  <r>
    <x v="13"/>
    <s v="KSh 501"/>
    <s v="KSh 860"/>
    <n v="0.42"/>
    <n v="-6"/>
    <s v="4.5 out of 5"/>
    <n v="501"/>
    <x v="11"/>
    <x v="0"/>
    <n v="6"/>
    <n v="860"/>
    <x v="0"/>
    <x v="1"/>
    <x v="13"/>
    <n v="1202.7777777777778"/>
    <n v="1829.7685185185185"/>
    <n v="621.2385321100918"/>
    <n v="3.8894736842105258"/>
    <n v="3750"/>
    <n v="38"/>
    <s v="32PCS Portable Cordless Drill Set With Cyclic Battery Drive -26 Variable Speed"/>
    <s v="3PCS Single Head Knitting Crochet Sweater Needle Set"/>
  </r>
  <r>
    <x v="14"/>
    <s v="KSh 1680"/>
    <s v="KSh 2,499"/>
    <n v="0.33"/>
    <n v="-9"/>
    <s v="4.2 out of 5"/>
    <n v="1680"/>
    <x v="12"/>
    <x v="7"/>
    <n v="9"/>
    <n v="2499"/>
    <x v="1"/>
    <x v="0"/>
    <x v="14"/>
    <n v="1202.7777777777778"/>
    <n v="1829.7685185185185"/>
    <n v="621.2385321100918"/>
    <n v="3.8894736842105258"/>
    <n v="3750"/>
    <n v="38"/>
    <s v="32PCS Portable Cordless Drill Set With Cyclic Battery Drive -26 Variable Speed"/>
    <s v="3PCS Single Head Knitting Crochet Sweater Needle Set"/>
  </r>
  <r>
    <x v="15"/>
    <s v="KSh 332"/>
    <s v="KSh 684"/>
    <n v="0.51"/>
    <n v="-2"/>
    <s v="5 out of 5"/>
    <n v="332"/>
    <x v="13"/>
    <x v="8"/>
    <n v="2"/>
    <n v="684"/>
    <x v="0"/>
    <x v="1"/>
    <x v="15"/>
    <n v="1202.7777777777778"/>
    <n v="1829.7685185185185"/>
    <n v="621.2385321100918"/>
    <n v="3.8894736842105258"/>
    <n v="3750"/>
    <n v="38"/>
    <s v="32PCS Portable Cordless Drill Set With Cyclic Battery Drive -26 Variable Speed"/>
    <s v="3PCS Single Head Knitting Crochet Sweater Needle Set"/>
  </r>
  <r>
    <x v="16"/>
    <s v="KSh 195"/>
    <s v="KSh 360"/>
    <n v="0.46"/>
    <n v="-2"/>
    <s v="5 out of 5"/>
    <n v="195"/>
    <x v="14"/>
    <x v="8"/>
    <n v="2"/>
    <n v="360"/>
    <x v="0"/>
    <x v="1"/>
    <x v="16"/>
    <n v="1202.7777777777778"/>
    <n v="1829.7685185185185"/>
    <n v="621.2385321100918"/>
    <n v="3.8894736842105258"/>
    <n v="3750"/>
    <n v="38"/>
    <s v="32PCS Portable Cordless Drill Set With Cyclic Battery Drive -26 Variable Speed"/>
    <s v="3PCS Single Head Knitting Crochet Sweater Needle Set"/>
  </r>
  <r>
    <x v="17"/>
    <s v="KSh 2025"/>
    <s v="KSh 3,971"/>
    <n v="0.49"/>
    <n v="-3"/>
    <s v="5 out of 5"/>
    <n v="2025"/>
    <x v="15"/>
    <x v="8"/>
    <n v="3"/>
    <n v="3971"/>
    <x v="0"/>
    <x v="1"/>
    <x v="17"/>
    <n v="1202.7777777777778"/>
    <n v="1829.7685185185185"/>
    <n v="621.2385321100918"/>
    <n v="3.8894736842105258"/>
    <n v="3750"/>
    <n v="38"/>
    <s v="32PCS Portable Cordless Drill Set With Cyclic Battery Drive -26 Variable Speed"/>
    <s v="3PCS Single Head Knitting Crochet Sweater Needle Set"/>
  </r>
  <r>
    <x v="18"/>
    <s v="KSh 2999"/>
    <s v="KSh 3,699"/>
    <n v="0.19"/>
    <n v="-5"/>
    <s v="4.6 out of 5"/>
    <n v="2999"/>
    <x v="16"/>
    <x v="2"/>
    <n v="5"/>
    <n v="3699"/>
    <x v="0"/>
    <x v="2"/>
    <x v="18"/>
    <n v="1202.7777777777778"/>
    <n v="1829.7685185185185"/>
    <n v="621.2385321100918"/>
    <n v="3.8894736842105258"/>
    <n v="3750"/>
    <n v="38"/>
    <s v="32PCS Portable Cordless Drill Set With Cyclic Battery Drive -26 Variable Speed"/>
    <s v="3PCS Single Head Knitting Crochet Sweater Needle Set"/>
  </r>
  <r>
    <x v="19"/>
    <s v="KSh 998"/>
    <s v="KSh 1,966"/>
    <n v="0.49"/>
    <n v="-44"/>
    <s v="4.6 out of 5"/>
    <n v="998"/>
    <x v="15"/>
    <x v="2"/>
    <n v="44"/>
    <n v="1966"/>
    <x v="0"/>
    <x v="1"/>
    <x v="19"/>
    <n v="1202.7777777777778"/>
    <n v="1829.7685185185185"/>
    <n v="621.2385321100918"/>
    <n v="3.8894736842105258"/>
    <n v="3750"/>
    <n v="38"/>
    <s v="32PCS Portable Cordless Drill Set With Cyclic Battery Drive -26 Variable Speed"/>
    <s v="3PCS Single Head Knitting Crochet Sweater Needle Set"/>
  </r>
  <r>
    <x v="20"/>
    <s v="KSh 38"/>
    <s v="KSh 80"/>
    <n v="0.53"/>
    <n v="-13"/>
    <s v="3.3 out of 5"/>
    <n v="38"/>
    <x v="17"/>
    <x v="9"/>
    <n v="13"/>
    <n v="80"/>
    <x v="1"/>
    <x v="1"/>
    <x v="20"/>
    <n v="1202.7777777777778"/>
    <n v="1829.7685185185185"/>
    <n v="621.2385321100918"/>
    <n v="3.8894736842105258"/>
    <n v="3750"/>
    <n v="38"/>
    <s v="32PCS Portable Cordless Drill Set With Cyclic Battery Drive -26 Variable Speed"/>
    <s v="3PCS Single Head Knitting Crochet Sweater Needle Set"/>
  </r>
  <r>
    <x v="21"/>
    <s v="KSh 1860"/>
    <s v="KSh 3,220"/>
    <n v="0.42"/>
    <m/>
    <s v=""/>
    <n v="1860"/>
    <x v="11"/>
    <x v="10"/>
    <m/>
    <n v="3220"/>
    <x v="2"/>
    <x v="1"/>
    <x v="21"/>
    <n v="1202.7777777777778"/>
    <n v="1829.7685185185185"/>
    <n v="621.2385321100918"/>
    <n v="3.8894736842105258"/>
    <n v="3750"/>
    <n v="38"/>
    <s v="32PCS Portable Cordless Drill Set With Cyclic Battery Drive -26 Variable Speed"/>
    <s v="3PCS Single Head Knitting Crochet Sweater Needle Set"/>
  </r>
  <r>
    <x v="22"/>
    <s v="KSh 880"/>
    <s v="KSh 1,350"/>
    <n v="0.35"/>
    <n v="-6"/>
    <s v="4 out of 5"/>
    <n v="880"/>
    <x v="18"/>
    <x v="5"/>
    <n v="6"/>
    <n v="1350"/>
    <x v="1"/>
    <x v="0"/>
    <x v="22"/>
    <n v="1202.7777777777778"/>
    <n v="1829.7685185185185"/>
    <n v="621.2385321100918"/>
    <n v="3.8894736842105258"/>
    <n v="3750"/>
    <n v="38"/>
    <s v="32PCS Portable Cordless Drill Set With Cyclic Battery Drive -26 Variable Speed"/>
    <s v="3PCS Single Head Knitting Crochet Sweater Needle Set"/>
  </r>
  <r>
    <x v="23"/>
    <s v="KSh 1650"/>
    <s v="KSh 2,150"/>
    <n v="0.23"/>
    <n v="-14"/>
    <s v="4.4 out of 5"/>
    <n v="1650"/>
    <x v="19"/>
    <x v="11"/>
    <n v="14"/>
    <n v="2150"/>
    <x v="1"/>
    <x v="0"/>
    <x v="23"/>
    <n v="1202.7777777777778"/>
    <n v="1829.7685185185185"/>
    <n v="621.2385321100918"/>
    <n v="3.8894736842105258"/>
    <n v="3750"/>
    <n v="38"/>
    <s v="32PCS Portable Cordless Drill Set With Cyclic Battery Drive -26 Variable Speed"/>
    <s v="3PCS Single Head Knitting Crochet Sweater Needle Set"/>
  </r>
  <r>
    <x v="24"/>
    <s v="KSh 2048"/>
    <s v="KSh 4,500"/>
    <n v="0.54"/>
    <n v="-7"/>
    <s v="4.3 out of 5"/>
    <n v="2048"/>
    <x v="20"/>
    <x v="12"/>
    <n v="7"/>
    <n v="4500"/>
    <x v="1"/>
    <x v="1"/>
    <x v="24"/>
    <n v="1202.7777777777778"/>
    <n v="1829.7685185185185"/>
    <n v="621.2385321100918"/>
    <n v="3.8894736842105258"/>
    <n v="3750"/>
    <n v="38"/>
    <s v="32PCS Portable Cordless Drill Set With Cyclic Battery Drive -26 Variable Speed"/>
    <s v="3PCS Single Head Knitting Crochet Sweater Needle Set"/>
  </r>
  <r>
    <x v="25"/>
    <s v="KSh 420"/>
    <s v="KSh 647"/>
    <n v="0.35"/>
    <n v="-49"/>
    <s v="4.6 out of 5"/>
    <n v="420"/>
    <x v="18"/>
    <x v="2"/>
    <n v="49"/>
    <n v="647"/>
    <x v="0"/>
    <x v="0"/>
    <x v="25"/>
    <n v="1202.7777777777778"/>
    <n v="1829.7685185185185"/>
    <n v="621.2385321100918"/>
    <n v="3.8894736842105258"/>
    <n v="3750"/>
    <n v="38"/>
    <s v="32PCS Portable Cordless Drill Set With Cyclic Battery Drive -26 Variable Speed"/>
    <s v="3PCS Single Head Knitting Crochet Sweater Needle Set"/>
  </r>
  <r>
    <x v="26"/>
    <s v="KSh 2880"/>
    <s v="KSh 3,520"/>
    <n v="0.18"/>
    <n v="-12"/>
    <s v="3.8 out of 5"/>
    <n v="2880"/>
    <x v="21"/>
    <x v="6"/>
    <n v="12"/>
    <n v="3520"/>
    <x v="1"/>
    <x v="2"/>
    <x v="26"/>
    <n v="1202.7777777777778"/>
    <n v="1829.7685185185185"/>
    <n v="621.2385321100918"/>
    <n v="3.8894736842105258"/>
    <n v="3750"/>
    <n v="38"/>
    <s v="32PCS Portable Cordless Drill Set With Cyclic Battery Drive -26 Variable Speed"/>
    <s v="3PCS Single Head Knitting Crochet Sweater Needle Set"/>
  </r>
  <r>
    <x v="27"/>
    <s v="KSh 1350"/>
    <s v="KSh 1,990"/>
    <n v="0.32"/>
    <n v="-13"/>
    <s v="3.8 out of 5"/>
    <n v="1350"/>
    <x v="22"/>
    <x v="6"/>
    <n v="13"/>
    <n v="1990"/>
    <x v="1"/>
    <x v="0"/>
    <x v="26"/>
    <n v="1202.7777777777778"/>
    <n v="1829.7685185185185"/>
    <n v="621.2385321100918"/>
    <n v="3.8894736842105258"/>
    <n v="3750"/>
    <n v="38"/>
    <s v="32PCS Portable Cordless Drill Set With Cyclic Battery Drive -26 Variable Speed"/>
    <s v="3PCS Single Head Knitting Crochet Sweater Needle Set"/>
  </r>
  <r>
    <x v="28"/>
    <s v="KSh 1758"/>
    <s v="KSh 2,499"/>
    <n v="0.3"/>
    <n v="-20"/>
    <s v="4.1 out of 5"/>
    <n v="1758"/>
    <x v="23"/>
    <x v="1"/>
    <n v="20"/>
    <n v="2499"/>
    <x v="1"/>
    <x v="0"/>
    <x v="27"/>
    <n v="1202.7777777777778"/>
    <n v="1829.7685185185185"/>
    <n v="621.2385321100918"/>
    <n v="3.8894736842105258"/>
    <n v="3750"/>
    <n v="38"/>
    <s v="32PCS Portable Cordless Drill Set With Cyclic Battery Drive -26 Variable Speed"/>
    <s v="3PCS Single Head Knitting Crochet Sweater Needle Set"/>
  </r>
  <r>
    <x v="29"/>
    <s v="KSh 2200"/>
    <s v="KSh 4,080"/>
    <n v="0.46"/>
    <m/>
    <s v=""/>
    <n v="2200"/>
    <x v="14"/>
    <x v="10"/>
    <m/>
    <n v="4080"/>
    <x v="2"/>
    <x v="1"/>
    <x v="28"/>
    <n v="1202.7777777777778"/>
    <n v="1829.7685185185185"/>
    <n v="621.2385321100918"/>
    <n v="3.8894736842105258"/>
    <n v="3750"/>
    <n v="38"/>
    <s v="32PCS Portable Cordless Drill Set With Cyclic Battery Drive -26 Variable Speed"/>
    <s v="3PCS Single Head Knitting Crochet Sweater Needle Set"/>
  </r>
  <r>
    <x v="30"/>
    <s v="KSh 185"/>
    <s v="KSh 382"/>
    <n v="0.52"/>
    <n v="-9"/>
    <s v="4.3 out of 5"/>
    <n v="185"/>
    <x v="24"/>
    <x v="12"/>
    <n v="9"/>
    <n v="382"/>
    <x v="1"/>
    <x v="1"/>
    <x v="29"/>
    <n v="1202.7777777777778"/>
    <n v="1829.7685185185185"/>
    <n v="621.2385321100918"/>
    <n v="3.8894736842105258"/>
    <n v="3750"/>
    <n v="38"/>
    <s v="32PCS Portable Cordless Drill Set With Cyclic Battery Drive -26 Variable Speed"/>
    <s v="3PCS Single Head Knitting Crochet Sweater Needle Set"/>
  </r>
  <r>
    <x v="31"/>
    <s v="KSh 980"/>
    <s v="KSh 1,490"/>
    <n v="0.34"/>
    <n v="-12"/>
    <s v="4.7 out of 5"/>
    <n v="980"/>
    <x v="10"/>
    <x v="3"/>
    <n v="12"/>
    <n v="1490"/>
    <x v="0"/>
    <x v="0"/>
    <x v="11"/>
    <n v="1202.7777777777778"/>
    <n v="1829.7685185185185"/>
    <n v="621.2385321100918"/>
    <n v="3.8894736842105258"/>
    <n v="3750"/>
    <n v="38"/>
    <s v="32PCS Portable Cordless Drill Set With Cyclic Battery Drive -26 Variable Speed"/>
    <s v="3PCS Single Head Knitting Crochet Sweater Needle Set"/>
  </r>
  <r>
    <x v="32"/>
    <s v="KSh 1820"/>
    <s v="KSh 3,490"/>
    <n v="0.48"/>
    <n v="-9"/>
    <s v="4.3 out of 5"/>
    <n v="1820"/>
    <x v="25"/>
    <x v="12"/>
    <n v="9"/>
    <n v="3490"/>
    <x v="1"/>
    <x v="1"/>
    <x v="30"/>
    <n v="1202.7777777777778"/>
    <n v="1829.7685185185185"/>
    <n v="621.2385321100918"/>
    <n v="3.8894736842105258"/>
    <n v="3750"/>
    <n v="38"/>
    <s v="32PCS Portable Cordless Drill Set With Cyclic Battery Drive -26 Variable Speed"/>
    <s v="3PCS Single Head Knitting Crochet Sweater Needle Set"/>
  </r>
  <r>
    <x v="33"/>
    <s v="KSh 1940"/>
    <s v="KSh 2,650"/>
    <n v="0.27"/>
    <n v="-20"/>
    <s v="4.7 out of 5"/>
    <n v="1940"/>
    <x v="26"/>
    <x v="3"/>
    <n v="20"/>
    <n v="2650"/>
    <x v="0"/>
    <x v="0"/>
    <x v="31"/>
    <n v="1202.7777777777778"/>
    <n v="1829.7685185185185"/>
    <n v="621.2385321100918"/>
    <n v="3.8894736842105258"/>
    <n v="3750"/>
    <n v="38"/>
    <s v="32PCS Portable Cordless Drill Set With Cyclic Battery Drive -26 Variable Speed"/>
    <s v="3PCS Single Head Knitting Crochet Sweater Needle Set"/>
  </r>
  <r>
    <x v="34"/>
    <s v="KSh 1980"/>
    <s v="KSh 2,699"/>
    <n v="0.27"/>
    <n v="-32"/>
    <s v="4.5 out of 5"/>
    <n v="1980"/>
    <x v="26"/>
    <x v="0"/>
    <n v="32"/>
    <n v="2699"/>
    <x v="0"/>
    <x v="0"/>
    <x v="32"/>
    <n v="1202.7777777777778"/>
    <n v="1829.7685185185185"/>
    <n v="621.2385321100918"/>
    <n v="3.8894736842105258"/>
    <n v="3750"/>
    <n v="38"/>
    <s v="32PCS Portable Cordless Drill Set With Cyclic Battery Drive -26 Variable Speed"/>
    <s v="3PCS Single Head Knitting Crochet Sweater Needle Set"/>
  </r>
  <r>
    <x v="35"/>
    <s v="KSh 1620"/>
    <s v="KSh 2,690"/>
    <n v="0.4"/>
    <n v="-1"/>
    <s v="5 out of 5"/>
    <n v="1620"/>
    <x v="27"/>
    <x v="8"/>
    <n v="1"/>
    <n v="2690"/>
    <x v="0"/>
    <x v="0"/>
    <x v="33"/>
    <n v="1202.7777777777778"/>
    <n v="1829.7685185185185"/>
    <n v="621.2385321100918"/>
    <n v="3.8894736842105258"/>
    <n v="3750"/>
    <n v="38"/>
    <s v="32PCS Portable Cordless Drill Set With Cyclic Battery Drive -26 Variable Speed"/>
    <s v="3PCS Single Head Knitting Crochet Sweater Needle Set"/>
  </r>
  <r>
    <x v="36"/>
    <s v="KSh 171"/>
    <s v="KSh 360"/>
    <n v="0.53"/>
    <n v="-2"/>
    <s v="5 out of 5"/>
    <n v="171"/>
    <x v="17"/>
    <x v="8"/>
    <n v="2"/>
    <n v="360"/>
    <x v="0"/>
    <x v="1"/>
    <x v="34"/>
    <n v="1202.7777777777778"/>
    <n v="1829.7685185185185"/>
    <n v="621.2385321100918"/>
    <n v="3.8894736842105258"/>
    <n v="3750"/>
    <n v="38"/>
    <s v="32PCS Portable Cordless Drill Set With Cyclic Battery Drive -26 Variable Speed"/>
    <s v="3PCS Single Head Knitting Crochet Sweater Needle Set"/>
  </r>
  <r>
    <x v="37"/>
    <s v="KSh 389"/>
    <s v="KSh 656"/>
    <n v="0.41"/>
    <n v="-36"/>
    <s v="4.3 out of 5"/>
    <n v="389"/>
    <x v="28"/>
    <x v="12"/>
    <n v="36"/>
    <n v="656"/>
    <x v="1"/>
    <x v="1"/>
    <x v="35"/>
    <n v="1202.7777777777778"/>
    <n v="1829.7685185185185"/>
    <n v="621.2385321100918"/>
    <n v="3.8894736842105258"/>
    <n v="3750"/>
    <n v="38"/>
    <s v="32PCS Portable Cordless Drill Set With Cyclic Battery Drive -26 Variable Speed"/>
    <s v="3PCS Single Head Knitting Crochet Sweater Needle Set"/>
  </r>
  <r>
    <x v="38"/>
    <s v="KSh 1620 - KSh 1980"/>
    <s v="KSh 2,200 - KSh 3,200"/>
    <n v="0.38"/>
    <n v="-2"/>
    <s v="4.5 out of 5"/>
    <m/>
    <x v="0"/>
    <x v="0"/>
    <n v="2"/>
    <m/>
    <x v="0"/>
    <x v="0"/>
    <x v="36"/>
    <n v="1202.7777777777778"/>
    <n v="1829.7685185185185"/>
    <n v="621.2385321100918"/>
    <n v="3.8894736842105258"/>
    <n v="3750"/>
    <n v="38"/>
    <s v="32PCS Portable Cordless Drill Set With Cyclic Battery Drive -26 Variable Speed"/>
    <s v="3PCS Single Head Knitting Crochet Sweater Needle Set"/>
  </r>
  <r>
    <x v="39"/>
    <s v="KSh 2750"/>
    <s v="KSh 4,471"/>
    <n v="0.38"/>
    <m/>
    <s v=""/>
    <n v="2750"/>
    <x v="0"/>
    <x v="10"/>
    <m/>
    <n v="4471"/>
    <x v="2"/>
    <x v="0"/>
    <x v="37"/>
    <n v="1202.7777777777778"/>
    <n v="1829.7685185185185"/>
    <n v="621.2385321100918"/>
    <n v="3.8894736842105258"/>
    <n v="3750"/>
    <n v="38"/>
    <s v="32PCS Portable Cordless Drill Set With Cyclic Battery Drive -26 Variable Speed"/>
    <s v="3PCS Single Head Knitting Crochet Sweater Needle Set"/>
  </r>
  <r>
    <x v="40"/>
    <s v="KSh 475"/>
    <s v="KSh 931"/>
    <n v="0.49"/>
    <m/>
    <s v=""/>
    <n v="475"/>
    <x v="15"/>
    <x v="10"/>
    <m/>
    <n v="931"/>
    <x v="2"/>
    <x v="1"/>
    <x v="38"/>
    <n v="1202.7777777777778"/>
    <n v="1829.7685185185185"/>
    <n v="621.2385321100918"/>
    <n v="3.8894736842105258"/>
    <n v="3750"/>
    <n v="38"/>
    <s v="32PCS Portable Cordless Drill Set With Cyclic Battery Drive -26 Variable Speed"/>
    <s v="3PCS Single Head Knitting Crochet Sweater Needle Set"/>
  </r>
  <r>
    <x v="41"/>
    <s v="KSh 238"/>
    <s v="KSh 476"/>
    <n v="0.5"/>
    <m/>
    <s v=""/>
    <n v="238"/>
    <x v="29"/>
    <x v="10"/>
    <m/>
    <n v="476"/>
    <x v="2"/>
    <x v="1"/>
    <x v="39"/>
    <n v="1202.7777777777778"/>
    <n v="1829.7685185185185"/>
    <n v="621.2385321100918"/>
    <n v="3.8894736842105258"/>
    <n v="3750"/>
    <n v="38"/>
    <s v="32PCS Portable Cordless Drill Set With Cyclic Battery Drive -26 Variable Speed"/>
    <s v="3PCS Single Head Knitting Crochet Sweater Needle Set"/>
  </r>
  <r>
    <x v="42"/>
    <s v="KSh 610"/>
    <s v="KSh 1,060"/>
    <n v="0.42"/>
    <m/>
    <s v=""/>
    <n v="610"/>
    <x v="11"/>
    <x v="10"/>
    <m/>
    <n v="1060"/>
    <x v="2"/>
    <x v="1"/>
    <x v="40"/>
    <n v="1202.7777777777778"/>
    <n v="1829.7685185185185"/>
    <n v="621.2385321100918"/>
    <n v="3.8894736842105258"/>
    <n v="3750"/>
    <n v="38"/>
    <s v="32PCS Portable Cordless Drill Set With Cyclic Battery Drive -26 Variable Speed"/>
    <s v="3PCS Single Head Knitting Crochet Sweater Needle Set"/>
  </r>
  <r>
    <x v="43"/>
    <s v="KSh 2132"/>
    <s v="KSh 2,169"/>
    <n v="0.02"/>
    <m/>
    <s v=""/>
    <n v="2132"/>
    <x v="30"/>
    <x v="10"/>
    <m/>
    <n v="2169"/>
    <x v="2"/>
    <x v="2"/>
    <x v="41"/>
    <n v="1202.7777777777778"/>
    <n v="1829.7685185185185"/>
    <n v="621.2385321100918"/>
    <n v="3.8894736842105258"/>
    <n v="3750"/>
    <n v="38"/>
    <s v="32PCS Portable Cordless Drill Set With Cyclic Battery Drive -26 Variable Speed"/>
    <s v="3PCS Single Head Knitting Crochet Sweater Needle Set"/>
  </r>
  <r>
    <x v="44"/>
    <s v="KSh 999"/>
    <s v="KSh 2,000"/>
    <n v="0.5"/>
    <m/>
    <s v=""/>
    <n v="999"/>
    <x v="29"/>
    <x v="10"/>
    <m/>
    <n v="2000"/>
    <x v="2"/>
    <x v="1"/>
    <x v="42"/>
    <n v="1202.7777777777778"/>
    <n v="1829.7685185185185"/>
    <n v="621.2385321100918"/>
    <n v="3.8894736842105258"/>
    <n v="3750"/>
    <n v="38"/>
    <s v="32PCS Portable Cordless Drill Set With Cyclic Battery Drive -26 Variable Speed"/>
    <s v="3PCS Single Head Knitting Crochet Sweater Needle Set"/>
  </r>
  <r>
    <x v="45"/>
    <s v="KSh 1190"/>
    <s v="KSh 1,785"/>
    <n v="0.33"/>
    <m/>
    <s v=""/>
    <n v="1190"/>
    <x v="12"/>
    <x v="10"/>
    <m/>
    <n v="1785"/>
    <x v="2"/>
    <x v="0"/>
    <x v="43"/>
    <n v="1202.7777777777778"/>
    <n v="1829.7685185185185"/>
    <n v="621.2385321100918"/>
    <n v="3.8894736842105258"/>
    <n v="3750"/>
    <n v="38"/>
    <s v="32PCS Portable Cordless Drill Set With Cyclic Battery Drive -26 Variable Speed"/>
    <s v="3PCS Single Head Knitting Crochet Sweater Needle Set"/>
  </r>
  <r>
    <x v="46"/>
    <s v="KSh 671"/>
    <s v="KSh 1,316"/>
    <n v="0.49"/>
    <m/>
    <s v=""/>
    <n v="671"/>
    <x v="15"/>
    <x v="10"/>
    <m/>
    <n v="1316"/>
    <x v="2"/>
    <x v="1"/>
    <x v="44"/>
    <n v="1202.7777777777778"/>
    <n v="1829.7685185185185"/>
    <n v="621.2385321100918"/>
    <n v="3.8894736842105258"/>
    <n v="3750"/>
    <n v="38"/>
    <s v="32PCS Portable Cordless Drill Set With Cyclic Battery Drive -26 Variable Speed"/>
    <s v="3PCS Single Head Knitting Crochet Sweater Needle Set"/>
  </r>
  <r>
    <x v="47"/>
    <s v="KSh 1200"/>
    <s v="KSh 1,950"/>
    <n v="0.38"/>
    <m/>
    <s v=""/>
    <n v="1200"/>
    <x v="0"/>
    <x v="10"/>
    <m/>
    <n v="1950"/>
    <x v="2"/>
    <x v="0"/>
    <x v="45"/>
    <n v="1202.7777777777778"/>
    <n v="1829.7685185185185"/>
    <n v="621.2385321100918"/>
    <n v="3.8894736842105258"/>
    <n v="3750"/>
    <n v="38"/>
    <s v="32PCS Portable Cordless Drill Set With Cyclic Battery Drive -26 Variable Speed"/>
    <s v="3PCS Single Head Knitting Crochet Sweater Needle Set"/>
  </r>
  <r>
    <x v="48"/>
    <s v="KSh 199"/>
    <s v="KSh 504"/>
    <n v="0.61"/>
    <m/>
    <s v=""/>
    <n v="199"/>
    <x v="31"/>
    <x v="10"/>
    <m/>
    <n v="504"/>
    <x v="2"/>
    <x v="1"/>
    <x v="46"/>
    <n v="1202.7777777777778"/>
    <n v="1829.7685185185185"/>
    <n v="621.2385321100918"/>
    <n v="3.8894736842105258"/>
    <n v="3750"/>
    <n v="38"/>
    <s v="32PCS Portable Cordless Drill Set With Cyclic Battery Drive -26 Variable Speed"/>
    <s v="3PCS Single Head Knitting Crochet Sweater Needle Set"/>
  </r>
  <r>
    <x v="49"/>
    <s v="KSh 299"/>
    <s v="KSh 600"/>
    <n v="0.5"/>
    <m/>
    <s v=""/>
    <n v="299"/>
    <x v="29"/>
    <x v="10"/>
    <m/>
    <n v="600"/>
    <x v="2"/>
    <x v="1"/>
    <x v="47"/>
    <n v="1202.7777777777778"/>
    <n v="1829.7685185185185"/>
    <n v="621.2385321100918"/>
    <n v="3.8894736842105258"/>
    <n v="3750"/>
    <n v="38"/>
    <s v="32PCS Portable Cordless Drill Set With Cyclic Battery Drive -26 Variable Speed"/>
    <s v="3PCS Single Head Knitting Crochet Sweater Needle Set"/>
  </r>
  <r>
    <x v="50"/>
    <s v="KSh 1660"/>
    <s v="KSh 1,699"/>
    <n v="0.02"/>
    <m/>
    <s v=""/>
    <n v="1660"/>
    <x v="30"/>
    <x v="10"/>
    <m/>
    <n v="1699"/>
    <x v="2"/>
    <x v="2"/>
    <x v="48"/>
    <n v="1202.7777777777778"/>
    <n v="1829.7685185185185"/>
    <n v="621.2385321100918"/>
    <n v="3.8894736842105258"/>
    <n v="3750"/>
    <n v="38"/>
    <s v="32PCS Portable Cordless Drill Set With Cyclic Battery Drive -26 Variable Speed"/>
    <s v="3PCS Single Head Knitting Crochet Sweater Needle Set"/>
  </r>
  <r>
    <x v="51"/>
    <s v="KSh 299"/>
    <s v="KSh 384"/>
    <n v="0.22"/>
    <m/>
    <s v=""/>
    <n v="299"/>
    <x v="32"/>
    <x v="10"/>
    <m/>
    <n v="384"/>
    <x v="2"/>
    <x v="0"/>
    <x v="49"/>
    <n v="1202.7777777777778"/>
    <n v="1829.7685185185185"/>
    <n v="621.2385321100918"/>
    <n v="3.8894736842105258"/>
    <n v="3750"/>
    <n v="38"/>
    <s v="32PCS Portable Cordless Drill Set With Cyclic Battery Drive -26 Variable Speed"/>
    <s v="3PCS Single Head Knitting Crochet Sweater Needle Set"/>
  </r>
  <r>
    <x v="52"/>
    <s v="KSh 1459"/>
    <s v="KSh 1,499"/>
    <n v="0.03"/>
    <m/>
    <s v=""/>
    <n v="1459"/>
    <x v="33"/>
    <x v="10"/>
    <m/>
    <n v="1499"/>
    <x v="2"/>
    <x v="2"/>
    <x v="50"/>
    <n v="1202.7777777777778"/>
    <n v="1829.7685185185185"/>
    <n v="621.2385321100918"/>
    <n v="3.8894736842105258"/>
    <n v="3750"/>
    <n v="38"/>
    <s v="32PCS Portable Cordless Drill Set With Cyclic Battery Drive -26 Variable Speed"/>
    <s v="3PCS Single Head Knitting Crochet Sweater Needle Set"/>
  </r>
  <r>
    <x v="53"/>
    <s v="KSh 799"/>
    <s v="KSh 1,343"/>
    <n v="0.41"/>
    <m/>
    <s v=""/>
    <n v="799"/>
    <x v="28"/>
    <x v="10"/>
    <m/>
    <n v="1343"/>
    <x v="2"/>
    <x v="1"/>
    <x v="51"/>
    <n v="1202.7777777777778"/>
    <n v="1829.7685185185185"/>
    <n v="621.2385321100918"/>
    <n v="3.8894736842105258"/>
    <n v="3750"/>
    <n v="38"/>
    <s v="32PCS Portable Cordless Drill Set With Cyclic Battery Drive -26 Variable Speed"/>
    <s v="3PCS Single Head Knitting Crochet Sweater Needle Set"/>
  </r>
  <r>
    <x v="54"/>
    <s v="KSh 499"/>
    <s v="KSh 900"/>
    <n v="0.45"/>
    <m/>
    <s v=""/>
    <n v="499"/>
    <x v="8"/>
    <x v="10"/>
    <m/>
    <n v="900"/>
    <x v="2"/>
    <x v="1"/>
    <x v="52"/>
    <n v="1202.7777777777778"/>
    <n v="1829.7685185185185"/>
    <n v="621.2385321100918"/>
    <n v="3.8894736842105258"/>
    <n v="3750"/>
    <n v="38"/>
    <s v="32PCS Portable Cordless Drill Set With Cyclic Battery Drive -26 Variable Speed"/>
    <s v="3PCS Single Head Knitting Crochet Sweater Needle Set"/>
  </r>
  <r>
    <x v="55"/>
    <s v="KSh 699"/>
    <s v="KSh 1,343"/>
    <n v="0.48"/>
    <m/>
    <s v=""/>
    <n v="699"/>
    <x v="25"/>
    <x v="10"/>
    <m/>
    <n v="1343"/>
    <x v="2"/>
    <x v="1"/>
    <x v="53"/>
    <n v="1202.7777777777778"/>
    <n v="1829.7685185185185"/>
    <n v="621.2385321100918"/>
    <n v="3.8894736842105258"/>
    <n v="3750"/>
    <n v="38"/>
    <s v="32PCS Portable Cordless Drill Set With Cyclic Battery Drive -26 Variable Speed"/>
    <s v="3PCS Single Head Knitting Crochet Sweater Needle Set"/>
  </r>
  <r>
    <x v="56"/>
    <s v="KSh 799"/>
    <s v="KSh 1,567"/>
    <n v="0.49"/>
    <m/>
    <s v=""/>
    <n v="799"/>
    <x v="15"/>
    <x v="10"/>
    <m/>
    <n v="1567"/>
    <x v="2"/>
    <x v="1"/>
    <x v="54"/>
    <n v="1202.7777777777778"/>
    <n v="1829.7685185185185"/>
    <n v="621.2385321100918"/>
    <n v="3.8894736842105258"/>
    <n v="3750"/>
    <n v="38"/>
    <s v="32PCS Portable Cordless Drill Set With Cyclic Battery Drive -26 Variable Speed"/>
    <s v="3PCS Single Head Knitting Crochet Sweater Needle Set"/>
  </r>
  <r>
    <x v="57"/>
    <s v="KSh 2799"/>
    <s v="KSh 3,810"/>
    <n v="0.27"/>
    <m/>
    <s v=""/>
    <n v="2799"/>
    <x v="26"/>
    <x v="10"/>
    <m/>
    <n v="3810"/>
    <x v="2"/>
    <x v="0"/>
    <x v="55"/>
    <n v="1202.7777777777778"/>
    <n v="1829.7685185185185"/>
    <n v="621.2385321100918"/>
    <n v="3.8894736842105258"/>
    <n v="3750"/>
    <n v="38"/>
    <s v="32PCS Portable Cordless Drill Set With Cyclic Battery Drive -26 Variable Speed"/>
    <s v="3PCS Single Head Knitting Crochet Sweater Needle Set"/>
  </r>
  <r>
    <x v="58"/>
    <s v="KSh 2170"/>
    <s v="KSh 2,500"/>
    <n v="0.13"/>
    <n v="-6"/>
    <s v="2.5 out of 5"/>
    <n v="2170"/>
    <x v="34"/>
    <x v="13"/>
    <n v="6"/>
    <n v="2500"/>
    <x v="3"/>
    <x v="2"/>
    <x v="56"/>
    <n v="1202.7777777777778"/>
    <n v="1829.7685185185185"/>
    <n v="621.2385321100918"/>
    <n v="3.8894736842105258"/>
    <n v="3750"/>
    <n v="38"/>
    <s v="32PCS Portable Cordless Drill Set With Cyclic Battery Drive -26 Variable Speed"/>
    <s v="3PCS Single Head Knitting Crochet Sweater Needle Set"/>
  </r>
  <r>
    <x v="59"/>
    <s v="KSh 458"/>
    <s v="KSh 986"/>
    <n v="0.54"/>
    <n v="-10"/>
    <s v="3 out of 5"/>
    <n v="458"/>
    <x v="20"/>
    <x v="14"/>
    <n v="10"/>
    <n v="986"/>
    <x v="1"/>
    <x v="1"/>
    <x v="57"/>
    <n v="1202.7777777777778"/>
    <n v="1829.7685185185185"/>
    <n v="621.2385321100918"/>
    <n v="3.8894736842105258"/>
    <n v="3750"/>
    <n v="38"/>
    <s v="32PCS Portable Cordless Drill Set With Cyclic Battery Drive -26 Variable Speed"/>
    <s v="3PCS Single Head Knitting Crochet Sweater Needle Set"/>
  </r>
  <r>
    <x v="60"/>
    <s v="KSh 2115"/>
    <s v="KSh 4,700"/>
    <n v="0.55000000000000004"/>
    <n v="-13"/>
    <s v="2.1 out of 5"/>
    <n v="2115"/>
    <x v="7"/>
    <x v="15"/>
    <n v="13"/>
    <n v="4700"/>
    <x v="3"/>
    <x v="1"/>
    <x v="58"/>
    <n v="1202.7777777777778"/>
    <n v="1829.7685185185185"/>
    <n v="621.2385321100918"/>
    <n v="3.8894736842105258"/>
    <n v="3750"/>
    <n v="38"/>
    <s v="32PCS Portable Cordless Drill Set With Cyclic Battery Drive -26 Variable Speed"/>
    <s v="3PCS Single Head Knitting Crochet Sweater Needle Set"/>
  </r>
  <r>
    <x v="61"/>
    <s v="KSh 445"/>
    <s v="KSh 873"/>
    <n v="0.49"/>
    <n v="-69"/>
    <s v="2.8 out of 5"/>
    <n v="445"/>
    <x v="15"/>
    <x v="16"/>
    <n v="69"/>
    <n v="873"/>
    <x v="3"/>
    <x v="1"/>
    <x v="59"/>
    <n v="1202.7777777777778"/>
    <n v="1829.7685185185185"/>
    <n v="621.2385321100918"/>
    <n v="3.8894736842105258"/>
    <n v="3750"/>
    <n v="38"/>
    <s v="32PCS Portable Cordless Drill Set With Cyclic Battery Drive -26 Variable Speed"/>
    <s v="3PCS Single Head Knitting Crochet Sweater Needle Set"/>
  </r>
  <r>
    <x v="62"/>
    <s v="KSh 325"/>
    <s v="KSh 680"/>
    <n v="0.52"/>
    <n v="-15"/>
    <s v="2.7 out of 5"/>
    <n v="325"/>
    <x v="24"/>
    <x v="17"/>
    <n v="15"/>
    <n v="680"/>
    <x v="3"/>
    <x v="1"/>
    <x v="60"/>
    <n v="1202.7777777777778"/>
    <n v="1829.7685185185185"/>
    <n v="621.2385321100918"/>
    <n v="3.8894736842105258"/>
    <n v="3750"/>
    <n v="38"/>
    <s v="32PCS Portable Cordless Drill Set With Cyclic Battery Drive -26 Variable Speed"/>
    <s v="3PCS Single Head Knitting Crochet Sweater Needle Set"/>
  </r>
  <r>
    <x v="63"/>
    <s v="KSh 1220"/>
    <s v="KSh 1,555"/>
    <n v="0.22"/>
    <n v="-16"/>
    <s v="2.9 out of 5"/>
    <n v="1220"/>
    <x v="32"/>
    <x v="18"/>
    <n v="16"/>
    <n v="1555"/>
    <x v="3"/>
    <x v="0"/>
    <x v="61"/>
    <n v="1202.7777777777778"/>
    <n v="1829.7685185185185"/>
    <n v="621.2385321100918"/>
    <n v="3.8894736842105258"/>
    <n v="3750"/>
    <n v="38"/>
    <s v="32PCS Portable Cordless Drill Set With Cyclic Battery Drive -26 Variable Speed"/>
    <s v="3PCS Single Head Knitting Crochet Sweater Needle Set"/>
  </r>
  <r>
    <x v="64"/>
    <s v="KSh 990"/>
    <s v="KSh 1,814"/>
    <n v="0.45"/>
    <n v="-6"/>
    <s v="2.2 out of 5"/>
    <n v="990"/>
    <x v="8"/>
    <x v="19"/>
    <n v="6"/>
    <n v="1814"/>
    <x v="3"/>
    <x v="1"/>
    <x v="62"/>
    <n v="1202.7777777777778"/>
    <n v="1829.7685185185185"/>
    <n v="621.2385321100918"/>
    <n v="3.8894736842105258"/>
    <n v="3750"/>
    <n v="38"/>
    <s v="32PCS Portable Cordless Drill Set With Cyclic Battery Drive -26 Variable Speed"/>
    <s v="3PCS Single Head Knitting Crochet Sweater Needle Set"/>
  </r>
  <r>
    <x v="65"/>
    <s v="KSh 1000"/>
    <s v="KSh 2,000"/>
    <n v="0.5"/>
    <n v="-7"/>
    <s v="2.3 out of 5"/>
    <n v="1000"/>
    <x v="29"/>
    <x v="20"/>
    <n v="7"/>
    <n v="2000"/>
    <x v="3"/>
    <x v="1"/>
    <x v="63"/>
    <n v="1202.7777777777778"/>
    <n v="1829.7685185185185"/>
    <n v="621.2385321100918"/>
    <n v="3.8894736842105258"/>
    <n v="3750"/>
    <n v="38"/>
    <s v="32PCS Portable Cordless Drill Set With Cyclic Battery Drive -26 Variable Speed"/>
    <s v="3PCS Single Head Knitting Crochet Sweater Needle Set"/>
  </r>
  <r>
    <x v="66"/>
    <s v="KSh 3750"/>
    <s v="KSh 6,143"/>
    <n v="0.39"/>
    <n v="-5"/>
    <s v="3 out of 5"/>
    <n v="3750"/>
    <x v="35"/>
    <x v="14"/>
    <n v="5"/>
    <n v="6143"/>
    <x v="1"/>
    <x v="0"/>
    <x v="64"/>
    <n v="1202.7777777777778"/>
    <n v="1829.7685185185185"/>
    <n v="621.2385321100918"/>
    <n v="3.8894736842105258"/>
    <n v="3750"/>
    <n v="38"/>
    <s v="32PCS Portable Cordless Drill Set With Cyclic Battery Drive -26 Variable Speed"/>
    <s v="3PCS Single Head Knitting Crochet Sweater Needle Set"/>
  </r>
  <r>
    <x v="67"/>
    <s v="KSh 382"/>
    <s v="KSh 700"/>
    <n v="0.45"/>
    <n v="-17"/>
    <s v="2.6 out of 5"/>
    <n v="382"/>
    <x v="8"/>
    <x v="21"/>
    <n v="17"/>
    <n v="700"/>
    <x v="3"/>
    <x v="1"/>
    <x v="65"/>
    <n v="1202.7777777777778"/>
    <n v="1829.7685185185185"/>
    <n v="621.2385321100918"/>
    <n v="3.8894736842105258"/>
    <n v="3750"/>
    <n v="38"/>
    <s v="32PCS Portable Cordless Drill Set With Cyclic Battery Drive -26 Variable Speed"/>
    <s v="3PCS Single Head Knitting Crochet Sweater Needle Set"/>
  </r>
  <r>
    <x v="68"/>
    <s v="KSh 2300"/>
    <s v="KSh 3,240"/>
    <n v="0.28999999999999998"/>
    <n v="-5"/>
    <s v="3 out of 5"/>
    <n v="2300"/>
    <x v="36"/>
    <x v="14"/>
    <n v="5"/>
    <n v="3240"/>
    <x v="1"/>
    <x v="0"/>
    <x v="66"/>
    <n v="1202.7777777777778"/>
    <n v="1829.7685185185185"/>
    <n v="621.2385321100918"/>
    <n v="3.8894736842105258"/>
    <n v="3750"/>
    <n v="38"/>
    <s v="32PCS Portable Cordless Drill Set With Cyclic Battery Drive -26 Variable Speed"/>
    <s v="3PCS Single Head Knitting Crochet Sweater Needle Set"/>
  </r>
  <r>
    <x v="69"/>
    <s v="KSh 345"/>
    <s v="KSh 602"/>
    <n v="0.43"/>
    <n v="-6"/>
    <s v="2.3 out of 5"/>
    <n v="345"/>
    <x v="37"/>
    <x v="20"/>
    <n v="6"/>
    <n v="602"/>
    <x v="3"/>
    <x v="1"/>
    <x v="67"/>
    <n v="1202.7777777777778"/>
    <n v="1829.7685185185185"/>
    <n v="621.2385321100918"/>
    <n v="3.8894736842105258"/>
    <n v="3750"/>
    <n v="38"/>
    <s v="32PCS Portable Cordless Drill Set With Cyclic Battery Drive -26 Variable Speed"/>
    <s v="3PCS Single Head Knitting Crochet Sweater Needle Set"/>
  </r>
  <r>
    <x v="70"/>
    <s v="KSh 509"/>
    <s v="KSh 899"/>
    <n v="0.43"/>
    <n v="-5"/>
    <s v="3 out of 5"/>
    <n v="509"/>
    <x v="37"/>
    <x v="14"/>
    <n v="5"/>
    <n v="899"/>
    <x v="1"/>
    <x v="1"/>
    <x v="68"/>
    <n v="1202.7777777777778"/>
    <n v="1829.7685185185185"/>
    <n v="621.2385321100918"/>
    <n v="3.8894736842105258"/>
    <n v="3750"/>
    <n v="38"/>
    <s v="32PCS Portable Cordless Drill Set With Cyclic Battery Drive -26 Variable Speed"/>
    <s v="3PCS Single Head Knitting Crochet Sweater Needle Set"/>
  </r>
  <r>
    <x v="71"/>
    <s v="KSh 968"/>
    <s v="KSh 1,814"/>
    <n v="0.47"/>
    <n v="-6"/>
    <s v="2.2 out of 5"/>
    <n v="968"/>
    <x v="1"/>
    <x v="19"/>
    <n v="6"/>
    <n v="1814"/>
    <x v="3"/>
    <x v="1"/>
    <x v="69"/>
    <n v="1202.7777777777778"/>
    <n v="1829.7685185185185"/>
    <n v="621.2385321100918"/>
    <n v="3.8894736842105258"/>
    <n v="3750"/>
    <n v="38"/>
    <s v="32PCS Portable Cordless Drill Set With Cyclic Battery Drive -26 Variable Speed"/>
    <s v="3PCS Single Head Knitting Crochet Sweater Needle Set"/>
  </r>
  <r>
    <x v="72"/>
    <s v="KSh 1570"/>
    <s v="KSh 2,988"/>
    <n v="0.47"/>
    <n v="-7"/>
    <s v="2.1 out of 5"/>
    <n v="1570"/>
    <x v="1"/>
    <x v="15"/>
    <n v="7"/>
    <n v="2988"/>
    <x v="3"/>
    <x v="1"/>
    <x v="70"/>
    <n v="1202.7777777777778"/>
    <n v="1829.7685185185185"/>
    <n v="621.2385321100918"/>
    <n v="3.8894736842105258"/>
    <n v="3750"/>
    <n v="38"/>
    <s v="32PCS Portable Cordless Drill Set With Cyclic Battery Drive -26 Variable Speed"/>
    <s v="3PCS Single Head Knitting Crochet Sweater Needle Set"/>
  </r>
  <r>
    <x v="73"/>
    <s v="KSh 790"/>
    <s v="KSh 1,485"/>
    <n v="0.47"/>
    <m/>
    <s v=""/>
    <n v="790"/>
    <x v="1"/>
    <x v="10"/>
    <m/>
    <n v="1485"/>
    <x v="2"/>
    <x v="1"/>
    <x v="71"/>
    <n v="1202.7777777777778"/>
    <n v="1829.7685185185185"/>
    <n v="621.2385321100918"/>
    <n v="3.8894736842105258"/>
    <n v="3750"/>
    <n v="38"/>
    <s v="32PCS Portable Cordless Drill Set With Cyclic Battery Drive -26 Variable Speed"/>
    <s v="3PCS Single Head Knitting Crochet Sweater Needle Set"/>
  </r>
  <r>
    <x v="74"/>
    <s v="KSh 690"/>
    <s v="KSh 1,200"/>
    <n v="0.43"/>
    <m/>
    <s v=""/>
    <n v="690"/>
    <x v="37"/>
    <x v="10"/>
    <m/>
    <n v="1200"/>
    <x v="2"/>
    <x v="1"/>
    <x v="11"/>
    <n v="1202.7777777777778"/>
    <n v="1829.7685185185185"/>
    <n v="621.2385321100918"/>
    <n v="3.8894736842105258"/>
    <n v="3750"/>
    <n v="38"/>
    <s v="32PCS Portable Cordless Drill Set With Cyclic Battery Drive -26 Variable Speed"/>
    <s v="3PCS Single Head Knitting Crochet Sweater Needle Set"/>
  </r>
  <r>
    <x v="75"/>
    <s v="KSh 1732"/>
    <s v="KSh 1,799"/>
    <n v="0.04"/>
    <m/>
    <s v=""/>
    <n v="1732"/>
    <x v="38"/>
    <x v="10"/>
    <m/>
    <n v="1799"/>
    <x v="2"/>
    <x v="2"/>
    <x v="72"/>
    <n v="1202.7777777777778"/>
    <n v="1829.7685185185185"/>
    <n v="621.2385321100918"/>
    <n v="3.8894736842105258"/>
    <n v="3750"/>
    <n v="38"/>
    <s v="32PCS Portable Cordless Drill Set With Cyclic Battery Drive -26 Variable Speed"/>
    <s v="3PCS Single Head Knitting Crochet Sweater Needle Set"/>
  </r>
  <r>
    <x v="76"/>
    <s v="KSh 230"/>
    <s v="KSh 450"/>
    <n v="0.49"/>
    <m/>
    <s v=""/>
    <n v="230"/>
    <x v="15"/>
    <x v="10"/>
    <m/>
    <n v="450"/>
    <x v="2"/>
    <x v="1"/>
    <x v="73"/>
    <n v="1202.7777777777778"/>
    <n v="1829.7685185185185"/>
    <n v="621.2385321100918"/>
    <n v="3.8894736842105258"/>
    <n v="3750"/>
    <n v="38"/>
    <s v="32PCS Portable Cordless Drill Set With Cyclic Battery Drive -26 Variable Speed"/>
    <s v="3PCS Single Head Knitting Crochet Sweater Needle Set"/>
  </r>
  <r>
    <x v="77"/>
    <s v="KSh 1189"/>
    <s v="KSh 2,199"/>
    <n v="0.46"/>
    <n v="-1"/>
    <s v="3 out of 5"/>
    <n v="1189"/>
    <x v="14"/>
    <x v="14"/>
    <n v="1"/>
    <n v="2199"/>
    <x v="1"/>
    <x v="1"/>
    <x v="74"/>
    <n v="1202.7777777777778"/>
    <n v="1829.7685185185185"/>
    <n v="621.2385321100918"/>
    <n v="3.8894736842105258"/>
    <n v="3750"/>
    <n v="38"/>
    <s v="32PCS Portable Cordless Drill Set With Cyclic Battery Drive -26 Variable Speed"/>
    <s v="3PCS Single Head Knitting Crochet Sweater Needle Set"/>
  </r>
  <r>
    <x v="78"/>
    <s v="KSh 979"/>
    <s v="KSh 1,920"/>
    <n v="0.49"/>
    <n v="-1"/>
    <s v="5 out of 5"/>
    <n v="979"/>
    <x v="15"/>
    <x v="8"/>
    <n v="1"/>
    <n v="1920"/>
    <x v="0"/>
    <x v="1"/>
    <x v="75"/>
    <n v="1202.7777777777778"/>
    <n v="1829.7685185185185"/>
    <n v="621.2385321100918"/>
    <n v="3.8894736842105258"/>
    <n v="3750"/>
    <n v="38"/>
    <s v="32PCS Portable Cordless Drill Set With Cyclic Battery Drive -26 Variable Speed"/>
    <s v="3PCS Single Head Knitting Crochet Sweater Needle Set"/>
  </r>
  <r>
    <x v="79"/>
    <s v="KSh 1460"/>
    <s v="KSh 2,290"/>
    <n v="0.36"/>
    <m/>
    <s v=""/>
    <n v="1460"/>
    <x v="39"/>
    <x v="10"/>
    <m/>
    <n v="2290"/>
    <x v="2"/>
    <x v="0"/>
    <x v="76"/>
    <n v="1202.7777777777778"/>
    <n v="1829.7685185185185"/>
    <n v="621.2385321100918"/>
    <n v="3.8894736842105258"/>
    <n v="3750"/>
    <n v="38"/>
    <s v="32PCS Portable Cordless Drill Set With Cyclic Battery Drive -26 Variable Speed"/>
    <s v="3PCS Single Head Knitting Crochet Sweater Needle Set"/>
  </r>
  <r>
    <x v="80"/>
    <s v="KSh 1666"/>
    <s v="KSh 1,699"/>
    <n v="0.02"/>
    <m/>
    <s v=""/>
    <n v="1666"/>
    <x v="30"/>
    <x v="10"/>
    <m/>
    <n v="1699"/>
    <x v="2"/>
    <x v="2"/>
    <x v="77"/>
    <n v="1202.7777777777778"/>
    <n v="1829.7685185185185"/>
    <n v="621.2385321100918"/>
    <n v="3.8894736842105258"/>
    <n v="3750"/>
    <n v="38"/>
    <s v="32PCS Portable Cordless Drill Set With Cyclic Battery Drive -26 Variable Speed"/>
    <s v="3PCS Single Head Knitting Crochet Sweater Needle Set"/>
  </r>
  <r>
    <x v="81"/>
    <s v="KSh 330"/>
    <s v="KSh 647"/>
    <n v="0.49"/>
    <n v="-1"/>
    <s v="4 out of 5"/>
    <n v="330"/>
    <x v="15"/>
    <x v="5"/>
    <n v="1"/>
    <n v="647"/>
    <x v="1"/>
    <x v="1"/>
    <x v="78"/>
    <n v="1202.7777777777778"/>
    <n v="1829.7685185185185"/>
    <n v="621.2385321100918"/>
    <n v="3.8894736842105258"/>
    <n v="3750"/>
    <n v="38"/>
    <s v="32PCS Portable Cordless Drill Set With Cyclic Battery Drive -26 Variable Speed"/>
    <s v="3PCS Single Head Knitting Crochet Sweater Needle Set"/>
  </r>
  <r>
    <x v="82"/>
    <s v="KSh 1466"/>
    <s v="KSh 1,699"/>
    <n v="0.14000000000000001"/>
    <m/>
    <s v=""/>
    <n v="1466"/>
    <x v="40"/>
    <x v="10"/>
    <m/>
    <n v="1699"/>
    <x v="2"/>
    <x v="2"/>
    <x v="79"/>
    <n v="1202.7777777777778"/>
    <n v="1829.7685185185185"/>
    <n v="621.2385321100918"/>
    <n v="3.8894736842105258"/>
    <n v="3750"/>
    <n v="38"/>
    <s v="32PCS Portable Cordless Drill Set With Cyclic Battery Drive -26 Variable Speed"/>
    <s v="3PCS Single Head Knitting Crochet Sweater Needle Set"/>
  </r>
  <r>
    <x v="83"/>
    <s v="KSh 274"/>
    <s v="KSh 537"/>
    <n v="0.49"/>
    <m/>
    <s v=""/>
    <n v="274"/>
    <x v="15"/>
    <x v="10"/>
    <m/>
    <n v="537"/>
    <x v="2"/>
    <x v="1"/>
    <x v="80"/>
    <n v="1202.7777777777778"/>
    <n v="1829.7685185185185"/>
    <n v="621.2385321100918"/>
    <n v="3.8894736842105258"/>
    <n v="3750"/>
    <n v="38"/>
    <s v="32PCS Portable Cordless Drill Set With Cyclic Battery Drive -26 Variable Speed"/>
    <s v="3PCS Single Head Knitting Crochet Sweater Needle Set"/>
  </r>
  <r>
    <x v="84"/>
    <s v="KSh 799"/>
    <s v="KSh 900"/>
    <n v="0.11"/>
    <m/>
    <s v=""/>
    <n v="799"/>
    <x v="41"/>
    <x v="10"/>
    <m/>
    <n v="900"/>
    <x v="2"/>
    <x v="2"/>
    <x v="81"/>
    <n v="1202.7777777777778"/>
    <n v="1829.7685185185185"/>
    <n v="621.2385321100918"/>
    <n v="3.8894736842105258"/>
    <n v="3750"/>
    <n v="38"/>
    <s v="32PCS Portable Cordless Drill Set With Cyclic Battery Drive -26 Variable Speed"/>
    <s v="3PCS Single Head Knitting Crochet Sweater Needle Set"/>
  </r>
  <r>
    <x v="85"/>
    <s v="KSh 1468"/>
    <s v="KSh 1,699"/>
    <n v="0.14000000000000001"/>
    <m/>
    <s v=""/>
    <n v="1468"/>
    <x v="40"/>
    <x v="10"/>
    <m/>
    <n v="1699"/>
    <x v="2"/>
    <x v="2"/>
    <x v="82"/>
    <n v="1202.7777777777778"/>
    <n v="1829.7685185185185"/>
    <n v="621.2385321100918"/>
    <n v="3.8894736842105258"/>
    <n v="3750"/>
    <n v="38"/>
    <s v="32PCS Portable Cordless Drill Set With Cyclic Battery Drive -26 Variable Speed"/>
    <s v="3PCS Single Head Knitting Crochet Sweater Needle Set"/>
  </r>
  <r>
    <x v="86"/>
    <s v="KSh 630"/>
    <s v="KSh 1,100"/>
    <n v="0.43"/>
    <m/>
    <s v=""/>
    <n v="630"/>
    <x v="37"/>
    <x v="10"/>
    <m/>
    <n v="1100"/>
    <x v="2"/>
    <x v="1"/>
    <x v="22"/>
    <n v="1202.7777777777778"/>
    <n v="1829.7685185185185"/>
    <n v="621.2385321100918"/>
    <n v="3.8894736842105258"/>
    <n v="3750"/>
    <n v="38"/>
    <s v="32PCS Portable Cordless Drill Set With Cyclic Battery Drive -26 Variable Speed"/>
    <s v="3PCS Single Head Knitting Crochet Sweater Needle Set"/>
  </r>
  <r>
    <x v="87"/>
    <s v="KSh 850"/>
    <s v="KSh 1,700"/>
    <n v="0.5"/>
    <m/>
    <s v=""/>
    <n v="850"/>
    <x v="29"/>
    <x v="10"/>
    <m/>
    <n v="1700"/>
    <x v="2"/>
    <x v="1"/>
    <x v="83"/>
    <n v="1202.7777777777778"/>
    <n v="1829.7685185185185"/>
    <n v="621.2385321100918"/>
    <n v="3.8894736842105258"/>
    <n v="3750"/>
    <n v="38"/>
    <s v="32PCS Portable Cordless Drill Set With Cyclic Battery Drive -26 Variable Speed"/>
    <s v="3PCS Single Head Knitting Crochet Sweater Needle Set"/>
  </r>
  <r>
    <x v="88"/>
    <s v="KSh 1300"/>
    <s v="KSh 2,500"/>
    <n v="0.48"/>
    <m/>
    <s v=""/>
    <n v="1300"/>
    <x v="25"/>
    <x v="10"/>
    <m/>
    <n v="2500"/>
    <x v="2"/>
    <x v="1"/>
    <x v="84"/>
    <n v="1202.7777777777778"/>
    <n v="1829.7685185185185"/>
    <n v="621.2385321100918"/>
    <n v="3.8894736842105258"/>
    <n v="3750"/>
    <n v="38"/>
    <s v="32PCS Portable Cordless Drill Set With Cyclic Battery Drive -26 Variable Speed"/>
    <s v="3PCS Single Head Knitting Crochet Sweater Needle Set"/>
  </r>
  <r>
    <x v="89"/>
    <s v="KSh 105"/>
    <s v="KSh 200"/>
    <n v="0.48"/>
    <m/>
    <s v=""/>
    <n v="105"/>
    <x v="25"/>
    <x v="10"/>
    <m/>
    <n v="200"/>
    <x v="2"/>
    <x v="1"/>
    <x v="85"/>
    <n v="1202.7777777777778"/>
    <n v="1829.7685185185185"/>
    <n v="621.2385321100918"/>
    <n v="3.8894736842105258"/>
    <n v="3750"/>
    <n v="38"/>
    <s v="32PCS Portable Cordless Drill Set With Cyclic Battery Drive -26 Variable Speed"/>
    <s v="3PCS Single Head Knitting Crochet Sweater Needle Set"/>
  </r>
  <r>
    <x v="90"/>
    <s v="KSh 899"/>
    <s v="KSh 1,699"/>
    <n v="0.47"/>
    <m/>
    <s v=""/>
    <n v="899"/>
    <x v="1"/>
    <x v="10"/>
    <m/>
    <n v="1699"/>
    <x v="2"/>
    <x v="1"/>
    <x v="86"/>
    <n v="1202.7777777777778"/>
    <n v="1829.7685185185185"/>
    <n v="621.2385321100918"/>
    <n v="3.8894736842105258"/>
    <n v="3750"/>
    <n v="38"/>
    <s v="32PCS Portable Cordless Drill Set With Cyclic Battery Drive -26 Variable Speed"/>
    <s v="3PCS Single Head Knitting Crochet Sweater Needle Set"/>
  </r>
  <r>
    <x v="91"/>
    <s v="KSh 1200"/>
    <s v="KSh 2,400"/>
    <n v="0.5"/>
    <m/>
    <s v=""/>
    <n v="1200"/>
    <x v="29"/>
    <x v="10"/>
    <m/>
    <n v="2400"/>
    <x v="2"/>
    <x v="1"/>
    <x v="84"/>
    <n v="1202.7777777777778"/>
    <n v="1829.7685185185185"/>
    <n v="621.2385321100918"/>
    <n v="3.8894736842105258"/>
    <n v="3750"/>
    <n v="38"/>
    <s v="32PCS Portable Cordless Drill Set With Cyclic Battery Drive -26 Variable Speed"/>
    <s v="3PCS Single Head Knitting Crochet Sweater Needle Set"/>
  </r>
  <r>
    <x v="92"/>
    <s v="KSh 1526"/>
    <s v="KSh 1,660"/>
    <n v="0.08"/>
    <m/>
    <s v=""/>
    <n v="1526"/>
    <x v="42"/>
    <x v="10"/>
    <m/>
    <n v="1660"/>
    <x v="2"/>
    <x v="2"/>
    <x v="87"/>
    <n v="1202.7777777777778"/>
    <n v="1829.7685185185185"/>
    <n v="621.2385321100918"/>
    <n v="3.8894736842105258"/>
    <n v="3750"/>
    <n v="38"/>
    <s v="32PCS Portable Cordless Drill Set With Cyclic Battery Drive -26 Variable Speed"/>
    <s v="3PCS Single Head Knitting Crochet Sweater Needle Set"/>
  </r>
  <r>
    <x v="93"/>
    <s v="KSh 1462"/>
    <s v="KSh 1,499"/>
    <n v="0.02"/>
    <m/>
    <s v=""/>
    <n v="1462"/>
    <x v="30"/>
    <x v="10"/>
    <m/>
    <n v="1499"/>
    <x v="2"/>
    <x v="2"/>
    <x v="41"/>
    <n v="1202.7777777777778"/>
    <n v="1829.7685185185185"/>
    <n v="621.2385321100918"/>
    <n v="3.8894736842105258"/>
    <n v="3750"/>
    <n v="38"/>
    <s v="32PCS Portable Cordless Drill Set With Cyclic Battery Drive -26 Variable Speed"/>
    <s v="3PCS Single Head Knitting Crochet Sweater Needle Set"/>
  </r>
  <r>
    <x v="94"/>
    <s v="KSh 248"/>
    <s v="KSh 486"/>
    <n v="0.49"/>
    <m/>
    <s v=""/>
    <n v="248"/>
    <x v="15"/>
    <x v="10"/>
    <m/>
    <n v="486"/>
    <x v="2"/>
    <x v="1"/>
    <x v="39"/>
    <n v="1202.7777777777778"/>
    <n v="1829.7685185185185"/>
    <n v="621.2385321100918"/>
    <n v="3.8894736842105258"/>
    <n v="3750"/>
    <n v="38"/>
    <s v="32PCS Portable Cordless Drill Set With Cyclic Battery Drive -26 Variable Speed"/>
    <s v="3PCS Single Head Knitting Crochet Sweater Needle Set"/>
  </r>
  <r>
    <x v="95"/>
    <s v="KSh 3546"/>
    <s v="KSh 3,699"/>
    <n v="0.04"/>
    <m/>
    <s v=""/>
    <n v="3546"/>
    <x v="38"/>
    <x v="10"/>
    <m/>
    <n v="3699"/>
    <x v="2"/>
    <x v="2"/>
    <x v="88"/>
    <n v="1202.7777777777778"/>
    <n v="1829.7685185185185"/>
    <n v="621.2385321100918"/>
    <n v="3.8894736842105258"/>
    <n v="3750"/>
    <n v="38"/>
    <s v="32PCS Portable Cordless Drill Set With Cyclic Battery Drive -26 Variable Speed"/>
    <s v="3PCS Single Head Knitting Crochet Sweater Needle Set"/>
  </r>
  <r>
    <x v="96"/>
    <s v="KSh 525"/>
    <s v="KSh 1,029"/>
    <n v="0.49"/>
    <m/>
    <s v=""/>
    <n v="525"/>
    <x v="15"/>
    <x v="10"/>
    <m/>
    <n v="1029"/>
    <x v="2"/>
    <x v="1"/>
    <x v="89"/>
    <n v="1202.7777777777778"/>
    <n v="1829.7685185185185"/>
    <n v="621.2385321100918"/>
    <n v="3.8894736842105258"/>
    <n v="3750"/>
    <n v="38"/>
    <s v="32PCS Portable Cordless Drill Set With Cyclic Battery Drive -26 Variable Speed"/>
    <s v="3PCS Single Head Knitting Crochet Sweater Needle Set"/>
  </r>
  <r>
    <x v="97"/>
    <s v="KSh 1080"/>
    <s v="KSh 1,874"/>
    <n v="0.42"/>
    <m/>
    <s v=""/>
    <n v="1080"/>
    <x v="11"/>
    <x v="10"/>
    <m/>
    <n v="1874"/>
    <x v="2"/>
    <x v="1"/>
    <x v="90"/>
    <n v="1202.7777777777778"/>
    <n v="1829.7685185185185"/>
    <n v="621.2385321100918"/>
    <n v="3.8894736842105258"/>
    <n v="3750"/>
    <n v="38"/>
    <s v="32PCS Portable Cordless Drill Set With Cyclic Battery Drive -26 Variable Speed"/>
    <s v="3PCS Single Head Knitting Crochet Sweater Needle Set"/>
  </r>
  <r>
    <x v="98"/>
    <s v="KSh 3640"/>
    <s v="KSh 4,588"/>
    <n v="0.21"/>
    <n v="-1"/>
    <s v="5 out of 5"/>
    <n v="3640"/>
    <x v="43"/>
    <x v="8"/>
    <n v="1"/>
    <n v="4588"/>
    <x v="0"/>
    <x v="0"/>
    <x v="91"/>
    <n v="1202.7777777777778"/>
    <n v="1829.7685185185185"/>
    <n v="621.2385321100918"/>
    <n v="3.8894736842105258"/>
    <n v="3750"/>
    <n v="38"/>
    <s v="32PCS Portable Cordless Drill Set With Cyclic Battery Drive -26 Variable Speed"/>
    <s v="3PCS Single Head Knitting Crochet Sweater Needle Set"/>
  </r>
  <r>
    <x v="99"/>
    <s v="KSh 1420"/>
    <s v="KSh 2,420"/>
    <n v="0.41"/>
    <m/>
    <s v=""/>
    <n v="1420"/>
    <x v="28"/>
    <x v="10"/>
    <m/>
    <n v="2420"/>
    <x v="2"/>
    <x v="1"/>
    <x v="63"/>
    <n v="1202.7777777777778"/>
    <n v="1829.7685185185185"/>
    <n v="621.2385321100918"/>
    <n v="3.8894736842105258"/>
    <n v="3750"/>
    <n v="38"/>
    <s v="32PCS Portable Cordless Drill Set With Cyclic Battery Drive -26 Variable Speed"/>
    <s v="3PCS Single Head Knitting Crochet Sweater Needle Set"/>
  </r>
  <r>
    <x v="100"/>
    <s v="KSh 1875"/>
    <s v="KSh 1,899"/>
    <n v="0.01"/>
    <m/>
    <s v=""/>
    <n v="1875"/>
    <x v="44"/>
    <x v="10"/>
    <m/>
    <n v="1899"/>
    <x v="2"/>
    <x v="2"/>
    <x v="92"/>
    <n v="1202.7777777777778"/>
    <n v="1829.7685185185185"/>
    <n v="621.2385321100918"/>
    <n v="3.8894736842105258"/>
    <n v="3750"/>
    <n v="38"/>
    <s v="32PCS Portable Cordless Drill Set With Cyclic Battery Drive -26 Variable Speed"/>
    <s v="3PCS Single Head Knitting Crochet Sweater Needle Set"/>
  </r>
  <r>
    <x v="101"/>
    <s v="KSh 198"/>
    <s v="KSh 260"/>
    <n v="0.24"/>
    <m/>
    <s v=""/>
    <n v="198"/>
    <x v="6"/>
    <x v="10"/>
    <m/>
    <n v="260"/>
    <x v="2"/>
    <x v="0"/>
    <x v="93"/>
    <n v="1202.7777777777778"/>
    <n v="1829.7685185185185"/>
    <n v="621.2385321100918"/>
    <n v="3.8894736842105258"/>
    <n v="3750"/>
    <n v="38"/>
    <s v="32PCS Portable Cordless Drill Set With Cyclic Battery Drive -26 Variable Speed"/>
    <s v="3PCS Single Head Knitting Crochet Sweater Needle Set"/>
  </r>
  <r>
    <x v="102"/>
    <s v="KSh 1150"/>
    <s v="KSh 1,737"/>
    <n v="0.34"/>
    <m/>
    <s v=""/>
    <n v="1150"/>
    <x v="10"/>
    <x v="10"/>
    <m/>
    <n v="1737"/>
    <x v="2"/>
    <x v="0"/>
    <x v="94"/>
    <n v="1202.7777777777778"/>
    <n v="1829.7685185185185"/>
    <n v="621.2385321100918"/>
    <n v="3.8894736842105258"/>
    <n v="3750"/>
    <n v="38"/>
    <s v="32PCS Portable Cordless Drill Set With Cyclic Battery Drive -26 Variable Speed"/>
    <s v="3PCS Single Head Knitting Crochet Sweater Needle Set"/>
  </r>
  <r>
    <x v="103"/>
    <s v="KSh 1190"/>
    <s v="KSh 1,810"/>
    <n v="0.34"/>
    <m/>
    <s v=""/>
    <n v="1190"/>
    <x v="10"/>
    <x v="10"/>
    <m/>
    <n v="1810"/>
    <x v="2"/>
    <x v="0"/>
    <x v="95"/>
    <n v="1202.7777777777778"/>
    <n v="1829.7685185185185"/>
    <n v="621.2385321100918"/>
    <n v="3.8894736842105258"/>
    <n v="3750"/>
    <n v="38"/>
    <s v="32PCS Portable Cordless Drill Set With Cyclic Battery Drive -26 Variable Speed"/>
    <s v="3PCS Single Head Knitting Crochet Sweater Needle Set"/>
  </r>
  <r>
    <x v="104"/>
    <s v="KSh 1658"/>
    <s v="KSh 1,699"/>
    <n v="0.02"/>
    <m/>
    <s v=""/>
    <n v="1658"/>
    <x v="30"/>
    <x v="10"/>
    <m/>
    <n v="1699"/>
    <x v="2"/>
    <x v="2"/>
    <x v="96"/>
    <n v="1202.7777777777778"/>
    <n v="1829.7685185185185"/>
    <n v="621.2385321100918"/>
    <n v="3.8894736842105258"/>
    <n v="3750"/>
    <n v="38"/>
    <s v="32PCS Portable Cordless Drill Set With Cyclic Battery Drive -26 Variable Speed"/>
    <s v="3PCS Single Head Knitting Crochet Sweater Needle Set"/>
  </r>
  <r>
    <x v="105"/>
    <s v="KSh 1768"/>
    <s v="KSh 1,799"/>
    <n v="0.02"/>
    <m/>
    <s v=""/>
    <n v="1768"/>
    <x v="30"/>
    <x v="10"/>
    <m/>
    <n v="1799"/>
    <x v="2"/>
    <x v="2"/>
    <x v="97"/>
    <n v="1202.7777777777778"/>
    <n v="1829.7685185185185"/>
    <n v="621.2385321100918"/>
    <n v="3.8894736842105258"/>
    <n v="3750"/>
    <n v="38"/>
    <s v="32PCS Portable Cordless Drill Set With Cyclic Battery Drive -26 Variable Speed"/>
    <s v="3PCS Single Head Knitting Crochet Sweater Needle Set"/>
  </r>
  <r>
    <x v="106"/>
    <s v="KSh 199"/>
    <s v="KSh 553"/>
    <n v="0.64"/>
    <m/>
    <s v=""/>
    <n v="199"/>
    <x v="45"/>
    <x v="10"/>
    <m/>
    <n v="553"/>
    <x v="2"/>
    <x v="1"/>
    <x v="98"/>
    <n v="1202.7777777777778"/>
    <n v="1829.7685185185185"/>
    <n v="621.2385321100918"/>
    <n v="3.8894736842105258"/>
    <n v="3750"/>
    <n v="38"/>
    <s v="32PCS Portable Cordless Drill Set With Cyclic Battery Drive -26 Variable Speed"/>
    <s v="3PCS Single Head Knitting Crochet Sweater Needle Set"/>
  </r>
  <r>
    <x v="107"/>
    <s v="KSh 450"/>
    <s v="KSh 900"/>
    <n v="0.5"/>
    <n v="-1"/>
    <s v="2 out of 5"/>
    <n v="450"/>
    <x v="29"/>
    <x v="22"/>
    <n v="1"/>
    <n v="900"/>
    <x v="3"/>
    <x v="1"/>
    <x v="40"/>
    <n v="1202.7777777777778"/>
    <n v="1829.7685185185185"/>
    <n v="621.2385321100918"/>
    <n v="3.8894736842105258"/>
    <n v="3750"/>
    <n v="38"/>
    <s v="32PCS Portable Cordless Drill Set With Cyclic Battery Drive -26 Variable Speed"/>
    <s v="3PCS Single Head Knitting Crochet Sweater Needle Set"/>
  </r>
  <r>
    <x v="108"/>
    <s v="KSh 169"/>
    <s v="KSh 320"/>
    <n v="0.47"/>
    <m/>
    <s v=""/>
    <n v="169"/>
    <x v="1"/>
    <x v="10"/>
    <m/>
    <n v="320"/>
    <x v="2"/>
    <x v="1"/>
    <x v="99"/>
    <n v="1202.7777777777778"/>
    <n v="1829.7685185185185"/>
    <n v="621.2385321100918"/>
    <n v="3.8894736842105258"/>
    <n v="3750"/>
    <n v="38"/>
    <s v="32PCS Portable Cordless Drill Set With Cyclic Battery Drive -26 Variable Speed"/>
    <s v="3PCS Single Head Knitting Crochet Sweater Needle S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59F6C1-C45B-4B62-A3F3-723886B4565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4" firstHeaderRow="0" firstDataRow="1" firstDataCol="1"/>
  <pivotFields count="22">
    <pivotField showAll="0"/>
    <pivotField showAll="0"/>
    <pivotField showAll="0"/>
    <pivotField showAll="0"/>
    <pivotField showAll="0"/>
    <pivotField showAll="0"/>
    <pivotField showAll="0"/>
    <pivotField dataField="1"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 showAll="0"/>
    <pivotField showAll="0"/>
    <pivotField axis="axisRow" numFmtId="164" showAll="0">
      <items count="101">
        <item x="36"/>
        <item x="92"/>
        <item x="97"/>
        <item x="77"/>
        <item x="41"/>
        <item x="48"/>
        <item x="50"/>
        <item x="96"/>
        <item x="20"/>
        <item x="93"/>
        <item x="72"/>
        <item x="49"/>
        <item x="85"/>
        <item x="81"/>
        <item x="87"/>
        <item x="99"/>
        <item x="88"/>
        <item x="16"/>
        <item x="34"/>
        <item x="29"/>
        <item x="10"/>
        <item x="73"/>
        <item x="25"/>
        <item x="82"/>
        <item x="79"/>
        <item x="39"/>
        <item x="67"/>
        <item x="80"/>
        <item x="35"/>
        <item x="5"/>
        <item x="47"/>
        <item x="46"/>
        <item x="78"/>
        <item x="65"/>
        <item x="56"/>
        <item x="61"/>
        <item x="15"/>
        <item x="98"/>
        <item x="60"/>
        <item x="13"/>
        <item x="68"/>
        <item x="52"/>
        <item x="59"/>
        <item x="40"/>
        <item x="38"/>
        <item x="22"/>
        <item x="1"/>
        <item x="12"/>
        <item x="23"/>
        <item x="89"/>
        <item x="11"/>
        <item x="57"/>
        <item x="51"/>
        <item x="0"/>
        <item x="94"/>
        <item x="7"/>
        <item x="43"/>
        <item x="4"/>
        <item x="95"/>
        <item x="26"/>
        <item x="53"/>
        <item x="44"/>
        <item x="71"/>
        <item x="18"/>
        <item x="31"/>
        <item x="6"/>
        <item x="32"/>
        <item x="2"/>
        <item x="27"/>
        <item x="45"/>
        <item x="54"/>
        <item x="90"/>
        <item x="86"/>
        <item x="14"/>
        <item x="62"/>
        <item x="76"/>
        <item x="69"/>
        <item x="83"/>
        <item x="3"/>
        <item x="66"/>
        <item x="75"/>
        <item x="91"/>
        <item x="19"/>
        <item x="63"/>
        <item x="42"/>
        <item x="74"/>
        <item x="55"/>
        <item x="33"/>
        <item x="84"/>
        <item x="9"/>
        <item x="21"/>
        <item x="70"/>
        <item x="8"/>
        <item x="30"/>
        <item x="37"/>
        <item x="28"/>
        <item x="17"/>
        <item x="64"/>
        <item x="24"/>
        <item x="58"/>
        <item t="default"/>
      </items>
    </pivotField>
    <pivotField showAll="0"/>
    <pivotField showAll="0"/>
    <pivotField showAll="0"/>
    <pivotField showAll="0"/>
    <pivotField showAll="0"/>
    <pivotField showAll="0"/>
    <pivotField showAll="0"/>
    <pivotField showAll="0"/>
  </pivotFields>
  <rowFields count="1">
    <field x="1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Average of Ratings Cleaned " fld="8" subtotal="average" baseField="13" baseItem="0"/>
    <dataField name="Average of Discount Cleaned" fld="7" subtotal="average"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668838-9F3C-4851-8F49-B503C2BE0CA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2">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1"/>
        <item x="0"/>
        <item x="3"/>
        <item x="2"/>
        <item t="default"/>
      </items>
    </pivotField>
    <pivotField showAll="0"/>
    <pivotField numFmtId="164"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Count of Product"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43D22C-E3E9-491F-B64E-1833F3253B7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2">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4">
        <item x="1"/>
        <item x="2"/>
        <item x="0"/>
        <item t="default"/>
      </items>
    </pivotField>
    <pivotField numFmtId="164" showAll="0"/>
    <pivotField showAll="0"/>
    <pivotField showAll="0"/>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Average of Positive Review" fld="9"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EE950A-4C0E-437F-8B53-E6DCA894E90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2">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1"/>
        <item x="0"/>
        <item x="3"/>
        <item x="2"/>
        <item t="default"/>
      </items>
    </pivotField>
    <pivotField showAll="0"/>
    <pivotField numFmtId="164"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Average of Positive Review" fld="9"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8FCF32-FDFC-423F-B97E-6D6F3C7C4226}"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6:N116" firstHeaderRow="1" firstDataRow="1" firstDataCol="1"/>
  <pivotFields count="22">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4">
        <item x="1"/>
        <item x="2"/>
        <item x="0"/>
        <item t="default"/>
      </items>
    </pivotField>
    <pivotField numFmtId="164" showAll="0"/>
    <pivotField showAll="0"/>
    <pivotField showAll="0"/>
    <pivotField showAll="0"/>
    <pivotField showAll="0"/>
    <pivotField showAll="0"/>
    <pivotField showAll="0"/>
    <pivotField showAll="0"/>
    <pivotField showAll="0"/>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Items count="1">
    <i/>
  </colItems>
  <dataFields count="1">
    <dataField name="Sum of Positive Review"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91E2AF-D22A-466F-A016-1CE329FAEE75}"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6:J10" firstHeaderRow="1" firstDataRow="1" firstDataCol="1"/>
  <pivotFields count="22">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4">
        <item x="1"/>
        <item x="2"/>
        <item x="0"/>
        <item t="default"/>
      </items>
    </pivotField>
    <pivotField numFmtId="164" showAll="0"/>
    <pivotField showAll="0"/>
    <pivotField showAll="0"/>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Sum of Positive Review"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97CBEE-A81C-4CC2-8223-4B075C82081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6:F11" firstHeaderRow="1" firstDataRow="1" firstDataCol="1"/>
  <pivotFields count="22">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1"/>
        <item x="0"/>
        <item x="3"/>
        <item x="2"/>
        <item t="default"/>
      </items>
    </pivotField>
    <pivotField showAll="0">
      <items count="4">
        <item x="1"/>
        <item x="2"/>
        <item x="0"/>
        <item t="default"/>
      </items>
    </pivotField>
    <pivotField numFmtId="164"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Average of Positive Review" fld="9" subtotal="average" baseField="1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7FA81B-68EA-4E7A-8B8D-F0FD91418C0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B11" firstHeaderRow="1" firstDataRow="1" firstDataCol="1"/>
  <pivotFields count="22">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1"/>
        <item x="0"/>
        <item x="3"/>
        <item x="2"/>
        <item t="default"/>
      </items>
    </pivotField>
    <pivotField showAll="0">
      <items count="4">
        <item x="1"/>
        <item x="2"/>
        <item x="0"/>
        <item t="default"/>
      </items>
    </pivotField>
    <pivotField numFmtId="164"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Count of Product"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8B72E3-226D-4A16-848B-B220B33D489E}" autoFormatId="16" applyNumberFormats="0" applyBorderFormats="0" applyFontFormats="0" applyPatternFormats="0" applyAlignmentFormats="0" applyWidthHeightFormats="0">
  <queryTableRefresh nextId="27" unboundColumnsRight="10">
    <queryTableFields count="24">
      <queryTableField id="1" name="Product" tableColumnId="1"/>
      <queryTableField id="2" name="Current price" tableColumnId="2"/>
      <queryTableField id="3" name="old price" tableColumnId="3"/>
      <queryTableField id="4" name="Discount" tableColumnId="4"/>
      <queryTableField id="5" name="Review" tableColumnId="5"/>
      <queryTableField id="6" name="Ratingd" tableColumnId="6"/>
      <queryTableField id="7" name="Final Cleaned Price" tableColumnId="7"/>
      <queryTableField id="8" name="Discount Cleaned" tableColumnId="8"/>
      <queryTableField id="9" name="Ratings Cleaned " tableColumnId="9"/>
      <queryTableField id="10" name="Positive Review" tableColumnId="10"/>
      <queryTableField id="26" dataBound="0" tableColumnId="17"/>
      <queryTableField id="12" name="Old Price Cleaned" tableColumnId="12"/>
      <queryTableField id="14" name="Rating Category" tableColumnId="14"/>
      <queryTableField id="15" name="Discount Category " tableColumnId="15"/>
      <queryTableField id="11" dataBound="0" tableColumnId="11"/>
      <queryTableField id="16" dataBound="0" tableColumnId="16"/>
      <queryTableField id="17" dataBound="0" tableColumnId="18"/>
      <queryTableField id="18" dataBound="0" tableColumnId="19"/>
      <queryTableField id="19" dataBound="0" tableColumnId="20"/>
      <queryTableField id="20" dataBound="0" tableColumnId="21"/>
      <queryTableField id="21" dataBound="0" tableColumnId="22"/>
      <queryTableField id="22" dataBound="0" tableColumnId="23"/>
      <queryTableField id="23" dataBound="0" tableColumnId="24"/>
      <queryTableField id="25" dataBound="0" tableColumnId="13"/>
    </queryTableFields>
    <queryTableDeletedFields count="1">
      <deletedField name="RowOrde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38A1127C-2866-49CA-AC5D-2A98A855D854}" sourceName="Rating Category">
  <pivotTables>
    <pivotTable tabId="9" name="PivotTable1"/>
  </pivotTables>
  <data>
    <tabular pivotCacheId="1860770274">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4063B452-C638-4BD2-96EC-4FDB0E827F2E}" sourceName="Discount Category ">
  <pivotTables>
    <pivotTable tabId="9" name="PivotTable1"/>
    <pivotTable tabId="9" name="PivotTable2"/>
    <pivotTable tabId="9" name="PivotTable3"/>
    <pivotTable tabId="9" name="PivotTable4"/>
  </pivotTables>
  <data>
    <tabular pivotCacheId="186077027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11A87295-05E0-46D7-8CCF-01F61BEA6493}" cache="Slicer_Rating_Category" caption="Rating Category" rowHeight="241300"/>
  <slicer name="Discount Category " xr10:uid="{16950E97-860D-4CBD-AEA7-D7122E9699CD}" cache="Slicer_Discount_Category" caption="Discount Category "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1BA822-5B28-4124-952C-B58B2814A022}" name="Excel_jumia" displayName="Excel_jumia" ref="A1:X110" tableType="queryTable" totalsRowShown="0">
  <autoFilter ref="A1:X110" xr:uid="{561BA822-5B28-4124-952C-B58B2814A022}"/>
  <sortState xmlns:xlrd2="http://schemas.microsoft.com/office/spreadsheetml/2017/richdata2" ref="A2:W110">
    <sortCondition descending="1" ref="O1:O110"/>
  </sortState>
  <tableColumns count="24">
    <tableColumn id="1" xr3:uid="{8935BAE4-A895-4F94-8D94-4CB5E53DEE5E}" uniqueName="1" name="Product" queryTableFieldId="1" dataDxfId="23"/>
    <tableColumn id="2" xr3:uid="{EB0990D9-0610-4498-B039-31698CCE686A}" uniqueName="2" name="Current price" queryTableFieldId="2" dataDxfId="22"/>
    <tableColumn id="3" xr3:uid="{96E5BF57-99B1-44A7-9A94-94E2C80B3E92}" uniqueName="3" name="old price" queryTableFieldId="3" dataDxfId="21"/>
    <tableColumn id="4" xr3:uid="{87E8F5BD-EEED-4A08-B410-8878275E2210}" uniqueName="4" name="Discount" queryTableFieldId="4" dataDxfId="20"/>
    <tableColumn id="5" xr3:uid="{B73CDA32-B1F5-41D3-8B10-4F68D73C5F9A}" uniqueName="5" name="Review" queryTableFieldId="5" dataDxfId="19"/>
    <tableColumn id="6" xr3:uid="{F1EE061F-8AF8-45EE-9F97-DB672A928727}" uniqueName="6" name="Ratingd" queryTableFieldId="6" dataDxfId="18"/>
    <tableColumn id="7" xr3:uid="{BABD001B-3FB5-4ADF-A4FD-D8BF7799DF65}" uniqueName="7" name="Final Cleaned Price" queryTableFieldId="7" dataDxfId="17"/>
    <tableColumn id="8" xr3:uid="{CAAF1A31-5108-43EC-B2D8-DCA2F4B807FF}" uniqueName="8" name="Discount Cleaned" queryTableFieldId="8" dataDxfId="16"/>
    <tableColumn id="9" xr3:uid="{78CACDCB-17A1-43C4-9992-E7A4574866F6}" uniqueName="9" name="Ratings Cleaned " queryTableFieldId="9" dataDxfId="15"/>
    <tableColumn id="10" xr3:uid="{ABE2AB0C-524F-4818-B63A-376E80F3BC6B}" uniqueName="10" name="Positive Review" queryTableFieldId="10" dataDxfId="14"/>
    <tableColumn id="17" xr3:uid="{35B01C13-77D9-432C-8C56-F6B5908FABF6}" uniqueName="17" name="POSITIVE SUMMATION" queryTableFieldId="26" dataDxfId="0">
      <calculatedColumnFormula>SUM(J2:J110)</calculatedColumnFormula>
    </tableColumn>
    <tableColumn id="12" xr3:uid="{090165D2-D1F9-4476-BC16-25FFDC82E949}" uniqueName="12" name="Old Price Cleaned" queryTableFieldId="12" dataDxfId="13"/>
    <tableColumn id="14" xr3:uid="{06A17F32-1C88-4C47-B3DB-F8C59A046B86}" uniqueName="14" name="Rating Category" queryTableFieldId="14" dataDxfId="12"/>
    <tableColumn id="15" xr3:uid="{EEBC9410-7728-421D-9908-04833359786B}" uniqueName="15" name="Discount Category " queryTableFieldId="15" dataDxfId="11"/>
    <tableColumn id="11" xr3:uid="{372E4833-3A10-4DE3-A6AC-E95B77109C99}" uniqueName="11" name="Discount Amount" queryTableFieldId="11" dataDxfId="10">
      <calculatedColumnFormula>(L2-G2)</calculatedColumnFormula>
    </tableColumn>
    <tableColumn id="16" xr3:uid="{E17B40C5-256D-4570-8F48-FA655B5331D0}" uniqueName="16" name="Average Cleaned Price" queryTableFieldId="16" dataDxfId="9">
      <calculatedColumnFormula>AVERAGE(Excel_jumia[Final Cleaned Price])</calculatedColumnFormula>
    </tableColumn>
    <tableColumn id="18" xr3:uid="{58E11ABC-A598-49F2-A937-444518A8304C}" uniqueName="18" name="Average Old price cleaned" queryTableFieldId="17" dataDxfId="8">
      <calculatedColumnFormula>AVERAGE(Excel_jumia[Old Price Cleaned])</calculatedColumnFormula>
    </tableColumn>
    <tableColumn id="19" xr3:uid="{33F105C7-3687-48DE-AEBC-31F550F88D69}" uniqueName="19" name="Average Discount" queryTableFieldId="18" dataDxfId="7">
      <calculatedColumnFormula>AVERAGE(Excel_jumia[Discount Amount])</calculatedColumnFormula>
    </tableColumn>
    <tableColumn id="20" xr3:uid="{9971B7B2-8470-4080-AD84-5C48C4D12F4F}" uniqueName="20" name="Avarage Rating" queryTableFieldId="19" dataDxfId="6">
      <calculatedColumnFormula>AVERAGE(Excel_jumia[[Ratings Cleaned ]])</calculatedColumnFormula>
    </tableColumn>
    <tableColumn id="21" xr3:uid="{8A1D27F3-CAE7-48CF-8C34-9D31B5405652}" uniqueName="21" name="Most Expensive Product" queryTableFieldId="20" dataDxfId="5">
      <calculatedColumnFormula>MAX(Excel_jumia[Final Cleaned Price])</calculatedColumnFormula>
    </tableColumn>
    <tableColumn id="22" xr3:uid="{16F3D402-606B-4232-AD9A-3A6046BC7412}" uniqueName="22" name="Least Expensive Product" queryTableFieldId="21" dataDxfId="4">
      <calculatedColumnFormula>MIN(Excel_jumia[Final Cleaned Price])</calculatedColumnFormula>
    </tableColumn>
    <tableColumn id="23" xr3:uid="{2BB27CFE-8C4D-4792-BDCC-49BF3CE69C05}" uniqueName="23" name="Expensive Product Name" queryTableFieldId="22" dataDxfId="3">
      <calculatedColumnFormula>_xlfn.XLOOKUP(MAX(Excel_jumia[Final Cleaned Price]), Excel_jumia[Final Cleaned Price], Excel_jumia[Product])</calculatedColumnFormula>
    </tableColumn>
    <tableColumn id="24" xr3:uid="{EF6A15FE-7B59-440D-B804-C3D33BB61C55}" uniqueName="24" name="Less Expensive Product" queryTableFieldId="23" dataDxfId="2">
      <calculatedColumnFormula>_xlfn.XLOOKUP(MIN(Excel_jumia[Final Cleaned Price]), Excel_jumia[Final Cleaned Price], Excel_jumia[Product])</calculatedColumnFormula>
    </tableColumn>
    <tableColumn id="13" xr3:uid="{70883CCF-7EBE-4B65-8621-24C8083E63BB}" uniqueName="13" name="Total Product " queryTableFieldId="25" dataDxfId="1">
      <calculatedColumnFormula>COUNTA(A2:A110)</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F371-176D-4E48-8E74-316B18EDFB39}">
  <sheetPr>
    <tabColor theme="5" tint="0.39997558519241921"/>
  </sheetPr>
  <dimension ref="A3:C104"/>
  <sheetViews>
    <sheetView topLeftCell="A76" workbookViewId="0">
      <selection activeCell="A3" sqref="A3"/>
    </sheetView>
  </sheetViews>
  <sheetFormatPr defaultRowHeight="14.5" x14ac:dyDescent="0.35"/>
  <cols>
    <col min="1" max="1" width="12.36328125" bestFit="1" customWidth="1"/>
    <col min="2" max="2" width="24.1796875" bestFit="1" customWidth="1"/>
    <col min="3" max="3" width="25" bestFit="1" customWidth="1"/>
    <col min="4" max="12" width="4.81640625" bestFit="1" customWidth="1"/>
    <col min="13" max="13" width="3.81640625" bestFit="1" customWidth="1"/>
    <col min="14" max="21" width="4.81640625" bestFit="1" customWidth="1"/>
    <col min="22" max="22" width="3.81640625" bestFit="1" customWidth="1"/>
    <col min="23" max="30" width="4.81640625" bestFit="1" customWidth="1"/>
    <col min="31" max="31" width="3.81640625" bestFit="1" customWidth="1"/>
    <col min="32" max="39" width="4.81640625" bestFit="1" customWidth="1"/>
    <col min="40" max="40" width="3.81640625" bestFit="1" customWidth="1"/>
    <col min="41" max="47" width="4.81640625" bestFit="1" customWidth="1"/>
    <col min="48" max="48" width="10.7265625" bestFit="1" customWidth="1"/>
    <col min="49" max="49" width="4.81640625" bestFit="1" customWidth="1"/>
    <col min="50" max="50" width="8.08984375" bestFit="1" customWidth="1"/>
    <col min="51" max="51" width="5.6328125" bestFit="1" customWidth="1"/>
    <col min="52" max="52" width="8.08984375" bestFit="1" customWidth="1"/>
    <col min="53" max="53" width="5.6328125" bestFit="1" customWidth="1"/>
    <col min="54" max="55" width="4.81640625" bestFit="1" customWidth="1"/>
    <col min="56" max="56" width="8.08984375" bestFit="1" customWidth="1"/>
    <col min="57" max="57" width="5.6328125" bestFit="1" customWidth="1"/>
    <col min="58" max="61" width="4.81640625" bestFit="1" customWidth="1"/>
    <col min="62" max="62" width="8.08984375" bestFit="1" customWidth="1"/>
    <col min="63" max="63" width="5.6328125" bestFit="1" customWidth="1"/>
    <col min="64" max="65" width="4.81640625" bestFit="1" customWidth="1"/>
    <col min="66" max="66" width="8.08984375" bestFit="1" customWidth="1"/>
    <col min="67" max="67" width="5.6328125" bestFit="1" customWidth="1"/>
    <col min="68" max="69" width="4.81640625" bestFit="1" customWidth="1"/>
    <col min="70" max="70" width="8.08984375" bestFit="1" customWidth="1"/>
    <col min="71" max="71" width="4.81640625" bestFit="1" customWidth="1"/>
    <col min="72" max="72" width="3.81640625" bestFit="1" customWidth="1"/>
    <col min="73" max="76" width="4.81640625" bestFit="1" customWidth="1"/>
    <col min="77" max="77" width="6.54296875" bestFit="1" customWidth="1"/>
    <col min="78" max="78" width="8.54296875" bestFit="1" customWidth="1"/>
    <col min="79" max="99" width="4.81640625" bestFit="1" customWidth="1"/>
    <col min="100" max="100" width="3.81640625" bestFit="1" customWidth="1"/>
    <col min="101" max="102" width="4.81640625" bestFit="1" customWidth="1"/>
    <col min="103" max="103" width="11.453125" bestFit="1" customWidth="1"/>
    <col min="104" max="104" width="10.7265625" bestFit="1" customWidth="1"/>
    <col min="105" max="105" width="5.6328125" bestFit="1" customWidth="1"/>
    <col min="106" max="106" width="3.81640625" bestFit="1" customWidth="1"/>
    <col min="107" max="107" width="6.7265625" bestFit="1" customWidth="1"/>
    <col min="108" max="108" width="8.08984375" bestFit="1" customWidth="1"/>
    <col min="109" max="109" width="6.6328125" bestFit="1" customWidth="1"/>
    <col min="110" max="110" width="9.08984375" bestFit="1" customWidth="1"/>
    <col min="111" max="111" width="6.6328125" bestFit="1" customWidth="1"/>
    <col min="112" max="112" width="3.81640625" bestFit="1" customWidth="1"/>
    <col min="113" max="113" width="9.08984375" bestFit="1" customWidth="1"/>
    <col min="114" max="114" width="6.6328125" bestFit="1" customWidth="1"/>
    <col min="115" max="115" width="1.81640625" bestFit="1" customWidth="1"/>
    <col min="116" max="116" width="9.08984375" bestFit="1" customWidth="1"/>
    <col min="117" max="117" width="6.6328125" bestFit="1" customWidth="1"/>
    <col min="118" max="118" width="3.81640625" bestFit="1" customWidth="1"/>
    <col min="119" max="119" width="9.08984375" bestFit="1" customWidth="1"/>
    <col min="120" max="120" width="6.6328125" bestFit="1" customWidth="1"/>
    <col min="121" max="121" width="3.81640625" bestFit="1" customWidth="1"/>
    <col min="122" max="122" width="9.08984375" bestFit="1" customWidth="1"/>
    <col min="123" max="123" width="6.7265625" bestFit="1" customWidth="1"/>
    <col min="124" max="124" width="9.08984375" bestFit="1" customWidth="1"/>
    <col min="125" max="125" width="6.7265625" bestFit="1" customWidth="1"/>
    <col min="126" max="126" width="9.08984375" bestFit="1" customWidth="1"/>
    <col min="127" max="127" width="10.7265625" bestFit="1" customWidth="1"/>
  </cols>
  <sheetData>
    <row r="3" spans="1:3" x14ac:dyDescent="0.35">
      <c r="A3" s="2" t="s">
        <v>346</v>
      </c>
      <c r="B3" t="s">
        <v>349</v>
      </c>
      <c r="C3" t="s">
        <v>350</v>
      </c>
    </row>
    <row r="4" spans="1:3" x14ac:dyDescent="0.35">
      <c r="A4" s="3">
        <v>0</v>
      </c>
      <c r="B4">
        <v>4.5</v>
      </c>
      <c r="C4">
        <v>0.38</v>
      </c>
    </row>
    <row r="5" spans="1:3" x14ac:dyDescent="0.35">
      <c r="A5" s="3">
        <v>24</v>
      </c>
      <c r="C5">
        <v>0.01</v>
      </c>
    </row>
    <row r="6" spans="1:3" x14ac:dyDescent="0.35">
      <c r="A6" s="3">
        <v>31</v>
      </c>
      <c r="C6">
        <v>0.02</v>
      </c>
    </row>
    <row r="7" spans="1:3" x14ac:dyDescent="0.35">
      <c r="A7" s="3">
        <v>33</v>
      </c>
      <c r="C7">
        <v>0.02</v>
      </c>
    </row>
    <row r="8" spans="1:3" x14ac:dyDescent="0.35">
      <c r="A8" s="3">
        <v>37</v>
      </c>
      <c r="C8">
        <v>0.02</v>
      </c>
    </row>
    <row r="9" spans="1:3" x14ac:dyDescent="0.35">
      <c r="A9" s="3">
        <v>39</v>
      </c>
      <c r="C9">
        <v>0.02</v>
      </c>
    </row>
    <row r="10" spans="1:3" x14ac:dyDescent="0.35">
      <c r="A10" s="3">
        <v>40</v>
      </c>
      <c r="C10">
        <v>0.03</v>
      </c>
    </row>
    <row r="11" spans="1:3" x14ac:dyDescent="0.35">
      <c r="A11" s="3">
        <v>41</v>
      </c>
      <c r="C11">
        <v>0.02</v>
      </c>
    </row>
    <row r="12" spans="1:3" x14ac:dyDescent="0.35">
      <c r="A12" s="3">
        <v>42</v>
      </c>
      <c r="B12">
        <v>3.3</v>
      </c>
      <c r="C12">
        <v>0.53</v>
      </c>
    </row>
    <row r="13" spans="1:3" x14ac:dyDescent="0.35">
      <c r="A13" s="3">
        <v>62</v>
      </c>
      <c r="C13">
        <v>0.24</v>
      </c>
    </row>
    <row r="14" spans="1:3" x14ac:dyDescent="0.35">
      <c r="A14" s="3">
        <v>67</v>
      </c>
      <c r="C14">
        <v>0.04</v>
      </c>
    </row>
    <row r="15" spans="1:3" x14ac:dyDescent="0.35">
      <c r="A15" s="3">
        <v>85</v>
      </c>
      <c r="C15">
        <v>0.22</v>
      </c>
    </row>
    <row r="16" spans="1:3" x14ac:dyDescent="0.35">
      <c r="A16" s="3">
        <v>95</v>
      </c>
      <c r="C16">
        <v>0.48</v>
      </c>
    </row>
    <row r="17" spans="1:3" x14ac:dyDescent="0.35">
      <c r="A17" s="3">
        <v>101</v>
      </c>
      <c r="C17">
        <v>0.11</v>
      </c>
    </row>
    <row r="18" spans="1:3" x14ac:dyDescent="0.35">
      <c r="A18" s="3">
        <v>134</v>
      </c>
      <c r="C18">
        <v>0.08</v>
      </c>
    </row>
    <row r="19" spans="1:3" x14ac:dyDescent="0.35">
      <c r="A19" s="3">
        <v>151</v>
      </c>
      <c r="C19">
        <v>0.47</v>
      </c>
    </row>
    <row r="20" spans="1:3" x14ac:dyDescent="0.35">
      <c r="A20" s="3">
        <v>153</v>
      </c>
      <c r="C20">
        <v>0.04</v>
      </c>
    </row>
    <row r="21" spans="1:3" x14ac:dyDescent="0.35">
      <c r="A21" s="3">
        <v>165</v>
      </c>
      <c r="B21">
        <v>5</v>
      </c>
      <c r="C21">
        <v>0.46</v>
      </c>
    </row>
    <row r="22" spans="1:3" x14ac:dyDescent="0.35">
      <c r="A22" s="3">
        <v>189</v>
      </c>
      <c r="B22">
        <v>5</v>
      </c>
      <c r="C22">
        <v>0.53</v>
      </c>
    </row>
    <row r="23" spans="1:3" x14ac:dyDescent="0.35">
      <c r="A23" s="3">
        <v>197</v>
      </c>
      <c r="B23">
        <v>4.3</v>
      </c>
      <c r="C23">
        <v>0.52</v>
      </c>
    </row>
    <row r="24" spans="1:3" x14ac:dyDescent="0.35">
      <c r="A24" s="3">
        <v>200</v>
      </c>
      <c r="B24">
        <v>4.0999999999999996</v>
      </c>
      <c r="C24">
        <v>0.2</v>
      </c>
    </row>
    <row r="25" spans="1:3" x14ac:dyDescent="0.35">
      <c r="A25" s="3">
        <v>220</v>
      </c>
      <c r="C25">
        <v>0.49</v>
      </c>
    </row>
    <row r="26" spans="1:3" x14ac:dyDescent="0.35">
      <c r="A26" s="3">
        <v>227</v>
      </c>
      <c r="B26">
        <v>4.5999999999999996</v>
      </c>
      <c r="C26">
        <v>0.35</v>
      </c>
    </row>
    <row r="27" spans="1:3" x14ac:dyDescent="0.35">
      <c r="A27" s="3">
        <v>231</v>
      </c>
      <c r="C27">
        <v>0.14000000000000001</v>
      </c>
    </row>
    <row r="28" spans="1:3" x14ac:dyDescent="0.35">
      <c r="A28" s="3">
        <v>233</v>
      </c>
      <c r="C28">
        <v>0.14000000000000001</v>
      </c>
    </row>
    <row r="29" spans="1:3" x14ac:dyDescent="0.35">
      <c r="A29" s="3">
        <v>238</v>
      </c>
      <c r="C29">
        <v>0.495</v>
      </c>
    </row>
    <row r="30" spans="1:3" x14ac:dyDescent="0.35">
      <c r="A30" s="3">
        <v>257</v>
      </c>
      <c r="B30">
        <v>2.2999999999999998</v>
      </c>
      <c r="C30">
        <v>0.43</v>
      </c>
    </row>
    <row r="31" spans="1:3" x14ac:dyDescent="0.35">
      <c r="A31" s="3">
        <v>263</v>
      </c>
      <c r="C31">
        <v>0.49</v>
      </c>
    </row>
    <row r="32" spans="1:3" x14ac:dyDescent="0.35">
      <c r="A32" s="3">
        <v>267</v>
      </c>
      <c r="B32">
        <v>4.3</v>
      </c>
      <c r="C32">
        <v>0.41</v>
      </c>
    </row>
    <row r="33" spans="1:3" x14ac:dyDescent="0.35">
      <c r="A33" s="3">
        <v>291</v>
      </c>
      <c r="B33">
        <v>4</v>
      </c>
      <c r="C33">
        <v>0.09</v>
      </c>
    </row>
    <row r="34" spans="1:3" x14ac:dyDescent="0.35">
      <c r="A34" s="3">
        <v>301</v>
      </c>
      <c r="C34">
        <v>0.5</v>
      </c>
    </row>
    <row r="35" spans="1:3" x14ac:dyDescent="0.35">
      <c r="A35" s="3">
        <v>305</v>
      </c>
      <c r="C35">
        <v>0.61</v>
      </c>
    </row>
    <row r="36" spans="1:3" x14ac:dyDescent="0.35">
      <c r="A36" s="3">
        <v>317</v>
      </c>
      <c r="B36">
        <v>4</v>
      </c>
      <c r="C36">
        <v>0.49</v>
      </c>
    </row>
    <row r="37" spans="1:3" x14ac:dyDescent="0.35">
      <c r="A37" s="3">
        <v>318</v>
      </c>
      <c r="B37">
        <v>2.6</v>
      </c>
      <c r="C37">
        <v>0.45</v>
      </c>
    </row>
    <row r="38" spans="1:3" x14ac:dyDescent="0.35">
      <c r="A38" s="3">
        <v>330</v>
      </c>
      <c r="B38">
        <v>2.5</v>
      </c>
      <c r="C38">
        <v>0.13</v>
      </c>
    </row>
    <row r="39" spans="1:3" x14ac:dyDescent="0.35">
      <c r="A39" s="3">
        <v>335</v>
      </c>
      <c r="B39">
        <v>2.9</v>
      </c>
      <c r="C39">
        <v>0.22</v>
      </c>
    </row>
    <row r="40" spans="1:3" x14ac:dyDescent="0.35">
      <c r="A40" s="3">
        <v>352</v>
      </c>
      <c r="B40">
        <v>5</v>
      </c>
      <c r="C40">
        <v>0.51</v>
      </c>
    </row>
    <row r="41" spans="1:3" x14ac:dyDescent="0.35">
      <c r="A41" s="3">
        <v>354</v>
      </c>
      <c r="C41">
        <v>0.64</v>
      </c>
    </row>
    <row r="42" spans="1:3" x14ac:dyDescent="0.35">
      <c r="A42" s="3">
        <v>355</v>
      </c>
      <c r="B42">
        <v>2.7</v>
      </c>
      <c r="C42">
        <v>0.52</v>
      </c>
    </row>
    <row r="43" spans="1:3" x14ac:dyDescent="0.35">
      <c r="A43" s="3">
        <v>359</v>
      </c>
      <c r="B43">
        <v>4.5</v>
      </c>
      <c r="C43">
        <v>0.42</v>
      </c>
    </row>
    <row r="44" spans="1:3" x14ac:dyDescent="0.35">
      <c r="A44" s="3">
        <v>390</v>
      </c>
      <c r="B44">
        <v>3</v>
      </c>
      <c r="C44">
        <v>0.43</v>
      </c>
    </row>
    <row r="45" spans="1:3" x14ac:dyDescent="0.35">
      <c r="A45" s="3">
        <v>401</v>
      </c>
      <c r="C45">
        <v>0.45</v>
      </c>
    </row>
    <row r="46" spans="1:3" x14ac:dyDescent="0.35">
      <c r="A46" s="3">
        <v>428</v>
      </c>
      <c r="B46">
        <v>2.8</v>
      </c>
      <c r="C46">
        <v>0.49</v>
      </c>
    </row>
    <row r="47" spans="1:3" x14ac:dyDescent="0.35">
      <c r="A47" s="3">
        <v>450</v>
      </c>
      <c r="B47">
        <v>2</v>
      </c>
      <c r="C47">
        <v>0.45999999999999996</v>
      </c>
    </row>
    <row r="48" spans="1:3" x14ac:dyDescent="0.35">
      <c r="A48" s="3">
        <v>456</v>
      </c>
      <c r="C48">
        <v>0.49</v>
      </c>
    </row>
    <row r="49" spans="1:3" x14ac:dyDescent="0.35">
      <c r="A49" s="3">
        <v>470</v>
      </c>
      <c r="B49">
        <v>4</v>
      </c>
      <c r="C49">
        <v>0.39</v>
      </c>
    </row>
    <row r="50" spans="1:3" x14ac:dyDescent="0.35">
      <c r="A50" s="3">
        <v>472</v>
      </c>
      <c r="B50">
        <v>4.0999999999999996</v>
      </c>
      <c r="C50">
        <v>0.47</v>
      </c>
    </row>
    <row r="51" spans="1:3" x14ac:dyDescent="0.35">
      <c r="A51" s="3">
        <v>483</v>
      </c>
      <c r="B51">
        <v>4.8</v>
      </c>
      <c r="C51">
        <v>0.47</v>
      </c>
    </row>
    <row r="52" spans="1:3" x14ac:dyDescent="0.35">
      <c r="A52" s="3">
        <v>500</v>
      </c>
      <c r="B52">
        <v>4.4000000000000004</v>
      </c>
      <c r="C52">
        <v>0.23</v>
      </c>
    </row>
    <row r="53" spans="1:3" x14ac:dyDescent="0.35">
      <c r="A53" s="3">
        <v>504</v>
      </c>
      <c r="C53">
        <v>0.49</v>
      </c>
    </row>
    <row r="54" spans="1:3" x14ac:dyDescent="0.35">
      <c r="A54" s="3">
        <v>510</v>
      </c>
      <c r="B54">
        <v>4.7</v>
      </c>
      <c r="C54">
        <v>0.37000000000000005</v>
      </c>
    </row>
    <row r="55" spans="1:3" x14ac:dyDescent="0.35">
      <c r="A55" s="3">
        <v>528</v>
      </c>
      <c r="B55">
        <v>3</v>
      </c>
      <c r="C55">
        <v>0.54</v>
      </c>
    </row>
    <row r="56" spans="1:3" x14ac:dyDescent="0.35">
      <c r="A56" s="3">
        <v>544</v>
      </c>
      <c r="C56">
        <v>0.41</v>
      </c>
    </row>
    <row r="57" spans="1:3" x14ac:dyDescent="0.35">
      <c r="A57" s="3">
        <v>575</v>
      </c>
      <c r="B57">
        <v>4.5</v>
      </c>
      <c r="C57">
        <v>0.38</v>
      </c>
    </row>
    <row r="58" spans="1:3" x14ac:dyDescent="0.35">
      <c r="A58" s="3">
        <v>587</v>
      </c>
      <c r="C58">
        <v>0.34</v>
      </c>
    </row>
    <row r="59" spans="1:3" x14ac:dyDescent="0.35">
      <c r="A59" s="3">
        <v>592</v>
      </c>
      <c r="B59">
        <v>4</v>
      </c>
      <c r="C59">
        <v>0.37</v>
      </c>
    </row>
    <row r="60" spans="1:3" x14ac:dyDescent="0.35">
      <c r="A60" s="3">
        <v>595</v>
      </c>
      <c r="C60">
        <v>0.33</v>
      </c>
    </row>
    <row r="61" spans="1:3" x14ac:dyDescent="0.35">
      <c r="A61" s="3">
        <v>616</v>
      </c>
      <c r="B61">
        <v>4.8</v>
      </c>
      <c r="C61">
        <v>0.26</v>
      </c>
    </row>
    <row r="62" spans="1:3" x14ac:dyDescent="0.35">
      <c r="A62" s="3">
        <v>620</v>
      </c>
      <c r="C62">
        <v>0.34</v>
      </c>
    </row>
    <row r="63" spans="1:3" x14ac:dyDescent="0.35">
      <c r="A63" s="3">
        <v>640</v>
      </c>
      <c r="B63">
        <v>3.8</v>
      </c>
      <c r="C63">
        <v>0.25</v>
      </c>
    </row>
    <row r="64" spans="1:3" x14ac:dyDescent="0.35">
      <c r="A64" s="3">
        <v>644</v>
      </c>
      <c r="C64">
        <v>0.48</v>
      </c>
    </row>
    <row r="65" spans="1:3" x14ac:dyDescent="0.35">
      <c r="A65" s="3">
        <v>645</v>
      </c>
      <c r="C65">
        <v>0.49</v>
      </c>
    </row>
    <row r="66" spans="1:3" x14ac:dyDescent="0.35">
      <c r="A66" s="3">
        <v>695</v>
      </c>
      <c r="C66">
        <v>0.47</v>
      </c>
    </row>
    <row r="67" spans="1:3" x14ac:dyDescent="0.35">
      <c r="A67" s="3">
        <v>700</v>
      </c>
      <c r="B67">
        <v>4.5999999999999996</v>
      </c>
      <c r="C67">
        <v>0.19</v>
      </c>
    </row>
    <row r="68" spans="1:3" x14ac:dyDescent="0.35">
      <c r="A68" s="3">
        <v>710</v>
      </c>
      <c r="B68">
        <v>4.7</v>
      </c>
      <c r="C68">
        <v>0.27</v>
      </c>
    </row>
    <row r="69" spans="1:3" x14ac:dyDescent="0.35">
      <c r="A69" s="3">
        <v>713</v>
      </c>
      <c r="B69">
        <v>4.5999999999999996</v>
      </c>
      <c r="C69">
        <v>0.24</v>
      </c>
    </row>
    <row r="70" spans="1:3" x14ac:dyDescent="0.35">
      <c r="A70" s="3">
        <v>719</v>
      </c>
      <c r="B70">
        <v>4.5</v>
      </c>
      <c r="C70">
        <v>0.27</v>
      </c>
    </row>
    <row r="71" spans="1:3" x14ac:dyDescent="0.35">
      <c r="A71" s="3">
        <v>724</v>
      </c>
      <c r="B71">
        <v>4.5999999999999996</v>
      </c>
      <c r="C71">
        <v>0.25</v>
      </c>
    </row>
    <row r="72" spans="1:3" x14ac:dyDescent="0.35">
      <c r="A72" s="3">
        <v>741</v>
      </c>
      <c r="B72">
        <v>4.0999999999999996</v>
      </c>
      <c r="C72">
        <v>0.3</v>
      </c>
    </row>
    <row r="73" spans="1:3" x14ac:dyDescent="0.35">
      <c r="A73" s="3">
        <v>750</v>
      </c>
      <c r="C73">
        <v>0.38</v>
      </c>
    </row>
    <row r="74" spans="1:3" x14ac:dyDescent="0.35">
      <c r="A74" s="3">
        <v>768</v>
      </c>
      <c r="C74">
        <v>0.49</v>
      </c>
    </row>
    <row r="75" spans="1:3" x14ac:dyDescent="0.35">
      <c r="A75" s="3">
        <v>794</v>
      </c>
      <c r="C75">
        <v>0.42</v>
      </c>
    </row>
    <row r="76" spans="1:3" x14ac:dyDescent="0.35">
      <c r="A76" s="3">
        <v>800</v>
      </c>
      <c r="C76">
        <v>0.47</v>
      </c>
    </row>
    <row r="77" spans="1:3" x14ac:dyDescent="0.35">
      <c r="A77" s="3">
        <v>819</v>
      </c>
      <c r="B77">
        <v>4.2</v>
      </c>
      <c r="C77">
        <v>0.33</v>
      </c>
    </row>
    <row r="78" spans="1:3" x14ac:dyDescent="0.35">
      <c r="A78" s="3">
        <v>824</v>
      </c>
      <c r="B78">
        <v>2.2000000000000002</v>
      </c>
      <c r="C78">
        <v>0.45</v>
      </c>
    </row>
    <row r="79" spans="1:3" x14ac:dyDescent="0.35">
      <c r="A79" s="3">
        <v>830</v>
      </c>
      <c r="C79">
        <v>0.36</v>
      </c>
    </row>
    <row r="80" spans="1:3" x14ac:dyDescent="0.35">
      <c r="A80" s="3">
        <v>846</v>
      </c>
      <c r="B80">
        <v>2.2000000000000002</v>
      </c>
      <c r="C80">
        <v>0.47</v>
      </c>
    </row>
    <row r="81" spans="1:3" x14ac:dyDescent="0.35">
      <c r="A81" s="3">
        <v>850</v>
      </c>
      <c r="C81">
        <v>0.5</v>
      </c>
    </row>
    <row r="82" spans="1:3" x14ac:dyDescent="0.35">
      <c r="A82" s="3">
        <v>919</v>
      </c>
      <c r="B82">
        <v>4.7</v>
      </c>
      <c r="C82">
        <v>0.37</v>
      </c>
    </row>
    <row r="83" spans="1:3" x14ac:dyDescent="0.35">
      <c r="A83" s="3">
        <v>940</v>
      </c>
      <c r="B83">
        <v>3</v>
      </c>
      <c r="C83">
        <v>0.28999999999999998</v>
      </c>
    </row>
    <row r="84" spans="1:3" x14ac:dyDescent="0.35">
      <c r="A84" s="3">
        <v>941</v>
      </c>
      <c r="B84">
        <v>5</v>
      </c>
      <c r="C84">
        <v>0.49</v>
      </c>
    </row>
    <row r="85" spans="1:3" x14ac:dyDescent="0.35">
      <c r="A85" s="3">
        <v>948</v>
      </c>
      <c r="B85">
        <v>5</v>
      </c>
      <c r="C85">
        <v>0.21</v>
      </c>
    </row>
    <row r="86" spans="1:3" x14ac:dyDescent="0.35">
      <c r="A86" s="3">
        <v>968</v>
      </c>
      <c r="B86">
        <v>4.5999999999999996</v>
      </c>
      <c r="C86">
        <v>0.49</v>
      </c>
    </row>
    <row r="87" spans="1:3" x14ac:dyDescent="0.35">
      <c r="A87" s="3">
        <v>1000</v>
      </c>
      <c r="B87">
        <v>2.2999999999999998</v>
      </c>
      <c r="C87">
        <v>0.45499999999999996</v>
      </c>
    </row>
    <row r="88" spans="1:3" x14ac:dyDescent="0.35">
      <c r="A88" s="3">
        <v>1001</v>
      </c>
      <c r="C88">
        <v>0.5</v>
      </c>
    </row>
    <row r="89" spans="1:3" x14ac:dyDescent="0.35">
      <c r="A89" s="3">
        <v>1010</v>
      </c>
      <c r="B89">
        <v>3</v>
      </c>
      <c r="C89">
        <v>0.46</v>
      </c>
    </row>
    <row r="90" spans="1:3" x14ac:dyDescent="0.35">
      <c r="A90" s="3">
        <v>1011</v>
      </c>
      <c r="C90">
        <v>0.27</v>
      </c>
    </row>
    <row r="91" spans="1:3" x14ac:dyDescent="0.35">
      <c r="A91" s="3">
        <v>1070</v>
      </c>
      <c r="B91">
        <v>5</v>
      </c>
      <c r="C91">
        <v>0.4</v>
      </c>
    </row>
    <row r="92" spans="1:3" x14ac:dyDescent="0.35">
      <c r="A92" s="3">
        <v>1200</v>
      </c>
      <c r="C92">
        <v>0.49</v>
      </c>
    </row>
    <row r="93" spans="1:3" x14ac:dyDescent="0.35">
      <c r="A93" s="3">
        <v>1329</v>
      </c>
      <c r="B93">
        <v>3.8</v>
      </c>
      <c r="C93">
        <v>0.45</v>
      </c>
    </row>
    <row r="94" spans="1:3" x14ac:dyDescent="0.35">
      <c r="A94" s="3">
        <v>1360</v>
      </c>
      <c r="C94">
        <v>0.42</v>
      </c>
    </row>
    <row r="95" spans="1:3" x14ac:dyDescent="0.35">
      <c r="A95" s="3">
        <v>1418</v>
      </c>
      <c r="B95">
        <v>2.1</v>
      </c>
      <c r="C95">
        <v>0.47</v>
      </c>
    </row>
    <row r="96" spans="1:3" x14ac:dyDescent="0.35">
      <c r="A96" s="3">
        <v>1526</v>
      </c>
      <c r="B96">
        <v>4.8</v>
      </c>
      <c r="C96">
        <v>0.55000000000000004</v>
      </c>
    </row>
    <row r="97" spans="1:3" x14ac:dyDescent="0.35">
      <c r="A97" s="3">
        <v>1670</v>
      </c>
      <c r="B97">
        <v>4.3</v>
      </c>
      <c r="C97">
        <v>0.48</v>
      </c>
    </row>
    <row r="98" spans="1:3" x14ac:dyDescent="0.35">
      <c r="A98" s="3">
        <v>1721</v>
      </c>
      <c r="C98">
        <v>0.38</v>
      </c>
    </row>
    <row r="99" spans="1:3" x14ac:dyDescent="0.35">
      <c r="A99" s="3">
        <v>1880</v>
      </c>
      <c r="C99">
        <v>0.46</v>
      </c>
    </row>
    <row r="100" spans="1:3" x14ac:dyDescent="0.35">
      <c r="A100" s="3">
        <v>1946</v>
      </c>
      <c r="B100">
        <v>5</v>
      </c>
      <c r="C100">
        <v>0.49</v>
      </c>
    </row>
    <row r="101" spans="1:3" x14ac:dyDescent="0.35">
      <c r="A101" s="3">
        <v>2393</v>
      </c>
      <c r="B101">
        <v>3</v>
      </c>
      <c r="C101">
        <v>0.39</v>
      </c>
    </row>
    <row r="102" spans="1:3" x14ac:dyDescent="0.35">
      <c r="A102" s="3">
        <v>2452</v>
      </c>
      <c r="B102">
        <v>4.3</v>
      </c>
      <c r="C102">
        <v>0.54</v>
      </c>
    </row>
    <row r="103" spans="1:3" x14ac:dyDescent="0.35">
      <c r="A103" s="3">
        <v>2585</v>
      </c>
      <c r="B103">
        <v>2.1</v>
      </c>
      <c r="C103">
        <v>0.55000000000000004</v>
      </c>
    </row>
    <row r="104" spans="1:3" x14ac:dyDescent="0.35">
      <c r="A104" s="3" t="s">
        <v>347</v>
      </c>
      <c r="B104">
        <v>3.8894736842105258</v>
      </c>
      <c r="C104">
        <v>0.36385321100917417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0049F-A134-4C11-8038-C88263FDCC2C}">
  <sheetPr>
    <tabColor theme="5" tint="0.39997558519241921"/>
  </sheetPr>
  <dimension ref="A3:B8"/>
  <sheetViews>
    <sheetView workbookViewId="0">
      <selection activeCell="A3" sqref="A3"/>
    </sheetView>
  </sheetViews>
  <sheetFormatPr defaultRowHeight="14.5" x14ac:dyDescent="0.35"/>
  <cols>
    <col min="1" max="1" width="12.36328125" bestFit="1" customWidth="1"/>
    <col min="2" max="2" width="15.26953125" bestFit="1" customWidth="1"/>
  </cols>
  <sheetData>
    <row r="3" spans="1:2" x14ac:dyDescent="0.35">
      <c r="A3" s="2" t="s">
        <v>346</v>
      </c>
      <c r="B3" t="s">
        <v>351</v>
      </c>
    </row>
    <row r="4" spans="1:2" x14ac:dyDescent="0.35">
      <c r="A4" s="4" t="s">
        <v>334</v>
      </c>
      <c r="B4">
        <v>22</v>
      </c>
    </row>
    <row r="5" spans="1:2" x14ac:dyDescent="0.35">
      <c r="A5" s="4" t="s">
        <v>332</v>
      </c>
      <c r="B5">
        <v>23</v>
      </c>
    </row>
    <row r="6" spans="1:2" x14ac:dyDescent="0.35">
      <c r="A6" s="4" t="s">
        <v>337</v>
      </c>
      <c r="B6">
        <v>12</v>
      </c>
    </row>
    <row r="7" spans="1:2" x14ac:dyDescent="0.35">
      <c r="A7" s="4" t="s">
        <v>348</v>
      </c>
      <c r="B7">
        <v>52</v>
      </c>
    </row>
    <row r="8" spans="1:2" x14ac:dyDescent="0.35">
      <c r="A8" s="4" t="s">
        <v>347</v>
      </c>
      <c r="B8">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4FC3C-0075-4744-B282-C9FCCC433A2E}">
  <sheetPr>
    <tabColor theme="5"/>
  </sheetPr>
  <dimension ref="A3:B8"/>
  <sheetViews>
    <sheetView workbookViewId="0">
      <selection activeCell="A3" sqref="A3"/>
    </sheetView>
  </sheetViews>
  <sheetFormatPr defaultRowHeight="14.5" x14ac:dyDescent="0.35"/>
  <cols>
    <col min="1" max="1" width="15.6328125" bestFit="1" customWidth="1"/>
    <col min="2" max="2" width="57.08984375" bestFit="1" customWidth="1"/>
  </cols>
  <sheetData>
    <row r="3" spans="1:2" x14ac:dyDescent="0.35">
      <c r="A3" s="2" t="s">
        <v>346</v>
      </c>
      <c r="B3" t="s">
        <v>352</v>
      </c>
    </row>
    <row r="4" spans="1:2" x14ac:dyDescent="0.35">
      <c r="A4" s="4" t="s">
        <v>335</v>
      </c>
      <c r="B4">
        <v>11.133333333333333</v>
      </c>
    </row>
    <row r="5" spans="1:2" x14ac:dyDescent="0.35">
      <c r="A5" s="4" t="s">
        <v>336</v>
      </c>
      <c r="B5">
        <v>9.5</v>
      </c>
    </row>
    <row r="6" spans="1:2" x14ac:dyDescent="0.35">
      <c r="A6" s="4" t="s">
        <v>333</v>
      </c>
      <c r="B6">
        <v>15.260869565217391</v>
      </c>
    </row>
    <row r="7" spans="1:2" x14ac:dyDescent="0.35">
      <c r="A7" s="4" t="s">
        <v>347</v>
      </c>
      <c r="B7">
        <v>12.684210526315789</v>
      </c>
    </row>
    <row r="8" spans="1:2" x14ac:dyDescent="0.35">
      <c r="A8" s="6" t="s">
        <v>354</v>
      </c>
      <c r="B8" s="5" t="s">
        <v>353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66BE1-78FF-49B5-B611-1B9D85796CF9}">
  <sheetPr>
    <tabColor theme="5"/>
  </sheetPr>
  <dimension ref="A3:B9"/>
  <sheetViews>
    <sheetView workbookViewId="0">
      <selection activeCell="B10" sqref="B10"/>
    </sheetView>
  </sheetViews>
  <sheetFormatPr defaultRowHeight="14.5" x14ac:dyDescent="0.35"/>
  <cols>
    <col min="1" max="1" width="12.54296875" bestFit="1" customWidth="1"/>
    <col min="2" max="2" width="36.453125" bestFit="1" customWidth="1"/>
  </cols>
  <sheetData>
    <row r="3" spans="1:2" x14ac:dyDescent="0.35">
      <c r="A3" s="2" t="s">
        <v>346</v>
      </c>
      <c r="B3" t="s">
        <v>352</v>
      </c>
    </row>
    <row r="4" spans="1:2" x14ac:dyDescent="0.35">
      <c r="A4" s="4" t="s">
        <v>334</v>
      </c>
      <c r="B4">
        <v>10.136363636363637</v>
      </c>
    </row>
    <row r="5" spans="1:2" x14ac:dyDescent="0.35">
      <c r="A5" s="4" t="s">
        <v>332</v>
      </c>
      <c r="B5">
        <v>14.391304347826088</v>
      </c>
    </row>
    <row r="6" spans="1:2" x14ac:dyDescent="0.35">
      <c r="A6" s="4" t="s">
        <v>337</v>
      </c>
      <c r="B6">
        <v>14.083333333333334</v>
      </c>
    </row>
    <row r="7" spans="1:2" x14ac:dyDescent="0.35">
      <c r="A7" s="4" t="s">
        <v>348</v>
      </c>
    </row>
    <row r="8" spans="1:2" x14ac:dyDescent="0.35">
      <c r="A8" s="4" t="s">
        <v>347</v>
      </c>
      <c r="B8">
        <v>12.684210526315789</v>
      </c>
    </row>
    <row r="9" spans="1:2" x14ac:dyDescent="0.35">
      <c r="A9" s="6" t="s">
        <v>354</v>
      </c>
      <c r="B9" s="5" t="s">
        <v>355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18B3F-D4EB-4E3F-90D7-18E1B1D2EF30}">
  <sheetPr>
    <tabColor theme="5" tint="-0.249977111117893"/>
  </sheetPr>
  <dimension ref="A1:N116"/>
  <sheetViews>
    <sheetView showGridLines="0" tabSelected="1" zoomScale="62" workbookViewId="0">
      <selection activeCell="J39" sqref="J39"/>
    </sheetView>
  </sheetViews>
  <sheetFormatPr defaultRowHeight="14.5" x14ac:dyDescent="0.35"/>
  <cols>
    <col min="1" max="1" width="14.26953125" bestFit="1" customWidth="1"/>
    <col min="2" max="2" width="15.90625" bestFit="1" customWidth="1"/>
    <col min="4" max="4" width="16.1796875" bestFit="1" customWidth="1"/>
    <col min="5" max="5" width="14.26953125" bestFit="1" customWidth="1"/>
    <col min="6" max="6" width="24.453125" bestFit="1" customWidth="1"/>
    <col min="7" max="7" width="16.81640625" bestFit="1" customWidth="1"/>
    <col min="9" max="9" width="15.6328125" bestFit="1" customWidth="1"/>
    <col min="10" max="10" width="21.08984375" bestFit="1" customWidth="1"/>
    <col min="13" max="13" width="90.453125" bestFit="1" customWidth="1"/>
    <col min="14" max="14" width="21.08984375" bestFit="1" customWidth="1"/>
  </cols>
  <sheetData>
    <row r="1" spans="1:14" x14ac:dyDescent="0.35">
      <c r="A1" s="10" t="s">
        <v>368</v>
      </c>
      <c r="D1" s="10" t="s">
        <v>359</v>
      </c>
      <c r="G1" s="10" t="s">
        <v>369</v>
      </c>
    </row>
    <row r="5" spans="1:14" x14ac:dyDescent="0.35">
      <c r="A5" s="10" t="s">
        <v>366</v>
      </c>
      <c r="E5" s="10" t="s">
        <v>365</v>
      </c>
      <c r="I5" s="10" t="s">
        <v>364</v>
      </c>
      <c r="M5" s="10" t="s">
        <v>363</v>
      </c>
    </row>
    <row r="6" spans="1:14" x14ac:dyDescent="0.35">
      <c r="A6" s="2" t="s">
        <v>346</v>
      </c>
      <c r="B6" t="s">
        <v>351</v>
      </c>
      <c r="E6" s="2" t="s">
        <v>346</v>
      </c>
      <c r="F6" t="s">
        <v>352</v>
      </c>
      <c r="I6" s="2" t="s">
        <v>346</v>
      </c>
      <c r="J6" t="s">
        <v>362</v>
      </c>
      <c r="M6" s="2" t="s">
        <v>346</v>
      </c>
      <c r="N6" t="s">
        <v>362</v>
      </c>
    </row>
    <row r="7" spans="1:14" x14ac:dyDescent="0.35">
      <c r="A7" s="4" t="s">
        <v>334</v>
      </c>
      <c r="B7" s="9">
        <v>22</v>
      </c>
      <c r="E7" s="4" t="s">
        <v>334</v>
      </c>
      <c r="F7" s="9">
        <v>10.136363636363637</v>
      </c>
      <c r="I7" s="4" t="s">
        <v>335</v>
      </c>
      <c r="J7" s="9">
        <v>334</v>
      </c>
      <c r="M7" s="4" t="s">
        <v>132</v>
      </c>
      <c r="N7" s="9">
        <v>2</v>
      </c>
    </row>
    <row r="8" spans="1:14" x14ac:dyDescent="0.35">
      <c r="A8" s="4" t="s">
        <v>332</v>
      </c>
      <c r="B8" s="9">
        <v>23</v>
      </c>
      <c r="E8" s="4" t="s">
        <v>332</v>
      </c>
      <c r="F8" s="9">
        <v>14.391304347826088</v>
      </c>
      <c r="I8" s="4" t="s">
        <v>336</v>
      </c>
      <c r="J8" s="9">
        <v>38</v>
      </c>
      <c r="M8" s="4" t="s">
        <v>49</v>
      </c>
      <c r="N8" s="9">
        <v>39</v>
      </c>
    </row>
    <row r="9" spans="1:14" x14ac:dyDescent="0.35">
      <c r="A9" s="4" t="s">
        <v>337</v>
      </c>
      <c r="B9" s="9">
        <v>12</v>
      </c>
      <c r="E9" s="4" t="s">
        <v>337</v>
      </c>
      <c r="F9" s="9">
        <v>14.083333333333334</v>
      </c>
      <c r="I9" s="4" t="s">
        <v>333</v>
      </c>
      <c r="J9" s="9">
        <v>351</v>
      </c>
      <c r="M9" s="4" t="s">
        <v>10</v>
      </c>
      <c r="N9" s="9">
        <v>2</v>
      </c>
    </row>
    <row r="10" spans="1:14" x14ac:dyDescent="0.35">
      <c r="A10" s="4" t="s">
        <v>348</v>
      </c>
      <c r="B10" s="9">
        <v>52</v>
      </c>
      <c r="E10" s="4" t="s">
        <v>348</v>
      </c>
      <c r="F10" s="9"/>
      <c r="I10" s="4" t="s">
        <v>347</v>
      </c>
      <c r="J10" s="9">
        <v>723</v>
      </c>
      <c r="M10" s="4" t="s">
        <v>101</v>
      </c>
      <c r="N10" s="9">
        <v>13</v>
      </c>
    </row>
    <row r="11" spans="1:14" x14ac:dyDescent="0.35">
      <c r="A11" s="4" t="s">
        <v>347</v>
      </c>
      <c r="B11" s="9">
        <v>109</v>
      </c>
      <c r="E11" s="4" t="s">
        <v>347</v>
      </c>
      <c r="F11" s="9">
        <v>12.684210526315789</v>
      </c>
      <c r="M11" s="4" t="s">
        <v>112</v>
      </c>
      <c r="N11" s="9">
        <v>12</v>
      </c>
    </row>
    <row r="12" spans="1:14" x14ac:dyDescent="0.35">
      <c r="M12" s="4" t="s">
        <v>199</v>
      </c>
      <c r="N12" s="9">
        <v>69</v>
      </c>
    </row>
    <row r="13" spans="1:14" x14ac:dyDescent="0.35">
      <c r="M13" s="4" t="s">
        <v>184</v>
      </c>
      <c r="N13" s="9"/>
    </row>
    <row r="14" spans="1:14" x14ac:dyDescent="0.35">
      <c r="M14" s="4" t="s">
        <v>43</v>
      </c>
      <c r="N14" s="9">
        <v>5</v>
      </c>
    </row>
    <row r="15" spans="1:14" x14ac:dyDescent="0.35">
      <c r="M15" s="4" t="s">
        <v>34</v>
      </c>
      <c r="N15" s="9">
        <v>55</v>
      </c>
    </row>
    <row r="16" spans="1:14" x14ac:dyDescent="0.35">
      <c r="M16" s="4" t="s">
        <v>309</v>
      </c>
      <c r="N16" s="9"/>
    </row>
    <row r="17" spans="13:14" x14ac:dyDescent="0.35">
      <c r="M17" s="4" t="s">
        <v>258</v>
      </c>
      <c r="N17" s="9"/>
    </row>
    <row r="18" spans="13:14" x14ac:dyDescent="0.35">
      <c r="M18" s="4" t="s">
        <v>30</v>
      </c>
      <c r="N18" s="9">
        <v>15</v>
      </c>
    </row>
    <row r="19" spans="13:14" x14ac:dyDescent="0.35">
      <c r="M19" s="4" t="s">
        <v>306</v>
      </c>
      <c r="N19" s="9"/>
    </row>
    <row r="20" spans="13:14" x14ac:dyDescent="0.35">
      <c r="M20" s="4" t="s">
        <v>282</v>
      </c>
      <c r="N20" s="9"/>
    </row>
    <row r="21" spans="13:14" x14ac:dyDescent="0.35">
      <c r="M21" s="4" t="s">
        <v>158</v>
      </c>
      <c r="N21" s="9"/>
    </row>
    <row r="22" spans="13:14" x14ac:dyDescent="0.35">
      <c r="M22" s="4" t="s">
        <v>237</v>
      </c>
      <c r="N22" s="9"/>
    </row>
    <row r="23" spans="13:14" x14ac:dyDescent="0.35">
      <c r="M23" s="4" t="s">
        <v>217</v>
      </c>
      <c r="N23" s="9">
        <v>5</v>
      </c>
    </row>
    <row r="24" spans="13:14" x14ac:dyDescent="0.35">
      <c r="M24" s="4" t="s">
        <v>214</v>
      </c>
      <c r="N24" s="9">
        <v>7</v>
      </c>
    </row>
    <row r="25" spans="13:14" x14ac:dyDescent="0.35">
      <c r="M25" s="4" t="s">
        <v>73</v>
      </c>
      <c r="N25" s="9">
        <v>44</v>
      </c>
    </row>
    <row r="26" spans="13:14" x14ac:dyDescent="0.35">
      <c r="M26" s="4" t="s">
        <v>240</v>
      </c>
      <c r="N26" s="9"/>
    </row>
    <row r="27" spans="13:14" x14ac:dyDescent="0.35">
      <c r="M27" s="4" t="s">
        <v>76</v>
      </c>
      <c r="N27" s="9">
        <v>13</v>
      </c>
    </row>
    <row r="28" spans="13:14" x14ac:dyDescent="0.35">
      <c r="M28" s="4" t="s">
        <v>289</v>
      </c>
      <c r="N28" s="9"/>
    </row>
    <row r="29" spans="13:14" x14ac:dyDescent="0.35">
      <c r="M29" s="4" t="s">
        <v>52</v>
      </c>
      <c r="N29" s="9">
        <v>12</v>
      </c>
    </row>
    <row r="30" spans="13:14" x14ac:dyDescent="0.35">
      <c r="M30" s="4" t="s">
        <v>138</v>
      </c>
      <c r="N30" s="9"/>
    </row>
    <row r="31" spans="13:14" x14ac:dyDescent="0.35">
      <c r="M31" s="4" t="s">
        <v>80</v>
      </c>
      <c r="N31" s="9"/>
    </row>
    <row r="32" spans="13:14" x14ac:dyDescent="0.35">
      <c r="M32" s="4" t="s">
        <v>187</v>
      </c>
      <c r="N32" s="9">
        <v>6</v>
      </c>
    </row>
    <row r="33" spans="13:14" x14ac:dyDescent="0.35">
      <c r="M33" s="4" t="s">
        <v>104</v>
      </c>
      <c r="N33" s="9">
        <v>20</v>
      </c>
    </row>
    <row r="34" spans="13:14" x14ac:dyDescent="0.35">
      <c r="M34" s="4" t="s">
        <v>121</v>
      </c>
      <c r="N34" s="9">
        <v>32</v>
      </c>
    </row>
    <row r="35" spans="13:14" x14ac:dyDescent="0.35">
      <c r="M35" s="4" t="s">
        <v>118</v>
      </c>
      <c r="N35" s="9">
        <v>20</v>
      </c>
    </row>
    <row r="36" spans="13:14" x14ac:dyDescent="0.35">
      <c r="M36" s="4" t="s">
        <v>255</v>
      </c>
      <c r="N36" s="9"/>
    </row>
    <row r="37" spans="13:14" x14ac:dyDescent="0.35">
      <c r="M37" s="4" t="s">
        <v>195</v>
      </c>
      <c r="N37" s="9">
        <v>13</v>
      </c>
    </row>
    <row r="38" spans="13:14" x14ac:dyDescent="0.35">
      <c r="M38" s="4" t="s">
        <v>321</v>
      </c>
      <c r="N38" s="9"/>
    </row>
    <row r="39" spans="13:14" x14ac:dyDescent="0.35">
      <c r="M39" s="4" t="s">
        <v>281</v>
      </c>
      <c r="N39" s="9"/>
    </row>
    <row r="40" spans="13:14" x14ac:dyDescent="0.35">
      <c r="M40" s="4" t="s">
        <v>152</v>
      </c>
      <c r="N40" s="9"/>
    </row>
    <row r="41" spans="13:14" x14ac:dyDescent="0.35">
      <c r="M41" s="4" t="s">
        <v>246</v>
      </c>
      <c r="N41" s="9"/>
    </row>
    <row r="42" spans="13:14" x14ac:dyDescent="0.35">
      <c r="M42" s="4" t="s">
        <v>232</v>
      </c>
      <c r="N42" s="9">
        <v>6</v>
      </c>
    </row>
    <row r="43" spans="13:14" x14ac:dyDescent="0.35">
      <c r="M43" s="4" t="s">
        <v>297</v>
      </c>
      <c r="N43" s="9"/>
    </row>
    <row r="44" spans="13:14" x14ac:dyDescent="0.35">
      <c r="M44" s="4" t="s">
        <v>303</v>
      </c>
      <c r="N44" s="9"/>
    </row>
    <row r="45" spans="13:14" x14ac:dyDescent="0.35">
      <c r="M45" s="4" t="s">
        <v>220</v>
      </c>
      <c r="N45" s="9">
        <v>17</v>
      </c>
    </row>
    <row r="46" spans="13:14" x14ac:dyDescent="0.35">
      <c r="M46" s="4" t="s">
        <v>182</v>
      </c>
      <c r="N46" s="9"/>
    </row>
    <row r="47" spans="13:14" x14ac:dyDescent="0.35">
      <c r="M47" s="4" t="s">
        <v>61</v>
      </c>
      <c r="N47" s="9">
        <v>2</v>
      </c>
    </row>
    <row r="48" spans="13:14" x14ac:dyDescent="0.35">
      <c r="M48" s="4" t="s">
        <v>211</v>
      </c>
      <c r="N48" s="9">
        <v>6</v>
      </c>
    </row>
    <row r="49" spans="13:14" x14ac:dyDescent="0.35">
      <c r="M49" s="4" t="s">
        <v>294</v>
      </c>
      <c r="N49" s="9"/>
    </row>
    <row r="50" spans="13:14" x14ac:dyDescent="0.35">
      <c r="M50" s="4" t="s">
        <v>144</v>
      </c>
      <c r="N50" s="9"/>
    </row>
    <row r="51" spans="13:14" x14ac:dyDescent="0.35">
      <c r="M51" s="4" t="s">
        <v>252</v>
      </c>
      <c r="N51" s="9">
        <v>1</v>
      </c>
    </row>
    <row r="52" spans="13:14" x14ac:dyDescent="0.35">
      <c r="M52" s="4" t="s">
        <v>325</v>
      </c>
      <c r="N52" s="9"/>
    </row>
    <row r="53" spans="13:14" x14ac:dyDescent="0.35">
      <c r="M53" s="4" t="s">
        <v>164</v>
      </c>
      <c r="N53" s="9"/>
    </row>
    <row r="54" spans="13:14" x14ac:dyDescent="0.35">
      <c r="M54" s="4" t="s">
        <v>155</v>
      </c>
      <c r="N54" s="9"/>
    </row>
    <row r="55" spans="13:14" x14ac:dyDescent="0.35">
      <c r="M55" s="4" t="s">
        <v>264</v>
      </c>
      <c r="N55" s="9"/>
    </row>
    <row r="56" spans="13:14" x14ac:dyDescent="0.35">
      <c r="M56" s="4" t="s">
        <v>315</v>
      </c>
      <c r="N56" s="9"/>
    </row>
    <row r="57" spans="13:14" x14ac:dyDescent="0.35">
      <c r="M57" s="4" t="s">
        <v>150</v>
      </c>
      <c r="N57" s="9"/>
    </row>
    <row r="58" spans="13:14" x14ac:dyDescent="0.35">
      <c r="M58" s="4" t="s">
        <v>180</v>
      </c>
      <c r="N58" s="9"/>
    </row>
    <row r="59" spans="13:14" x14ac:dyDescent="0.35">
      <c r="M59" s="4" t="s">
        <v>127</v>
      </c>
      <c r="N59" s="9">
        <v>2</v>
      </c>
    </row>
    <row r="60" spans="13:14" x14ac:dyDescent="0.35">
      <c r="M60" s="4" t="s">
        <v>161</v>
      </c>
      <c r="N60" s="9"/>
    </row>
    <row r="61" spans="13:14" x14ac:dyDescent="0.35">
      <c r="M61" s="4" t="s">
        <v>243</v>
      </c>
      <c r="N61" s="9"/>
    </row>
    <row r="62" spans="13:14" x14ac:dyDescent="0.35">
      <c r="M62" s="4" t="s">
        <v>175</v>
      </c>
      <c r="N62" s="9"/>
    </row>
    <row r="63" spans="13:14" x14ac:dyDescent="0.35">
      <c r="M63" s="4" t="s">
        <v>37</v>
      </c>
      <c r="N63" s="9">
        <v>2</v>
      </c>
    </row>
    <row r="64" spans="13:14" x14ac:dyDescent="0.35">
      <c r="M64" s="4" t="s">
        <v>124</v>
      </c>
      <c r="N64" s="9">
        <v>1</v>
      </c>
    </row>
    <row r="65" spans="13:14" x14ac:dyDescent="0.35">
      <c r="M65" s="4" t="s">
        <v>234</v>
      </c>
      <c r="N65" s="9">
        <v>7</v>
      </c>
    </row>
    <row r="66" spans="13:14" x14ac:dyDescent="0.35">
      <c r="M66" s="4" t="s">
        <v>95</v>
      </c>
      <c r="N66" s="9">
        <v>49</v>
      </c>
    </row>
    <row r="67" spans="13:14" x14ac:dyDescent="0.35">
      <c r="M67" s="4" t="s">
        <v>109</v>
      </c>
      <c r="N67" s="9">
        <v>9</v>
      </c>
    </row>
    <row r="68" spans="13:14" x14ac:dyDescent="0.35">
      <c r="M68" s="4" t="s">
        <v>87</v>
      </c>
      <c r="N68" s="9">
        <v>14</v>
      </c>
    </row>
    <row r="69" spans="13:14" x14ac:dyDescent="0.35">
      <c r="M69" s="4" t="s">
        <v>47</v>
      </c>
      <c r="N69" s="9">
        <v>12</v>
      </c>
    </row>
    <row r="70" spans="13:14" x14ac:dyDescent="0.35">
      <c r="M70" s="4" t="s">
        <v>260</v>
      </c>
      <c r="N70" s="9">
        <v>1</v>
      </c>
    </row>
    <row r="71" spans="13:14" x14ac:dyDescent="0.35">
      <c r="M71" s="4" t="s">
        <v>203</v>
      </c>
      <c r="N71" s="9">
        <v>15</v>
      </c>
    </row>
    <row r="72" spans="13:14" x14ac:dyDescent="0.35">
      <c r="M72" s="4" t="s">
        <v>300</v>
      </c>
      <c r="N72" s="9">
        <v>1</v>
      </c>
    </row>
    <row r="73" spans="13:14" x14ac:dyDescent="0.35">
      <c r="M73" s="4" t="s">
        <v>223</v>
      </c>
      <c r="N73" s="9">
        <v>5</v>
      </c>
    </row>
    <row r="74" spans="13:14" x14ac:dyDescent="0.35">
      <c r="M74" s="4" t="s">
        <v>91</v>
      </c>
      <c r="N74" s="9">
        <v>7</v>
      </c>
    </row>
    <row r="75" spans="13:14" x14ac:dyDescent="0.35">
      <c r="M75" s="4" t="s">
        <v>68</v>
      </c>
      <c r="N75" s="9">
        <v>3</v>
      </c>
    </row>
    <row r="76" spans="13:14" x14ac:dyDescent="0.35">
      <c r="M76" s="4" t="s">
        <v>55</v>
      </c>
      <c r="N76" s="9">
        <v>6</v>
      </c>
    </row>
    <row r="77" spans="13:14" x14ac:dyDescent="0.35">
      <c r="M77" s="4" t="s">
        <v>40</v>
      </c>
      <c r="N77" s="9">
        <v>5</v>
      </c>
    </row>
    <row r="78" spans="13:14" x14ac:dyDescent="0.35">
      <c r="M78" s="4" t="s">
        <v>135</v>
      </c>
      <c r="N78" s="9"/>
    </row>
    <row r="79" spans="13:14" x14ac:dyDescent="0.35">
      <c r="M79" s="4" t="s">
        <v>115</v>
      </c>
      <c r="N79" s="9">
        <v>9</v>
      </c>
    </row>
    <row r="80" spans="13:14" x14ac:dyDescent="0.35">
      <c r="M80" s="4" t="s">
        <v>84</v>
      </c>
      <c r="N80" s="9">
        <v>6</v>
      </c>
    </row>
    <row r="81" spans="13:14" x14ac:dyDescent="0.35">
      <c r="M81" s="4" t="s">
        <v>312</v>
      </c>
      <c r="N81" s="9"/>
    </row>
    <row r="82" spans="13:14" x14ac:dyDescent="0.35">
      <c r="M82" s="4" t="s">
        <v>71</v>
      </c>
      <c r="N82" s="9">
        <v>5</v>
      </c>
    </row>
    <row r="83" spans="13:14" x14ac:dyDescent="0.35">
      <c r="M83" s="4" t="s">
        <v>249</v>
      </c>
      <c r="N83" s="9">
        <v>1</v>
      </c>
    </row>
    <row r="84" spans="13:14" x14ac:dyDescent="0.35">
      <c r="M84" s="4" t="s">
        <v>14</v>
      </c>
      <c r="N84" s="9">
        <v>14</v>
      </c>
    </row>
    <row r="85" spans="13:14" x14ac:dyDescent="0.35">
      <c r="M85" s="4" t="s">
        <v>292</v>
      </c>
      <c r="N85" s="9"/>
    </row>
    <row r="86" spans="13:14" x14ac:dyDescent="0.35">
      <c r="M86" s="4" t="s">
        <v>141</v>
      </c>
      <c r="N86" s="9"/>
    </row>
    <row r="87" spans="13:14" x14ac:dyDescent="0.35">
      <c r="M87" s="4" t="s">
        <v>58</v>
      </c>
      <c r="N87" s="9">
        <v>9</v>
      </c>
    </row>
    <row r="88" spans="13:14" x14ac:dyDescent="0.35">
      <c r="M88" s="4" t="s">
        <v>270</v>
      </c>
      <c r="N88" s="9"/>
    </row>
    <row r="89" spans="13:14" x14ac:dyDescent="0.35">
      <c r="M89" s="4" t="s">
        <v>106</v>
      </c>
      <c r="N89" s="9"/>
    </row>
    <row r="90" spans="13:14" x14ac:dyDescent="0.35">
      <c r="M90" s="4" t="s">
        <v>172</v>
      </c>
      <c r="N90" s="9"/>
    </row>
    <row r="91" spans="13:14" x14ac:dyDescent="0.35">
      <c r="M91" s="4" t="s">
        <v>191</v>
      </c>
      <c r="N91" s="9">
        <v>10</v>
      </c>
    </row>
    <row r="92" spans="13:14" x14ac:dyDescent="0.35">
      <c r="M92" s="4" t="s">
        <v>262</v>
      </c>
      <c r="N92" s="9"/>
    </row>
    <row r="93" spans="13:14" x14ac:dyDescent="0.35">
      <c r="M93" s="4" t="s">
        <v>267</v>
      </c>
      <c r="N93" s="9"/>
    </row>
    <row r="94" spans="13:14" x14ac:dyDescent="0.35">
      <c r="M94" s="4" t="s">
        <v>65</v>
      </c>
      <c r="N94" s="9">
        <v>2</v>
      </c>
    </row>
    <row r="95" spans="13:14" x14ac:dyDescent="0.35">
      <c r="M95" s="4" t="s">
        <v>167</v>
      </c>
      <c r="N95" s="9"/>
    </row>
    <row r="96" spans="13:14" x14ac:dyDescent="0.35">
      <c r="M96" s="4" t="s">
        <v>170</v>
      </c>
      <c r="N96" s="9"/>
    </row>
    <row r="97" spans="13:14" x14ac:dyDescent="0.35">
      <c r="M97" s="4" t="s">
        <v>26</v>
      </c>
      <c r="N97" s="9">
        <v>5</v>
      </c>
    </row>
    <row r="98" spans="13:14" x14ac:dyDescent="0.35">
      <c r="M98" s="4" t="s">
        <v>18</v>
      </c>
      <c r="N98" s="9">
        <v>24</v>
      </c>
    </row>
    <row r="99" spans="13:14" x14ac:dyDescent="0.35">
      <c r="M99" s="4" t="s">
        <v>287</v>
      </c>
      <c r="N99" s="9"/>
    </row>
    <row r="100" spans="13:14" x14ac:dyDescent="0.35">
      <c r="M100" s="4" t="s">
        <v>98</v>
      </c>
      <c r="N100" s="9">
        <v>12</v>
      </c>
    </row>
    <row r="101" spans="13:14" x14ac:dyDescent="0.35">
      <c r="M101" s="4" t="s">
        <v>276</v>
      </c>
      <c r="N101" s="9"/>
    </row>
    <row r="102" spans="13:14" x14ac:dyDescent="0.35">
      <c r="M102" s="4" t="s">
        <v>129</v>
      </c>
      <c r="N102" s="9">
        <v>36</v>
      </c>
    </row>
    <row r="103" spans="13:14" x14ac:dyDescent="0.35">
      <c r="M103" s="4" t="s">
        <v>278</v>
      </c>
      <c r="N103" s="9"/>
    </row>
    <row r="104" spans="13:14" x14ac:dyDescent="0.35">
      <c r="M104" s="4" t="s">
        <v>147</v>
      </c>
      <c r="N104" s="9"/>
    </row>
    <row r="105" spans="13:14" x14ac:dyDescent="0.35">
      <c r="M105" s="4" t="s">
        <v>317</v>
      </c>
      <c r="N105" s="9"/>
    </row>
    <row r="106" spans="13:14" x14ac:dyDescent="0.35">
      <c r="M106" s="4" t="s">
        <v>177</v>
      </c>
      <c r="N106" s="9"/>
    </row>
    <row r="107" spans="13:14" x14ac:dyDescent="0.35">
      <c r="M107" s="4" t="s">
        <v>319</v>
      </c>
      <c r="N107" s="9"/>
    </row>
    <row r="108" spans="13:14" x14ac:dyDescent="0.35">
      <c r="M108" s="4" t="s">
        <v>207</v>
      </c>
      <c r="N108" s="9">
        <v>16</v>
      </c>
    </row>
    <row r="109" spans="13:14" x14ac:dyDescent="0.35">
      <c r="M109" s="4" t="s">
        <v>273</v>
      </c>
      <c r="N109" s="9"/>
    </row>
    <row r="110" spans="13:14" x14ac:dyDescent="0.35">
      <c r="M110" s="4" t="s">
        <v>284</v>
      </c>
      <c r="N110" s="9"/>
    </row>
    <row r="111" spans="13:14" x14ac:dyDescent="0.35">
      <c r="M111" s="4" t="s">
        <v>323</v>
      </c>
      <c r="N111" s="9">
        <v>1</v>
      </c>
    </row>
    <row r="112" spans="13:14" x14ac:dyDescent="0.35">
      <c r="M112" s="4" t="s">
        <v>268</v>
      </c>
      <c r="N112" s="9"/>
    </row>
    <row r="113" spans="13:14" x14ac:dyDescent="0.35">
      <c r="M113" s="4" t="s">
        <v>226</v>
      </c>
      <c r="N113" s="9">
        <v>6</v>
      </c>
    </row>
    <row r="114" spans="13:14" x14ac:dyDescent="0.35">
      <c r="M114" s="4" t="s">
        <v>22</v>
      </c>
      <c r="N114" s="9">
        <v>7</v>
      </c>
    </row>
    <row r="115" spans="13:14" x14ac:dyDescent="0.35">
      <c r="M115" s="4" t="s">
        <v>229</v>
      </c>
      <c r="N115" s="9">
        <v>5</v>
      </c>
    </row>
    <row r="116" spans="13:14" x14ac:dyDescent="0.35">
      <c r="M116" s="4" t="s">
        <v>347</v>
      </c>
      <c r="N116" s="9">
        <v>723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79AD-D0F8-421B-ACA0-3EA443E39308}">
  <sheetPr>
    <tabColor theme="5" tint="-0.249977111117893"/>
  </sheetPr>
  <dimension ref="A1:X140"/>
  <sheetViews>
    <sheetView topLeftCell="I1" zoomScale="71" workbookViewId="0">
      <selection activeCell="K2" sqref="K2"/>
    </sheetView>
  </sheetViews>
  <sheetFormatPr defaultRowHeight="14.5" outlineLevelCol="3" x14ac:dyDescent="0.35"/>
  <cols>
    <col min="1" max="1" width="80.7265625" bestFit="1" customWidth="1"/>
    <col min="2" max="2" width="17.90625" bestFit="1" customWidth="1"/>
    <col min="3" max="3" width="33.08984375" bestFit="1" customWidth="1"/>
    <col min="4" max="4" width="11.7265625" bestFit="1" customWidth="1"/>
    <col min="5" max="5" width="10.36328125" bestFit="1" customWidth="1"/>
    <col min="6" max="6" width="10.81640625" bestFit="1" customWidth="1"/>
    <col min="7" max="7" width="20.7265625" bestFit="1" customWidth="1"/>
    <col min="8" max="8" width="19.26953125" bestFit="1" customWidth="1"/>
    <col min="9" max="9" width="18.54296875" bestFit="1" customWidth="1"/>
    <col min="10" max="10" width="46.54296875" bestFit="1" customWidth="1"/>
    <col min="11" max="11" width="46.54296875" customWidth="1"/>
    <col min="12" max="12" width="19.54296875" bestFit="1" customWidth="1"/>
    <col min="13" max="13" width="18.1796875" bestFit="1" customWidth="1"/>
    <col min="14" max="14" width="20.81640625" bestFit="1" customWidth="1" outlineLevel="3"/>
    <col min="15" max="15" width="19.54296875" style="1" bestFit="1" customWidth="1"/>
    <col min="16" max="16" width="23.81640625" bestFit="1" customWidth="1"/>
    <col min="17" max="17" width="27.36328125" bestFit="1" customWidth="1"/>
    <col min="18" max="18" width="19.54296875" bestFit="1" customWidth="1"/>
    <col min="19" max="19" width="17.54296875" bestFit="1" customWidth="1"/>
    <col min="20" max="21" width="25.54296875" bestFit="1" customWidth="1"/>
    <col min="22" max="22" width="67.1796875" bestFit="1" customWidth="1"/>
    <col min="23" max="23" width="46.81640625" bestFit="1" customWidth="1"/>
    <col min="24" max="24" width="16.7265625" bestFit="1" customWidth="1"/>
  </cols>
  <sheetData>
    <row r="1" spans="1:24" x14ac:dyDescent="0.35">
      <c r="A1" t="s">
        <v>0</v>
      </c>
      <c r="B1" t="s">
        <v>1</v>
      </c>
      <c r="C1" t="s">
        <v>2</v>
      </c>
      <c r="D1" t="s">
        <v>3</v>
      </c>
      <c r="E1" t="s">
        <v>4</v>
      </c>
      <c r="F1" t="s">
        <v>5</v>
      </c>
      <c r="G1" t="s">
        <v>6</v>
      </c>
      <c r="H1" t="s">
        <v>7</v>
      </c>
      <c r="I1" t="s">
        <v>8</v>
      </c>
      <c r="J1" t="s">
        <v>9</v>
      </c>
      <c r="K1" t="s">
        <v>370</v>
      </c>
      <c r="L1" t="s">
        <v>329</v>
      </c>
      <c r="M1" t="s">
        <v>330</v>
      </c>
      <c r="N1" t="s">
        <v>331</v>
      </c>
      <c r="O1" s="1" t="s">
        <v>328</v>
      </c>
      <c r="P1" s="1" t="s">
        <v>338</v>
      </c>
      <c r="Q1" t="s">
        <v>339</v>
      </c>
      <c r="R1" t="s">
        <v>340</v>
      </c>
      <c r="S1" t="s">
        <v>341</v>
      </c>
      <c r="T1" t="s">
        <v>342</v>
      </c>
      <c r="U1" t="s">
        <v>343</v>
      </c>
      <c r="V1" t="s">
        <v>344</v>
      </c>
      <c r="W1" t="s">
        <v>345</v>
      </c>
      <c r="X1" t="s">
        <v>367</v>
      </c>
    </row>
    <row r="2" spans="1:24" x14ac:dyDescent="0.35">
      <c r="A2" t="s">
        <v>195</v>
      </c>
      <c r="B2" t="s">
        <v>196</v>
      </c>
      <c r="C2" t="s">
        <v>197</v>
      </c>
      <c r="D2">
        <v>0.55000000000000004</v>
      </c>
      <c r="E2">
        <v>-13</v>
      </c>
      <c r="F2" t="s">
        <v>198</v>
      </c>
      <c r="G2">
        <v>2115</v>
      </c>
      <c r="H2">
        <v>0.55000000000000004</v>
      </c>
      <c r="I2">
        <v>2.1</v>
      </c>
      <c r="J2">
        <v>13</v>
      </c>
      <c r="K2">
        <f t="shared" ref="K2:K33" si="0">SUM(J2:J110)</f>
        <v>723</v>
      </c>
      <c r="L2">
        <v>4700</v>
      </c>
      <c r="M2" t="s">
        <v>337</v>
      </c>
      <c r="N2" t="s">
        <v>335</v>
      </c>
      <c r="O2" s="1">
        <f t="shared" ref="O2:O33" si="1">(L2-G2)</f>
        <v>2585</v>
      </c>
      <c r="P2">
        <f>AVERAGE(Excel_jumia[Final Cleaned Price])</f>
        <v>1202.7777777777778</v>
      </c>
      <c r="Q2">
        <f>AVERAGE(Excel_jumia[Old Price Cleaned])</f>
        <v>1829.7685185185185</v>
      </c>
      <c r="R2">
        <f>AVERAGE(Excel_jumia[Discount Amount])</f>
        <v>621.2385321100918</v>
      </c>
      <c r="S2">
        <f>AVERAGE(Excel_jumia[[Ratings Cleaned ]])</f>
        <v>3.8894736842105266</v>
      </c>
      <c r="T2">
        <f>MAX(Excel_jumia[Final Cleaned Price])</f>
        <v>3750</v>
      </c>
      <c r="U2">
        <f>MIN(Excel_jumia[Final Cleaned Price])</f>
        <v>38</v>
      </c>
      <c r="V2" t="str">
        <f>_xlfn.XLOOKUP(MAX(Excel_jumia[Final Cleaned Price]), Excel_jumia[Final Cleaned Price], Excel_jumia[Product])</f>
        <v>32PCS Portable Cordless Drill Set With Cyclic Battery Drive -26 Variable Speed</v>
      </c>
      <c r="W2" t="str">
        <f>_xlfn.XLOOKUP(MIN(Excel_jumia[Final Cleaned Price]), Excel_jumia[Final Cleaned Price], Excel_jumia[Product])</f>
        <v>3PCS Single Head Knitting Crochet Sweater Needle Set</v>
      </c>
      <c r="X2" s="9">
        <f t="shared" ref="X2:X33" si="2">COUNTA(A2:A110)</f>
        <v>109</v>
      </c>
    </row>
    <row r="3" spans="1:24" x14ac:dyDescent="0.35">
      <c r="A3" t="s">
        <v>91</v>
      </c>
      <c r="B3" t="s">
        <v>92</v>
      </c>
      <c r="C3" t="s">
        <v>93</v>
      </c>
      <c r="D3">
        <v>0.54</v>
      </c>
      <c r="E3">
        <v>-7</v>
      </c>
      <c r="F3" t="s">
        <v>94</v>
      </c>
      <c r="G3">
        <v>2048</v>
      </c>
      <c r="H3">
        <v>0.54</v>
      </c>
      <c r="I3">
        <v>4.3</v>
      </c>
      <c r="J3">
        <v>7</v>
      </c>
      <c r="K3">
        <f t="shared" si="0"/>
        <v>710</v>
      </c>
      <c r="L3">
        <v>4500</v>
      </c>
      <c r="M3" t="s">
        <v>334</v>
      </c>
      <c r="N3" t="s">
        <v>335</v>
      </c>
      <c r="O3" s="1">
        <f t="shared" si="1"/>
        <v>2452</v>
      </c>
      <c r="P3">
        <f>AVERAGE(Excel_jumia[Final Cleaned Price])</f>
        <v>1202.7777777777778</v>
      </c>
      <c r="Q3">
        <f>AVERAGE(Excel_jumia[Old Price Cleaned])</f>
        <v>1829.7685185185185</v>
      </c>
      <c r="R3">
        <f>AVERAGE(Excel_jumia[Discount Amount])</f>
        <v>621.2385321100918</v>
      </c>
      <c r="S3">
        <f>AVERAGE(Excel_jumia[[Ratings Cleaned ]])</f>
        <v>3.8894736842105266</v>
      </c>
      <c r="T3">
        <f>MAX(Excel_jumia[Final Cleaned Price])</f>
        <v>3750</v>
      </c>
      <c r="U3">
        <f>MIN(Excel_jumia[Final Cleaned Price])</f>
        <v>38</v>
      </c>
      <c r="V3" t="str">
        <f>_xlfn.XLOOKUP(MAX(Excel_jumia[Final Cleaned Price]), Excel_jumia[Final Cleaned Price], Excel_jumia[Product])</f>
        <v>32PCS Portable Cordless Drill Set With Cyclic Battery Drive -26 Variable Speed</v>
      </c>
      <c r="W3" t="str">
        <f>_xlfn.XLOOKUP(MIN(Excel_jumia[Final Cleaned Price]), Excel_jumia[Final Cleaned Price], Excel_jumia[Product])</f>
        <v>3PCS Single Head Knitting Crochet Sweater Needle Set</v>
      </c>
      <c r="X3" s="9">
        <f t="shared" si="2"/>
        <v>108</v>
      </c>
    </row>
    <row r="4" spans="1:24" x14ac:dyDescent="0.35">
      <c r="A4" t="s">
        <v>217</v>
      </c>
      <c r="B4" t="s">
        <v>218</v>
      </c>
      <c r="C4" t="s">
        <v>219</v>
      </c>
      <c r="D4">
        <v>0.39</v>
      </c>
      <c r="E4">
        <v>-5</v>
      </c>
      <c r="F4" t="s">
        <v>194</v>
      </c>
      <c r="G4">
        <v>3750</v>
      </c>
      <c r="H4">
        <v>0.39</v>
      </c>
      <c r="I4">
        <v>3</v>
      </c>
      <c r="J4">
        <v>5</v>
      </c>
      <c r="K4">
        <f t="shared" si="0"/>
        <v>703</v>
      </c>
      <c r="L4">
        <v>6143</v>
      </c>
      <c r="M4" t="s">
        <v>334</v>
      </c>
      <c r="N4" t="s">
        <v>333</v>
      </c>
      <c r="O4" s="1">
        <f t="shared" si="1"/>
        <v>2393</v>
      </c>
      <c r="P4">
        <f>AVERAGE(Excel_jumia[Final Cleaned Price])</f>
        <v>1202.7777777777778</v>
      </c>
      <c r="Q4">
        <f>AVERAGE(Excel_jumia[Old Price Cleaned])</f>
        <v>1829.7685185185185</v>
      </c>
      <c r="R4">
        <f>AVERAGE(Excel_jumia[Discount Amount])</f>
        <v>621.2385321100918</v>
      </c>
      <c r="S4">
        <f>AVERAGE(Excel_jumia[[Ratings Cleaned ]])</f>
        <v>3.8894736842105266</v>
      </c>
      <c r="T4">
        <f>MAX(Excel_jumia[Final Cleaned Price])</f>
        <v>3750</v>
      </c>
      <c r="U4">
        <f>MIN(Excel_jumia[Final Cleaned Price])</f>
        <v>38</v>
      </c>
      <c r="V4" t="str">
        <f>_xlfn.XLOOKUP(MAX(Excel_jumia[Final Cleaned Price]), Excel_jumia[Final Cleaned Price], Excel_jumia[Product])</f>
        <v>32PCS Portable Cordless Drill Set With Cyclic Battery Drive -26 Variable Speed</v>
      </c>
      <c r="W4" t="str">
        <f>_xlfn.XLOOKUP(MIN(Excel_jumia[Final Cleaned Price]), Excel_jumia[Final Cleaned Price], Excel_jumia[Product])</f>
        <v>3PCS Single Head Knitting Crochet Sweater Needle Set</v>
      </c>
      <c r="X4" s="9">
        <f t="shared" si="2"/>
        <v>107</v>
      </c>
    </row>
    <row r="5" spans="1:24" x14ac:dyDescent="0.35">
      <c r="A5" t="s">
        <v>68</v>
      </c>
      <c r="B5" t="s">
        <v>69</v>
      </c>
      <c r="C5" t="s">
        <v>70</v>
      </c>
      <c r="D5">
        <v>0.49</v>
      </c>
      <c r="E5">
        <v>-3</v>
      </c>
      <c r="F5" t="s">
        <v>64</v>
      </c>
      <c r="G5">
        <v>2025</v>
      </c>
      <c r="H5">
        <v>0.49</v>
      </c>
      <c r="I5">
        <v>5</v>
      </c>
      <c r="J5">
        <v>3</v>
      </c>
      <c r="K5">
        <f t="shared" si="0"/>
        <v>698</v>
      </c>
      <c r="L5">
        <v>3971</v>
      </c>
      <c r="M5" t="s">
        <v>332</v>
      </c>
      <c r="N5" t="s">
        <v>335</v>
      </c>
      <c r="O5" s="1">
        <f t="shared" si="1"/>
        <v>1946</v>
      </c>
      <c r="P5">
        <f>AVERAGE(Excel_jumia[Final Cleaned Price])</f>
        <v>1202.7777777777778</v>
      </c>
      <c r="Q5">
        <f>AVERAGE(Excel_jumia[Old Price Cleaned])</f>
        <v>1829.7685185185185</v>
      </c>
      <c r="R5">
        <f>AVERAGE(Excel_jumia[Discount Amount])</f>
        <v>621.2385321100918</v>
      </c>
      <c r="S5">
        <f>AVERAGE(Excel_jumia[[Ratings Cleaned ]])</f>
        <v>3.8894736842105266</v>
      </c>
      <c r="T5">
        <f>MAX(Excel_jumia[Final Cleaned Price])</f>
        <v>3750</v>
      </c>
      <c r="U5">
        <f>MIN(Excel_jumia[Final Cleaned Price])</f>
        <v>38</v>
      </c>
      <c r="V5" t="str">
        <f>_xlfn.XLOOKUP(MAX(Excel_jumia[Final Cleaned Price]), Excel_jumia[Final Cleaned Price], Excel_jumia[Product])</f>
        <v>32PCS Portable Cordless Drill Set With Cyclic Battery Drive -26 Variable Speed</v>
      </c>
      <c r="W5" t="str">
        <f>_xlfn.XLOOKUP(MIN(Excel_jumia[Final Cleaned Price]), Excel_jumia[Final Cleaned Price], Excel_jumia[Product])</f>
        <v>3PCS Single Head Knitting Crochet Sweater Needle Set</v>
      </c>
      <c r="X5" s="9">
        <f t="shared" si="2"/>
        <v>106</v>
      </c>
    </row>
    <row r="6" spans="1:24" x14ac:dyDescent="0.35">
      <c r="A6" t="s">
        <v>106</v>
      </c>
      <c r="B6" t="s">
        <v>107</v>
      </c>
      <c r="C6" t="s">
        <v>108</v>
      </c>
      <c r="D6">
        <v>0.46</v>
      </c>
      <c r="F6" t="s">
        <v>83</v>
      </c>
      <c r="G6">
        <v>2200</v>
      </c>
      <c r="H6">
        <v>0.46</v>
      </c>
      <c r="K6">
        <f t="shared" si="0"/>
        <v>695</v>
      </c>
      <c r="L6">
        <v>4080</v>
      </c>
      <c r="N6" t="s">
        <v>335</v>
      </c>
      <c r="O6" s="1">
        <f t="shared" si="1"/>
        <v>1880</v>
      </c>
      <c r="P6">
        <f>AVERAGE(Excel_jumia[Final Cleaned Price])</f>
        <v>1202.7777777777778</v>
      </c>
      <c r="Q6">
        <f>AVERAGE(Excel_jumia[Old Price Cleaned])</f>
        <v>1829.7685185185185</v>
      </c>
      <c r="R6">
        <f>AVERAGE(Excel_jumia[Discount Amount])</f>
        <v>621.2385321100918</v>
      </c>
      <c r="S6">
        <f>AVERAGE(Excel_jumia[[Ratings Cleaned ]])</f>
        <v>3.8894736842105266</v>
      </c>
      <c r="T6">
        <f>MAX(Excel_jumia[Final Cleaned Price])</f>
        <v>3750</v>
      </c>
      <c r="U6">
        <f>MIN(Excel_jumia[Final Cleaned Price])</f>
        <v>38</v>
      </c>
      <c r="V6" t="str">
        <f>_xlfn.XLOOKUP(MAX(Excel_jumia[Final Cleaned Price]), Excel_jumia[Final Cleaned Price], Excel_jumia[Product])</f>
        <v>32PCS Portable Cordless Drill Set With Cyclic Battery Drive -26 Variable Speed</v>
      </c>
      <c r="W6" t="str">
        <f>_xlfn.XLOOKUP(MIN(Excel_jumia[Final Cleaned Price]), Excel_jumia[Final Cleaned Price], Excel_jumia[Product])</f>
        <v>3PCS Single Head Knitting Crochet Sweater Needle Set</v>
      </c>
      <c r="X6" s="9">
        <f t="shared" si="2"/>
        <v>105</v>
      </c>
    </row>
    <row r="7" spans="1:24" x14ac:dyDescent="0.35">
      <c r="A7" t="s">
        <v>135</v>
      </c>
      <c r="B7" t="s">
        <v>136</v>
      </c>
      <c r="C7" t="s">
        <v>137</v>
      </c>
      <c r="D7">
        <v>0.38</v>
      </c>
      <c r="F7" t="s">
        <v>83</v>
      </c>
      <c r="G7">
        <v>2750</v>
      </c>
      <c r="H7">
        <v>0.38</v>
      </c>
      <c r="K7">
        <f t="shared" si="0"/>
        <v>695</v>
      </c>
      <c r="L7">
        <v>4471</v>
      </c>
      <c r="N7" t="s">
        <v>333</v>
      </c>
      <c r="O7" s="1">
        <f t="shared" si="1"/>
        <v>1721</v>
      </c>
      <c r="P7">
        <f>AVERAGE(Excel_jumia[Final Cleaned Price])</f>
        <v>1202.7777777777778</v>
      </c>
      <c r="Q7">
        <f>AVERAGE(Excel_jumia[Old Price Cleaned])</f>
        <v>1829.7685185185185</v>
      </c>
      <c r="R7">
        <f>AVERAGE(Excel_jumia[Discount Amount])</f>
        <v>621.2385321100918</v>
      </c>
      <c r="S7">
        <f>AVERAGE(Excel_jumia[[Ratings Cleaned ]])</f>
        <v>3.8894736842105266</v>
      </c>
      <c r="T7">
        <f>MAX(Excel_jumia[Final Cleaned Price])</f>
        <v>3750</v>
      </c>
      <c r="U7">
        <f>MIN(Excel_jumia[Final Cleaned Price])</f>
        <v>38</v>
      </c>
      <c r="V7" t="str">
        <f>_xlfn.XLOOKUP(MAX(Excel_jumia[Final Cleaned Price]), Excel_jumia[Final Cleaned Price], Excel_jumia[Product])</f>
        <v>32PCS Portable Cordless Drill Set With Cyclic Battery Drive -26 Variable Speed</v>
      </c>
      <c r="W7" t="str">
        <f>_xlfn.XLOOKUP(MIN(Excel_jumia[Final Cleaned Price]), Excel_jumia[Final Cleaned Price], Excel_jumia[Product])</f>
        <v>3PCS Single Head Knitting Crochet Sweater Needle Set</v>
      </c>
      <c r="X7" s="9">
        <f t="shared" si="2"/>
        <v>104</v>
      </c>
    </row>
    <row r="8" spans="1:24" x14ac:dyDescent="0.35">
      <c r="A8" t="s">
        <v>115</v>
      </c>
      <c r="B8" t="s">
        <v>116</v>
      </c>
      <c r="C8" t="s">
        <v>117</v>
      </c>
      <c r="D8">
        <v>0.48</v>
      </c>
      <c r="E8">
        <v>-9</v>
      </c>
      <c r="F8" t="s">
        <v>94</v>
      </c>
      <c r="G8">
        <v>1820</v>
      </c>
      <c r="H8">
        <v>0.48</v>
      </c>
      <c r="I8">
        <v>4.3</v>
      </c>
      <c r="J8">
        <v>9</v>
      </c>
      <c r="K8">
        <f t="shared" si="0"/>
        <v>695</v>
      </c>
      <c r="L8">
        <v>3490</v>
      </c>
      <c r="M8" t="s">
        <v>334</v>
      </c>
      <c r="N8" t="s">
        <v>335</v>
      </c>
      <c r="O8" s="1">
        <f t="shared" si="1"/>
        <v>1670</v>
      </c>
      <c r="P8">
        <f>AVERAGE(Excel_jumia[Final Cleaned Price])</f>
        <v>1202.7777777777778</v>
      </c>
      <c r="Q8">
        <f>AVERAGE(Excel_jumia[Old Price Cleaned])</f>
        <v>1829.7685185185185</v>
      </c>
      <c r="R8">
        <f>AVERAGE(Excel_jumia[Discount Amount])</f>
        <v>621.2385321100918</v>
      </c>
      <c r="S8">
        <f>AVERAGE(Excel_jumia[[Ratings Cleaned ]])</f>
        <v>3.8894736842105266</v>
      </c>
      <c r="T8">
        <f>MAX(Excel_jumia[Final Cleaned Price])</f>
        <v>3750</v>
      </c>
      <c r="U8">
        <f>MIN(Excel_jumia[Final Cleaned Price])</f>
        <v>38</v>
      </c>
      <c r="V8" t="str">
        <f>_xlfn.XLOOKUP(MAX(Excel_jumia[Final Cleaned Price]), Excel_jumia[Final Cleaned Price], Excel_jumia[Product])</f>
        <v>32PCS Portable Cordless Drill Set With Cyclic Battery Drive -26 Variable Speed</v>
      </c>
      <c r="W8" t="str">
        <f>_xlfn.XLOOKUP(MIN(Excel_jumia[Final Cleaned Price]), Excel_jumia[Final Cleaned Price], Excel_jumia[Product])</f>
        <v>3PCS Single Head Knitting Crochet Sweater Needle Set</v>
      </c>
      <c r="X8" s="9">
        <f t="shared" si="2"/>
        <v>103</v>
      </c>
    </row>
    <row r="9" spans="1:24" x14ac:dyDescent="0.35">
      <c r="A9" t="s">
        <v>40</v>
      </c>
      <c r="B9" t="s">
        <v>41</v>
      </c>
      <c r="C9" t="s">
        <v>42</v>
      </c>
      <c r="D9">
        <v>0.55000000000000004</v>
      </c>
      <c r="E9">
        <v>-5</v>
      </c>
      <c r="F9" t="s">
        <v>29</v>
      </c>
      <c r="G9">
        <v>1274</v>
      </c>
      <c r="H9">
        <v>0.55000000000000004</v>
      </c>
      <c r="I9">
        <v>4.8</v>
      </c>
      <c r="J9">
        <v>5</v>
      </c>
      <c r="K9">
        <f t="shared" si="0"/>
        <v>686</v>
      </c>
      <c r="L9">
        <v>2800</v>
      </c>
      <c r="M9" t="s">
        <v>332</v>
      </c>
      <c r="N9" t="s">
        <v>335</v>
      </c>
      <c r="O9" s="1">
        <f t="shared" si="1"/>
        <v>1526</v>
      </c>
      <c r="P9">
        <f>AVERAGE(Excel_jumia[Final Cleaned Price])</f>
        <v>1202.7777777777778</v>
      </c>
      <c r="Q9">
        <f>AVERAGE(Excel_jumia[Old Price Cleaned])</f>
        <v>1829.7685185185185</v>
      </c>
      <c r="R9">
        <f>AVERAGE(Excel_jumia[Discount Amount])</f>
        <v>621.2385321100918</v>
      </c>
      <c r="S9">
        <f>AVERAGE(Excel_jumia[[Ratings Cleaned ]])</f>
        <v>3.8894736842105266</v>
      </c>
      <c r="T9">
        <f>MAX(Excel_jumia[Final Cleaned Price])</f>
        <v>3750</v>
      </c>
      <c r="U9">
        <f>MIN(Excel_jumia[Final Cleaned Price])</f>
        <v>38</v>
      </c>
      <c r="V9" t="str">
        <f>_xlfn.XLOOKUP(MAX(Excel_jumia[Final Cleaned Price]), Excel_jumia[Final Cleaned Price], Excel_jumia[Product])</f>
        <v>32PCS Portable Cordless Drill Set With Cyclic Battery Drive -26 Variable Speed</v>
      </c>
      <c r="W9" t="str">
        <f>_xlfn.XLOOKUP(MIN(Excel_jumia[Final Cleaned Price]), Excel_jumia[Final Cleaned Price], Excel_jumia[Product])</f>
        <v>3PCS Single Head Knitting Crochet Sweater Needle Set</v>
      </c>
      <c r="X9" s="9">
        <f t="shared" si="2"/>
        <v>102</v>
      </c>
    </row>
    <row r="10" spans="1:24" x14ac:dyDescent="0.35">
      <c r="A10" t="s">
        <v>234</v>
      </c>
      <c r="B10" t="s">
        <v>235</v>
      </c>
      <c r="C10" t="s">
        <v>236</v>
      </c>
      <c r="D10">
        <v>0.47</v>
      </c>
      <c r="E10">
        <v>-7</v>
      </c>
      <c r="F10" t="s">
        <v>198</v>
      </c>
      <c r="G10">
        <v>1570</v>
      </c>
      <c r="H10">
        <v>0.47</v>
      </c>
      <c r="I10">
        <v>2.1</v>
      </c>
      <c r="J10">
        <v>7</v>
      </c>
      <c r="K10">
        <f t="shared" si="0"/>
        <v>681</v>
      </c>
      <c r="L10">
        <v>2988</v>
      </c>
      <c r="M10" t="s">
        <v>337</v>
      </c>
      <c r="N10" t="s">
        <v>335</v>
      </c>
      <c r="O10" s="1">
        <f t="shared" si="1"/>
        <v>1418</v>
      </c>
      <c r="P10">
        <f>AVERAGE(Excel_jumia[Final Cleaned Price])</f>
        <v>1202.7777777777778</v>
      </c>
      <c r="Q10">
        <f>AVERAGE(Excel_jumia[Old Price Cleaned])</f>
        <v>1829.7685185185185</v>
      </c>
      <c r="R10">
        <f>AVERAGE(Excel_jumia[Discount Amount])</f>
        <v>621.2385321100918</v>
      </c>
      <c r="S10">
        <f>AVERAGE(Excel_jumia[[Ratings Cleaned ]])</f>
        <v>3.8894736842105266</v>
      </c>
      <c r="T10">
        <f>MAX(Excel_jumia[Final Cleaned Price])</f>
        <v>3750</v>
      </c>
      <c r="U10">
        <f>MIN(Excel_jumia[Final Cleaned Price])</f>
        <v>38</v>
      </c>
      <c r="V10" t="str">
        <f>_xlfn.XLOOKUP(MAX(Excel_jumia[Final Cleaned Price]), Excel_jumia[Final Cleaned Price], Excel_jumia[Product])</f>
        <v>32PCS Portable Cordless Drill Set With Cyclic Battery Drive -26 Variable Speed</v>
      </c>
      <c r="W10" t="str">
        <f>_xlfn.XLOOKUP(MIN(Excel_jumia[Final Cleaned Price]), Excel_jumia[Final Cleaned Price], Excel_jumia[Product])</f>
        <v>3PCS Single Head Knitting Crochet Sweater Needle Set</v>
      </c>
      <c r="X10" s="9">
        <f t="shared" si="2"/>
        <v>101</v>
      </c>
    </row>
    <row r="11" spans="1:24" x14ac:dyDescent="0.35">
      <c r="A11" t="s">
        <v>80</v>
      </c>
      <c r="B11" t="s">
        <v>81</v>
      </c>
      <c r="C11" t="s">
        <v>82</v>
      </c>
      <c r="D11">
        <v>0.42</v>
      </c>
      <c r="F11" t="s">
        <v>83</v>
      </c>
      <c r="G11">
        <v>1860</v>
      </c>
      <c r="H11">
        <v>0.42</v>
      </c>
      <c r="K11">
        <f t="shared" si="0"/>
        <v>674</v>
      </c>
      <c r="L11">
        <v>3220</v>
      </c>
      <c r="N11" t="s">
        <v>335</v>
      </c>
      <c r="O11" s="1">
        <f t="shared" si="1"/>
        <v>1360</v>
      </c>
      <c r="P11">
        <f>AVERAGE(Excel_jumia[Final Cleaned Price])</f>
        <v>1202.7777777777778</v>
      </c>
      <c r="Q11">
        <f>AVERAGE(Excel_jumia[Old Price Cleaned])</f>
        <v>1829.7685185185185</v>
      </c>
      <c r="R11">
        <f>AVERAGE(Excel_jumia[Discount Amount])</f>
        <v>621.2385321100918</v>
      </c>
      <c r="S11">
        <f>AVERAGE(Excel_jumia[[Ratings Cleaned ]])</f>
        <v>3.8894736842105266</v>
      </c>
      <c r="T11">
        <f>MAX(Excel_jumia[Final Cleaned Price])</f>
        <v>3750</v>
      </c>
      <c r="U11">
        <f>MIN(Excel_jumia[Final Cleaned Price])</f>
        <v>38</v>
      </c>
      <c r="V11" t="str">
        <f>_xlfn.XLOOKUP(MAX(Excel_jumia[Final Cleaned Price]), Excel_jumia[Final Cleaned Price], Excel_jumia[Product])</f>
        <v>32PCS Portable Cordless Drill Set With Cyclic Battery Drive -26 Variable Speed</v>
      </c>
      <c r="W11" t="str">
        <f>_xlfn.XLOOKUP(MIN(Excel_jumia[Final Cleaned Price]), Excel_jumia[Final Cleaned Price], Excel_jumia[Product])</f>
        <v>3PCS Single Head Knitting Crochet Sweater Needle Set</v>
      </c>
      <c r="X11" s="9">
        <f t="shared" si="2"/>
        <v>100</v>
      </c>
    </row>
    <row r="12" spans="1:24" x14ac:dyDescent="0.35">
      <c r="A12" t="s">
        <v>43</v>
      </c>
      <c r="B12" t="s">
        <v>44</v>
      </c>
      <c r="C12" t="s">
        <v>45</v>
      </c>
      <c r="D12">
        <v>0.45</v>
      </c>
      <c r="E12">
        <v>-5</v>
      </c>
      <c r="F12" t="s">
        <v>46</v>
      </c>
      <c r="G12">
        <v>1600</v>
      </c>
      <c r="H12">
        <v>0.45</v>
      </c>
      <c r="I12">
        <v>3.8</v>
      </c>
      <c r="J12">
        <v>5</v>
      </c>
      <c r="K12">
        <f t="shared" si="0"/>
        <v>674</v>
      </c>
      <c r="L12">
        <v>2929</v>
      </c>
      <c r="M12" t="s">
        <v>334</v>
      </c>
      <c r="N12" t="s">
        <v>335</v>
      </c>
      <c r="O12" s="1">
        <f t="shared" si="1"/>
        <v>1329</v>
      </c>
      <c r="P12">
        <f>AVERAGE(Excel_jumia[Final Cleaned Price])</f>
        <v>1202.7777777777778</v>
      </c>
      <c r="Q12">
        <f>AVERAGE(Excel_jumia[Old Price Cleaned])</f>
        <v>1829.7685185185185</v>
      </c>
      <c r="R12">
        <f>AVERAGE(Excel_jumia[Discount Amount])</f>
        <v>621.2385321100918</v>
      </c>
      <c r="S12">
        <f>AVERAGE(Excel_jumia[[Ratings Cleaned ]])</f>
        <v>3.8894736842105266</v>
      </c>
      <c r="T12">
        <f>MAX(Excel_jumia[Final Cleaned Price])</f>
        <v>3750</v>
      </c>
      <c r="U12">
        <f>MIN(Excel_jumia[Final Cleaned Price])</f>
        <v>38</v>
      </c>
      <c r="V12" t="str">
        <f>_xlfn.XLOOKUP(MAX(Excel_jumia[Final Cleaned Price]), Excel_jumia[Final Cleaned Price], Excel_jumia[Product])</f>
        <v>32PCS Portable Cordless Drill Set With Cyclic Battery Drive -26 Variable Speed</v>
      </c>
      <c r="W12" t="str">
        <f>_xlfn.XLOOKUP(MIN(Excel_jumia[Final Cleaned Price]), Excel_jumia[Final Cleaned Price], Excel_jumia[Product])</f>
        <v>3PCS Single Head Knitting Crochet Sweater Needle Set</v>
      </c>
      <c r="X12" s="9">
        <f t="shared" si="2"/>
        <v>99</v>
      </c>
    </row>
    <row r="13" spans="1:24" x14ac:dyDescent="0.35">
      <c r="A13" t="s">
        <v>276</v>
      </c>
      <c r="B13" t="s">
        <v>277</v>
      </c>
      <c r="C13" t="s">
        <v>189</v>
      </c>
      <c r="D13">
        <v>0.48</v>
      </c>
      <c r="F13" t="s">
        <v>83</v>
      </c>
      <c r="G13">
        <v>1300</v>
      </c>
      <c r="H13">
        <v>0.48</v>
      </c>
      <c r="K13">
        <f t="shared" si="0"/>
        <v>669</v>
      </c>
      <c r="L13">
        <v>2500</v>
      </c>
      <c r="N13" t="s">
        <v>335</v>
      </c>
      <c r="O13" s="1">
        <f t="shared" si="1"/>
        <v>1200</v>
      </c>
      <c r="P13">
        <f>AVERAGE(Excel_jumia[Final Cleaned Price])</f>
        <v>1202.7777777777778</v>
      </c>
      <c r="Q13">
        <f>AVERAGE(Excel_jumia[Old Price Cleaned])</f>
        <v>1829.7685185185185</v>
      </c>
      <c r="R13">
        <f>AVERAGE(Excel_jumia[Discount Amount])</f>
        <v>621.2385321100918</v>
      </c>
      <c r="S13">
        <f>AVERAGE(Excel_jumia[[Ratings Cleaned ]])</f>
        <v>3.8894736842105266</v>
      </c>
      <c r="T13">
        <f>MAX(Excel_jumia[Final Cleaned Price])</f>
        <v>3750</v>
      </c>
      <c r="U13">
        <f>MIN(Excel_jumia[Final Cleaned Price])</f>
        <v>38</v>
      </c>
      <c r="V13" t="str">
        <f>_xlfn.XLOOKUP(MAX(Excel_jumia[Final Cleaned Price]), Excel_jumia[Final Cleaned Price], Excel_jumia[Product])</f>
        <v>32PCS Portable Cordless Drill Set With Cyclic Battery Drive -26 Variable Speed</v>
      </c>
      <c r="W13" t="str">
        <f>_xlfn.XLOOKUP(MIN(Excel_jumia[Final Cleaned Price]), Excel_jumia[Final Cleaned Price], Excel_jumia[Product])</f>
        <v>3PCS Single Head Knitting Crochet Sweater Needle Set</v>
      </c>
      <c r="X13" s="9">
        <f t="shared" si="2"/>
        <v>98</v>
      </c>
    </row>
    <row r="14" spans="1:24" x14ac:dyDescent="0.35">
      <c r="A14" t="s">
        <v>282</v>
      </c>
      <c r="B14" t="s">
        <v>159</v>
      </c>
      <c r="C14" t="s">
        <v>283</v>
      </c>
      <c r="D14">
        <v>0.5</v>
      </c>
      <c r="F14" t="s">
        <v>83</v>
      </c>
      <c r="G14">
        <v>1200</v>
      </c>
      <c r="H14">
        <v>0.5</v>
      </c>
      <c r="K14">
        <f t="shared" si="0"/>
        <v>669</v>
      </c>
      <c r="L14">
        <v>2400</v>
      </c>
      <c r="N14" t="s">
        <v>335</v>
      </c>
      <c r="O14" s="1">
        <f t="shared" si="1"/>
        <v>1200</v>
      </c>
      <c r="P14">
        <f>AVERAGE(Excel_jumia[Final Cleaned Price])</f>
        <v>1202.7777777777778</v>
      </c>
      <c r="Q14">
        <f>AVERAGE(Excel_jumia[Old Price Cleaned])</f>
        <v>1829.7685185185185</v>
      </c>
      <c r="R14">
        <f>AVERAGE(Excel_jumia[Discount Amount])</f>
        <v>621.2385321100918</v>
      </c>
      <c r="S14">
        <f>AVERAGE(Excel_jumia[[Ratings Cleaned ]])</f>
        <v>3.8894736842105266</v>
      </c>
      <c r="T14">
        <f>MAX(Excel_jumia[Final Cleaned Price])</f>
        <v>3750</v>
      </c>
      <c r="U14">
        <f>MIN(Excel_jumia[Final Cleaned Price])</f>
        <v>38</v>
      </c>
      <c r="V14" t="str">
        <f>_xlfn.XLOOKUP(MAX(Excel_jumia[Final Cleaned Price]), Excel_jumia[Final Cleaned Price], Excel_jumia[Product])</f>
        <v>32PCS Portable Cordless Drill Set With Cyclic Battery Drive -26 Variable Speed</v>
      </c>
      <c r="W14" t="str">
        <f>_xlfn.XLOOKUP(MIN(Excel_jumia[Final Cleaned Price]), Excel_jumia[Final Cleaned Price], Excel_jumia[Product])</f>
        <v>3PCS Single Head Knitting Crochet Sweater Needle Set</v>
      </c>
      <c r="X14" s="9">
        <f t="shared" si="2"/>
        <v>97</v>
      </c>
    </row>
    <row r="15" spans="1:24" x14ac:dyDescent="0.35">
      <c r="A15" t="s">
        <v>124</v>
      </c>
      <c r="B15" t="s">
        <v>125</v>
      </c>
      <c r="C15" t="s">
        <v>126</v>
      </c>
      <c r="D15">
        <v>0.4</v>
      </c>
      <c r="E15">
        <v>-1</v>
      </c>
      <c r="F15" t="s">
        <v>64</v>
      </c>
      <c r="G15">
        <v>1620</v>
      </c>
      <c r="H15">
        <v>0.4</v>
      </c>
      <c r="I15">
        <v>5</v>
      </c>
      <c r="J15">
        <v>1</v>
      </c>
      <c r="K15">
        <f t="shared" si="0"/>
        <v>669</v>
      </c>
      <c r="L15">
        <v>2690</v>
      </c>
      <c r="M15" t="s">
        <v>332</v>
      </c>
      <c r="N15" t="s">
        <v>333</v>
      </c>
      <c r="O15" s="1">
        <f t="shared" si="1"/>
        <v>1070</v>
      </c>
      <c r="P15">
        <f>AVERAGE(Excel_jumia[Final Cleaned Price])</f>
        <v>1202.7777777777778</v>
      </c>
      <c r="Q15">
        <f>AVERAGE(Excel_jumia[Old Price Cleaned])</f>
        <v>1829.7685185185185</v>
      </c>
      <c r="R15">
        <f>AVERAGE(Excel_jumia[Discount Amount])</f>
        <v>621.2385321100918</v>
      </c>
      <c r="S15">
        <f>AVERAGE(Excel_jumia[[Ratings Cleaned ]])</f>
        <v>3.8894736842105266</v>
      </c>
      <c r="T15">
        <f>MAX(Excel_jumia[Final Cleaned Price])</f>
        <v>3750</v>
      </c>
      <c r="U15">
        <f>MIN(Excel_jumia[Final Cleaned Price])</f>
        <v>38</v>
      </c>
      <c r="V15" t="str">
        <f>_xlfn.XLOOKUP(MAX(Excel_jumia[Final Cleaned Price]), Excel_jumia[Final Cleaned Price], Excel_jumia[Product])</f>
        <v>32PCS Portable Cordless Drill Set With Cyclic Battery Drive -26 Variable Speed</v>
      </c>
      <c r="W15" t="str">
        <f>_xlfn.XLOOKUP(MIN(Excel_jumia[Final Cleaned Price]), Excel_jumia[Final Cleaned Price], Excel_jumia[Product])</f>
        <v>3PCS Single Head Knitting Crochet Sweater Needle Set</v>
      </c>
      <c r="X15" s="9">
        <f t="shared" si="2"/>
        <v>96</v>
      </c>
    </row>
    <row r="16" spans="1:24" x14ac:dyDescent="0.35">
      <c r="A16" t="s">
        <v>184</v>
      </c>
      <c r="B16" t="s">
        <v>185</v>
      </c>
      <c r="C16" t="s">
        <v>186</v>
      </c>
      <c r="D16">
        <v>0.27</v>
      </c>
      <c r="F16" t="s">
        <v>83</v>
      </c>
      <c r="G16">
        <v>2799</v>
      </c>
      <c r="H16">
        <v>0.27</v>
      </c>
      <c r="K16">
        <f t="shared" si="0"/>
        <v>668</v>
      </c>
      <c r="L16">
        <v>3810</v>
      </c>
      <c r="N16" t="s">
        <v>333</v>
      </c>
      <c r="O16" s="1">
        <f t="shared" si="1"/>
        <v>1011</v>
      </c>
      <c r="P16">
        <f>AVERAGE(Excel_jumia[Final Cleaned Price])</f>
        <v>1202.7777777777778</v>
      </c>
      <c r="Q16">
        <f>AVERAGE(Excel_jumia[Old Price Cleaned])</f>
        <v>1829.7685185185185</v>
      </c>
      <c r="R16">
        <f>AVERAGE(Excel_jumia[Discount Amount])</f>
        <v>621.2385321100918</v>
      </c>
      <c r="S16">
        <f>AVERAGE(Excel_jumia[[Ratings Cleaned ]])</f>
        <v>3.8894736842105266</v>
      </c>
      <c r="T16">
        <f>MAX(Excel_jumia[Final Cleaned Price])</f>
        <v>3750</v>
      </c>
      <c r="U16">
        <f>MIN(Excel_jumia[Final Cleaned Price])</f>
        <v>38</v>
      </c>
      <c r="V16" t="str">
        <f>_xlfn.XLOOKUP(MAX(Excel_jumia[Final Cleaned Price]), Excel_jumia[Final Cleaned Price], Excel_jumia[Product])</f>
        <v>32PCS Portable Cordless Drill Set With Cyclic Battery Drive -26 Variable Speed</v>
      </c>
      <c r="W16" t="str">
        <f>_xlfn.XLOOKUP(MIN(Excel_jumia[Final Cleaned Price]), Excel_jumia[Final Cleaned Price], Excel_jumia[Product])</f>
        <v>3PCS Single Head Knitting Crochet Sweater Needle Set</v>
      </c>
      <c r="X16" s="9">
        <f t="shared" si="2"/>
        <v>95</v>
      </c>
    </row>
    <row r="17" spans="1:24" x14ac:dyDescent="0.35">
      <c r="A17" t="s">
        <v>249</v>
      </c>
      <c r="B17" t="s">
        <v>250</v>
      </c>
      <c r="C17" t="s">
        <v>251</v>
      </c>
      <c r="D17">
        <v>0.46</v>
      </c>
      <c r="E17">
        <v>-1</v>
      </c>
      <c r="F17" t="s">
        <v>194</v>
      </c>
      <c r="G17">
        <v>1189</v>
      </c>
      <c r="H17">
        <v>0.46</v>
      </c>
      <c r="I17">
        <v>3</v>
      </c>
      <c r="J17">
        <v>1</v>
      </c>
      <c r="K17">
        <f t="shared" si="0"/>
        <v>668</v>
      </c>
      <c r="L17">
        <v>2199</v>
      </c>
      <c r="M17" t="s">
        <v>334</v>
      </c>
      <c r="N17" t="s">
        <v>335</v>
      </c>
      <c r="O17" s="1">
        <f t="shared" si="1"/>
        <v>1010</v>
      </c>
      <c r="P17">
        <f>AVERAGE(Excel_jumia[Final Cleaned Price])</f>
        <v>1202.7777777777778</v>
      </c>
      <c r="Q17">
        <f>AVERAGE(Excel_jumia[Old Price Cleaned])</f>
        <v>1829.7685185185185</v>
      </c>
      <c r="R17">
        <f>AVERAGE(Excel_jumia[Discount Amount])</f>
        <v>621.2385321100918</v>
      </c>
      <c r="S17">
        <f>AVERAGE(Excel_jumia[[Ratings Cleaned ]])</f>
        <v>3.8894736842105266</v>
      </c>
      <c r="T17">
        <f>MAX(Excel_jumia[Final Cleaned Price])</f>
        <v>3750</v>
      </c>
      <c r="U17">
        <f>MIN(Excel_jumia[Final Cleaned Price])</f>
        <v>38</v>
      </c>
      <c r="V17" t="str">
        <f>_xlfn.XLOOKUP(MAX(Excel_jumia[Final Cleaned Price]), Excel_jumia[Final Cleaned Price], Excel_jumia[Product])</f>
        <v>32PCS Portable Cordless Drill Set With Cyclic Battery Drive -26 Variable Speed</v>
      </c>
      <c r="W17" t="str">
        <f>_xlfn.XLOOKUP(MIN(Excel_jumia[Final Cleaned Price]), Excel_jumia[Final Cleaned Price], Excel_jumia[Product])</f>
        <v>3PCS Single Head Knitting Crochet Sweater Needle Set</v>
      </c>
      <c r="X17" s="9">
        <f t="shared" si="2"/>
        <v>94</v>
      </c>
    </row>
    <row r="18" spans="1:24" x14ac:dyDescent="0.35">
      <c r="A18" t="s">
        <v>150</v>
      </c>
      <c r="B18" t="s">
        <v>16</v>
      </c>
      <c r="C18" t="s">
        <v>151</v>
      </c>
      <c r="D18">
        <v>0.5</v>
      </c>
      <c r="F18" t="s">
        <v>83</v>
      </c>
      <c r="G18">
        <v>999</v>
      </c>
      <c r="H18">
        <v>0.5</v>
      </c>
      <c r="K18">
        <f t="shared" si="0"/>
        <v>667</v>
      </c>
      <c r="L18">
        <v>2000</v>
      </c>
      <c r="N18" t="s">
        <v>335</v>
      </c>
      <c r="O18" s="1">
        <f t="shared" si="1"/>
        <v>1001</v>
      </c>
      <c r="P18">
        <f>AVERAGE(Excel_jumia[Final Cleaned Price])</f>
        <v>1202.7777777777778</v>
      </c>
      <c r="Q18">
        <f>AVERAGE(Excel_jumia[Old Price Cleaned])</f>
        <v>1829.7685185185185</v>
      </c>
      <c r="R18">
        <f>AVERAGE(Excel_jumia[Discount Amount])</f>
        <v>621.2385321100918</v>
      </c>
      <c r="S18">
        <f>AVERAGE(Excel_jumia[[Ratings Cleaned ]])</f>
        <v>3.8894736842105266</v>
      </c>
      <c r="T18">
        <f>MAX(Excel_jumia[Final Cleaned Price])</f>
        <v>3750</v>
      </c>
      <c r="U18">
        <f>MIN(Excel_jumia[Final Cleaned Price])</f>
        <v>38</v>
      </c>
      <c r="V18" t="str">
        <f>_xlfn.XLOOKUP(MAX(Excel_jumia[Final Cleaned Price]), Excel_jumia[Final Cleaned Price], Excel_jumia[Product])</f>
        <v>32PCS Portable Cordless Drill Set With Cyclic Battery Drive -26 Variable Speed</v>
      </c>
      <c r="W18" t="str">
        <f>_xlfn.XLOOKUP(MIN(Excel_jumia[Final Cleaned Price]), Excel_jumia[Final Cleaned Price], Excel_jumia[Product])</f>
        <v>3PCS Single Head Knitting Crochet Sweater Needle Set</v>
      </c>
      <c r="X18" s="9">
        <f t="shared" si="2"/>
        <v>93</v>
      </c>
    </row>
    <row r="19" spans="1:24" x14ac:dyDescent="0.35">
      <c r="A19" t="s">
        <v>214</v>
      </c>
      <c r="B19" t="s">
        <v>215</v>
      </c>
      <c r="C19" t="s">
        <v>151</v>
      </c>
      <c r="D19">
        <v>0.5</v>
      </c>
      <c r="E19">
        <v>-7</v>
      </c>
      <c r="F19" t="s">
        <v>216</v>
      </c>
      <c r="G19">
        <v>1000</v>
      </c>
      <c r="H19">
        <v>0.5</v>
      </c>
      <c r="I19">
        <v>2.2999999999999998</v>
      </c>
      <c r="J19">
        <v>7</v>
      </c>
      <c r="K19">
        <f t="shared" si="0"/>
        <v>667</v>
      </c>
      <c r="L19">
        <v>2000</v>
      </c>
      <c r="M19" t="s">
        <v>337</v>
      </c>
      <c r="N19" t="s">
        <v>335</v>
      </c>
      <c r="O19" s="1">
        <f t="shared" si="1"/>
        <v>1000</v>
      </c>
      <c r="P19">
        <f>AVERAGE(Excel_jumia[Final Cleaned Price])</f>
        <v>1202.7777777777778</v>
      </c>
      <c r="Q19">
        <f>AVERAGE(Excel_jumia[Old Price Cleaned])</f>
        <v>1829.7685185185185</v>
      </c>
      <c r="R19">
        <f>AVERAGE(Excel_jumia[Discount Amount])</f>
        <v>621.2385321100918</v>
      </c>
      <c r="S19">
        <f>AVERAGE(Excel_jumia[[Ratings Cleaned ]])</f>
        <v>3.8894736842105266</v>
      </c>
      <c r="T19">
        <f>MAX(Excel_jumia[Final Cleaned Price])</f>
        <v>3750</v>
      </c>
      <c r="U19">
        <f>MIN(Excel_jumia[Final Cleaned Price])</f>
        <v>38</v>
      </c>
      <c r="V19" t="str">
        <f>_xlfn.XLOOKUP(MAX(Excel_jumia[Final Cleaned Price]), Excel_jumia[Final Cleaned Price], Excel_jumia[Product])</f>
        <v>32PCS Portable Cordless Drill Set With Cyclic Battery Drive -26 Variable Speed</v>
      </c>
      <c r="W19" t="str">
        <f>_xlfn.XLOOKUP(MIN(Excel_jumia[Final Cleaned Price]), Excel_jumia[Final Cleaned Price], Excel_jumia[Product])</f>
        <v>3PCS Single Head Knitting Crochet Sweater Needle Set</v>
      </c>
      <c r="X19" s="9">
        <f t="shared" si="2"/>
        <v>92</v>
      </c>
    </row>
    <row r="20" spans="1:24" x14ac:dyDescent="0.35">
      <c r="A20" t="s">
        <v>303</v>
      </c>
      <c r="B20" t="s">
        <v>304</v>
      </c>
      <c r="C20" t="s">
        <v>305</v>
      </c>
      <c r="D20">
        <v>0.41</v>
      </c>
      <c r="F20" t="s">
        <v>83</v>
      </c>
      <c r="G20">
        <v>1420</v>
      </c>
      <c r="H20">
        <v>0.41</v>
      </c>
      <c r="K20">
        <f t="shared" si="0"/>
        <v>660</v>
      </c>
      <c r="L20">
        <v>2420</v>
      </c>
      <c r="N20" t="s">
        <v>335</v>
      </c>
      <c r="O20" s="1">
        <f t="shared" si="1"/>
        <v>1000</v>
      </c>
      <c r="P20">
        <f>AVERAGE(Excel_jumia[Final Cleaned Price])</f>
        <v>1202.7777777777778</v>
      </c>
      <c r="Q20">
        <f>AVERAGE(Excel_jumia[Old Price Cleaned])</f>
        <v>1829.7685185185185</v>
      </c>
      <c r="R20">
        <f>AVERAGE(Excel_jumia[Discount Amount])</f>
        <v>621.2385321100918</v>
      </c>
      <c r="S20">
        <f>AVERAGE(Excel_jumia[[Ratings Cleaned ]])</f>
        <v>3.8894736842105266</v>
      </c>
      <c r="T20">
        <f>MAX(Excel_jumia[Final Cleaned Price])</f>
        <v>3750</v>
      </c>
      <c r="U20">
        <f>MIN(Excel_jumia[Final Cleaned Price])</f>
        <v>38</v>
      </c>
      <c r="V20" t="str">
        <f>_xlfn.XLOOKUP(MAX(Excel_jumia[Final Cleaned Price]), Excel_jumia[Final Cleaned Price], Excel_jumia[Product])</f>
        <v>32PCS Portable Cordless Drill Set With Cyclic Battery Drive -26 Variable Speed</v>
      </c>
      <c r="W20" t="str">
        <f>_xlfn.XLOOKUP(MIN(Excel_jumia[Final Cleaned Price]), Excel_jumia[Final Cleaned Price], Excel_jumia[Product])</f>
        <v>3PCS Single Head Knitting Crochet Sweater Needle Set</v>
      </c>
      <c r="X20" s="9">
        <f t="shared" si="2"/>
        <v>91</v>
      </c>
    </row>
    <row r="21" spans="1:24" x14ac:dyDescent="0.35">
      <c r="A21" t="s">
        <v>73</v>
      </c>
      <c r="B21" t="s">
        <v>74</v>
      </c>
      <c r="C21" t="s">
        <v>75</v>
      </c>
      <c r="D21">
        <v>0.49</v>
      </c>
      <c r="E21">
        <v>-44</v>
      </c>
      <c r="F21" t="s">
        <v>21</v>
      </c>
      <c r="G21">
        <v>998</v>
      </c>
      <c r="H21">
        <v>0.49</v>
      </c>
      <c r="I21">
        <v>4.5999999999999996</v>
      </c>
      <c r="J21">
        <v>44</v>
      </c>
      <c r="K21">
        <f t="shared" si="0"/>
        <v>660</v>
      </c>
      <c r="L21">
        <v>1966</v>
      </c>
      <c r="M21" t="s">
        <v>332</v>
      </c>
      <c r="N21" t="s">
        <v>335</v>
      </c>
      <c r="O21" s="1">
        <f t="shared" si="1"/>
        <v>968</v>
      </c>
      <c r="P21">
        <f>AVERAGE(Excel_jumia[Final Cleaned Price])</f>
        <v>1202.7777777777778</v>
      </c>
      <c r="Q21">
        <f>AVERAGE(Excel_jumia[Old Price Cleaned])</f>
        <v>1829.7685185185185</v>
      </c>
      <c r="R21">
        <f>AVERAGE(Excel_jumia[Discount Amount])</f>
        <v>621.2385321100918</v>
      </c>
      <c r="S21">
        <f>AVERAGE(Excel_jumia[[Ratings Cleaned ]])</f>
        <v>3.8894736842105266</v>
      </c>
      <c r="T21">
        <f>MAX(Excel_jumia[Final Cleaned Price])</f>
        <v>3750</v>
      </c>
      <c r="U21">
        <f>MIN(Excel_jumia[Final Cleaned Price])</f>
        <v>38</v>
      </c>
      <c r="V21" t="str">
        <f>_xlfn.XLOOKUP(MAX(Excel_jumia[Final Cleaned Price]), Excel_jumia[Final Cleaned Price], Excel_jumia[Product])</f>
        <v>32PCS Portable Cordless Drill Set With Cyclic Battery Drive -26 Variable Speed</v>
      </c>
      <c r="W21" t="str">
        <f>_xlfn.XLOOKUP(MIN(Excel_jumia[Final Cleaned Price]), Excel_jumia[Final Cleaned Price], Excel_jumia[Product])</f>
        <v>3PCS Single Head Knitting Crochet Sweater Needle Set</v>
      </c>
      <c r="X21" s="9">
        <f t="shared" si="2"/>
        <v>90</v>
      </c>
    </row>
    <row r="22" spans="1:24" x14ac:dyDescent="0.35">
      <c r="A22" t="s">
        <v>300</v>
      </c>
      <c r="B22" t="s">
        <v>301</v>
      </c>
      <c r="C22" t="s">
        <v>302</v>
      </c>
      <c r="D22">
        <v>0.21</v>
      </c>
      <c r="E22">
        <v>-1</v>
      </c>
      <c r="F22" t="s">
        <v>64</v>
      </c>
      <c r="G22">
        <v>3640</v>
      </c>
      <c r="H22">
        <v>0.21</v>
      </c>
      <c r="I22">
        <v>5</v>
      </c>
      <c r="J22">
        <v>1</v>
      </c>
      <c r="K22">
        <f t="shared" si="0"/>
        <v>616</v>
      </c>
      <c r="L22">
        <v>4588</v>
      </c>
      <c r="M22" t="s">
        <v>332</v>
      </c>
      <c r="N22" t="s">
        <v>333</v>
      </c>
      <c r="O22" s="1">
        <f t="shared" si="1"/>
        <v>948</v>
      </c>
      <c r="P22">
        <f>AVERAGE(Excel_jumia[Final Cleaned Price])</f>
        <v>1202.7777777777778</v>
      </c>
      <c r="Q22">
        <f>AVERAGE(Excel_jumia[Old Price Cleaned])</f>
        <v>1829.7685185185185</v>
      </c>
      <c r="R22">
        <f>AVERAGE(Excel_jumia[Discount Amount])</f>
        <v>621.2385321100918</v>
      </c>
      <c r="S22">
        <f>AVERAGE(Excel_jumia[[Ratings Cleaned ]])</f>
        <v>3.8894736842105266</v>
      </c>
      <c r="T22">
        <f>MAX(Excel_jumia[Final Cleaned Price])</f>
        <v>3750</v>
      </c>
      <c r="U22">
        <f>MIN(Excel_jumia[Final Cleaned Price])</f>
        <v>38</v>
      </c>
      <c r="V22" t="str">
        <f>_xlfn.XLOOKUP(MAX(Excel_jumia[Final Cleaned Price]), Excel_jumia[Final Cleaned Price], Excel_jumia[Product])</f>
        <v>32PCS Portable Cordless Drill Set With Cyclic Battery Drive -26 Variable Speed</v>
      </c>
      <c r="W22" t="str">
        <f>_xlfn.XLOOKUP(MIN(Excel_jumia[Final Cleaned Price]), Excel_jumia[Final Cleaned Price], Excel_jumia[Product])</f>
        <v>3PCS Single Head Knitting Crochet Sweater Needle Set</v>
      </c>
      <c r="X22" s="9">
        <f t="shared" si="2"/>
        <v>89</v>
      </c>
    </row>
    <row r="23" spans="1:24" x14ac:dyDescent="0.35">
      <c r="A23" t="s">
        <v>252</v>
      </c>
      <c r="B23" t="s">
        <v>253</v>
      </c>
      <c r="C23" t="s">
        <v>254</v>
      </c>
      <c r="D23">
        <v>0.49</v>
      </c>
      <c r="E23">
        <v>-1</v>
      </c>
      <c r="F23" t="s">
        <v>64</v>
      </c>
      <c r="G23">
        <v>979</v>
      </c>
      <c r="H23">
        <v>0.49</v>
      </c>
      <c r="I23">
        <v>5</v>
      </c>
      <c r="J23">
        <v>1</v>
      </c>
      <c r="K23">
        <f t="shared" si="0"/>
        <v>615</v>
      </c>
      <c r="L23">
        <v>1920</v>
      </c>
      <c r="M23" t="s">
        <v>332</v>
      </c>
      <c r="N23" t="s">
        <v>335</v>
      </c>
      <c r="O23" s="1">
        <f t="shared" si="1"/>
        <v>941</v>
      </c>
      <c r="P23">
        <f>AVERAGE(Excel_jumia[Final Cleaned Price])</f>
        <v>1202.7777777777778</v>
      </c>
      <c r="Q23">
        <f>AVERAGE(Excel_jumia[Old Price Cleaned])</f>
        <v>1829.7685185185185</v>
      </c>
      <c r="R23">
        <f>AVERAGE(Excel_jumia[Discount Amount])</f>
        <v>621.2385321100918</v>
      </c>
      <c r="S23">
        <f>AVERAGE(Excel_jumia[[Ratings Cleaned ]])</f>
        <v>3.8894736842105266</v>
      </c>
      <c r="T23">
        <f>MAX(Excel_jumia[Final Cleaned Price])</f>
        <v>3750</v>
      </c>
      <c r="U23">
        <f>MIN(Excel_jumia[Final Cleaned Price])</f>
        <v>38</v>
      </c>
      <c r="V23" t="str">
        <f>_xlfn.XLOOKUP(MAX(Excel_jumia[Final Cleaned Price]), Excel_jumia[Final Cleaned Price], Excel_jumia[Product])</f>
        <v>32PCS Portable Cordless Drill Set With Cyclic Battery Drive -26 Variable Speed</v>
      </c>
      <c r="W23" t="str">
        <f>_xlfn.XLOOKUP(MIN(Excel_jumia[Final Cleaned Price]), Excel_jumia[Final Cleaned Price], Excel_jumia[Product])</f>
        <v>3PCS Single Head Knitting Crochet Sweater Needle Set</v>
      </c>
      <c r="X23" s="9">
        <f t="shared" si="2"/>
        <v>88</v>
      </c>
    </row>
    <row r="24" spans="1:24" x14ac:dyDescent="0.35">
      <c r="A24" t="s">
        <v>223</v>
      </c>
      <c r="B24" t="s">
        <v>224</v>
      </c>
      <c r="C24" t="s">
        <v>225</v>
      </c>
      <c r="D24">
        <v>0.28999999999999998</v>
      </c>
      <c r="E24">
        <v>-5</v>
      </c>
      <c r="F24" t="s">
        <v>194</v>
      </c>
      <c r="G24">
        <v>2300</v>
      </c>
      <c r="H24">
        <v>0.28999999999999998</v>
      </c>
      <c r="I24">
        <v>3</v>
      </c>
      <c r="J24">
        <v>5</v>
      </c>
      <c r="K24">
        <f t="shared" si="0"/>
        <v>614</v>
      </c>
      <c r="L24">
        <v>3240</v>
      </c>
      <c r="M24" t="s">
        <v>334</v>
      </c>
      <c r="N24" t="s">
        <v>333</v>
      </c>
      <c r="O24" s="1">
        <f t="shared" si="1"/>
        <v>940</v>
      </c>
      <c r="P24">
        <f>AVERAGE(Excel_jumia[Final Cleaned Price])</f>
        <v>1202.7777777777778</v>
      </c>
      <c r="Q24">
        <f>AVERAGE(Excel_jumia[Old Price Cleaned])</f>
        <v>1829.7685185185185</v>
      </c>
      <c r="R24">
        <f>AVERAGE(Excel_jumia[Discount Amount])</f>
        <v>621.2385321100918</v>
      </c>
      <c r="S24">
        <f>AVERAGE(Excel_jumia[[Ratings Cleaned ]])</f>
        <v>3.8894736842105266</v>
      </c>
      <c r="T24">
        <f>MAX(Excel_jumia[Final Cleaned Price])</f>
        <v>3750</v>
      </c>
      <c r="U24">
        <f>MIN(Excel_jumia[Final Cleaned Price])</f>
        <v>38</v>
      </c>
      <c r="V24" t="str">
        <f>_xlfn.XLOOKUP(MAX(Excel_jumia[Final Cleaned Price]), Excel_jumia[Final Cleaned Price], Excel_jumia[Product])</f>
        <v>32PCS Portable Cordless Drill Set With Cyclic Battery Drive -26 Variable Speed</v>
      </c>
      <c r="W24" t="str">
        <f>_xlfn.XLOOKUP(MIN(Excel_jumia[Final Cleaned Price]), Excel_jumia[Final Cleaned Price], Excel_jumia[Product])</f>
        <v>3PCS Single Head Knitting Crochet Sweater Needle Set</v>
      </c>
      <c r="X24" s="9">
        <f t="shared" si="2"/>
        <v>87</v>
      </c>
    </row>
    <row r="25" spans="1:24" x14ac:dyDescent="0.35">
      <c r="A25" t="s">
        <v>22</v>
      </c>
      <c r="B25" t="s">
        <v>23</v>
      </c>
      <c r="C25" t="s">
        <v>24</v>
      </c>
      <c r="D25">
        <v>0.37</v>
      </c>
      <c r="E25">
        <v>-7</v>
      </c>
      <c r="F25" t="s">
        <v>25</v>
      </c>
      <c r="G25">
        <v>1580</v>
      </c>
      <c r="H25">
        <v>0.37</v>
      </c>
      <c r="I25">
        <v>4.7</v>
      </c>
      <c r="J25">
        <v>7</v>
      </c>
      <c r="K25">
        <f t="shared" si="0"/>
        <v>609</v>
      </c>
      <c r="L25">
        <v>2499</v>
      </c>
      <c r="M25" t="s">
        <v>332</v>
      </c>
      <c r="N25" t="s">
        <v>333</v>
      </c>
      <c r="O25" s="1">
        <f t="shared" si="1"/>
        <v>919</v>
      </c>
      <c r="P25">
        <f>AVERAGE(Excel_jumia[Final Cleaned Price])</f>
        <v>1202.7777777777778</v>
      </c>
      <c r="Q25">
        <f>AVERAGE(Excel_jumia[Old Price Cleaned])</f>
        <v>1829.7685185185185</v>
      </c>
      <c r="R25">
        <f>AVERAGE(Excel_jumia[Discount Amount])</f>
        <v>621.2385321100918</v>
      </c>
      <c r="S25">
        <f>AVERAGE(Excel_jumia[[Ratings Cleaned ]])</f>
        <v>3.8894736842105266</v>
      </c>
      <c r="T25">
        <f>MAX(Excel_jumia[Final Cleaned Price])</f>
        <v>3750</v>
      </c>
      <c r="U25">
        <f>MIN(Excel_jumia[Final Cleaned Price])</f>
        <v>38</v>
      </c>
      <c r="V25" t="str">
        <f>_xlfn.XLOOKUP(MAX(Excel_jumia[Final Cleaned Price]), Excel_jumia[Final Cleaned Price], Excel_jumia[Product])</f>
        <v>32PCS Portable Cordless Drill Set With Cyclic Battery Drive -26 Variable Speed</v>
      </c>
      <c r="W25" t="str">
        <f>_xlfn.XLOOKUP(MIN(Excel_jumia[Final Cleaned Price]), Excel_jumia[Final Cleaned Price], Excel_jumia[Product])</f>
        <v>3PCS Single Head Knitting Crochet Sweater Needle Set</v>
      </c>
      <c r="X25" s="9">
        <f t="shared" si="2"/>
        <v>86</v>
      </c>
    </row>
    <row r="26" spans="1:24" x14ac:dyDescent="0.35">
      <c r="A26" t="s">
        <v>273</v>
      </c>
      <c r="B26" t="s">
        <v>274</v>
      </c>
      <c r="C26" t="s">
        <v>275</v>
      </c>
      <c r="D26">
        <v>0.5</v>
      </c>
      <c r="F26" t="s">
        <v>83</v>
      </c>
      <c r="G26">
        <v>850</v>
      </c>
      <c r="H26">
        <v>0.5</v>
      </c>
      <c r="K26">
        <f t="shared" si="0"/>
        <v>602</v>
      </c>
      <c r="L26">
        <v>1700</v>
      </c>
      <c r="N26" t="s">
        <v>335</v>
      </c>
      <c r="O26" s="1">
        <f t="shared" si="1"/>
        <v>850</v>
      </c>
      <c r="P26">
        <f>AVERAGE(Excel_jumia[Final Cleaned Price])</f>
        <v>1202.7777777777778</v>
      </c>
      <c r="Q26">
        <f>AVERAGE(Excel_jumia[Old Price Cleaned])</f>
        <v>1829.7685185185185</v>
      </c>
      <c r="R26">
        <f>AVERAGE(Excel_jumia[Discount Amount])</f>
        <v>621.2385321100918</v>
      </c>
      <c r="S26">
        <f>AVERAGE(Excel_jumia[[Ratings Cleaned ]])</f>
        <v>3.8894736842105266</v>
      </c>
      <c r="T26">
        <f>MAX(Excel_jumia[Final Cleaned Price])</f>
        <v>3750</v>
      </c>
      <c r="U26">
        <f>MIN(Excel_jumia[Final Cleaned Price])</f>
        <v>38</v>
      </c>
      <c r="V26" t="str">
        <f>_xlfn.XLOOKUP(MAX(Excel_jumia[Final Cleaned Price]), Excel_jumia[Final Cleaned Price], Excel_jumia[Product])</f>
        <v>32PCS Portable Cordless Drill Set With Cyclic Battery Drive -26 Variable Speed</v>
      </c>
      <c r="W26" t="str">
        <f>_xlfn.XLOOKUP(MIN(Excel_jumia[Final Cleaned Price]), Excel_jumia[Final Cleaned Price], Excel_jumia[Product])</f>
        <v>3PCS Single Head Knitting Crochet Sweater Needle Set</v>
      </c>
      <c r="X26" s="9">
        <f t="shared" si="2"/>
        <v>85</v>
      </c>
    </row>
    <row r="27" spans="1:24" x14ac:dyDescent="0.35">
      <c r="A27" t="s">
        <v>232</v>
      </c>
      <c r="B27" t="s">
        <v>233</v>
      </c>
      <c r="C27" t="s">
        <v>212</v>
      </c>
      <c r="D27">
        <v>0.47</v>
      </c>
      <c r="E27">
        <v>-6</v>
      </c>
      <c r="F27" t="s">
        <v>213</v>
      </c>
      <c r="G27">
        <v>968</v>
      </c>
      <c r="H27">
        <v>0.47</v>
      </c>
      <c r="I27">
        <v>2.2000000000000002</v>
      </c>
      <c r="J27">
        <v>6</v>
      </c>
      <c r="K27">
        <f t="shared" si="0"/>
        <v>602</v>
      </c>
      <c r="L27">
        <v>1814</v>
      </c>
      <c r="M27" t="s">
        <v>337</v>
      </c>
      <c r="N27" t="s">
        <v>335</v>
      </c>
      <c r="O27" s="1">
        <f t="shared" si="1"/>
        <v>846</v>
      </c>
      <c r="P27">
        <f>AVERAGE(Excel_jumia[Final Cleaned Price])</f>
        <v>1202.7777777777778</v>
      </c>
      <c r="Q27">
        <f>AVERAGE(Excel_jumia[Old Price Cleaned])</f>
        <v>1829.7685185185185</v>
      </c>
      <c r="R27">
        <f>AVERAGE(Excel_jumia[Discount Amount])</f>
        <v>621.2385321100918</v>
      </c>
      <c r="S27">
        <f>AVERAGE(Excel_jumia[[Ratings Cleaned ]])</f>
        <v>3.8894736842105266</v>
      </c>
      <c r="T27">
        <f>MAX(Excel_jumia[Final Cleaned Price])</f>
        <v>3750</v>
      </c>
      <c r="U27">
        <f>MIN(Excel_jumia[Final Cleaned Price])</f>
        <v>38</v>
      </c>
      <c r="V27" t="str">
        <f>_xlfn.XLOOKUP(MAX(Excel_jumia[Final Cleaned Price]), Excel_jumia[Final Cleaned Price], Excel_jumia[Product])</f>
        <v>32PCS Portable Cordless Drill Set With Cyclic Battery Drive -26 Variable Speed</v>
      </c>
      <c r="W27" t="str">
        <f>_xlfn.XLOOKUP(MIN(Excel_jumia[Final Cleaned Price]), Excel_jumia[Final Cleaned Price], Excel_jumia[Product])</f>
        <v>3PCS Single Head Knitting Crochet Sweater Needle Set</v>
      </c>
      <c r="X27" s="9">
        <f t="shared" si="2"/>
        <v>84</v>
      </c>
    </row>
    <row r="28" spans="1:24" x14ac:dyDescent="0.35">
      <c r="A28" t="s">
        <v>255</v>
      </c>
      <c r="B28" t="s">
        <v>256</v>
      </c>
      <c r="C28" t="s">
        <v>257</v>
      </c>
      <c r="D28">
        <v>0.36</v>
      </c>
      <c r="F28" t="s">
        <v>83</v>
      </c>
      <c r="G28">
        <v>1460</v>
      </c>
      <c r="H28">
        <v>0.36</v>
      </c>
      <c r="K28">
        <f t="shared" si="0"/>
        <v>596</v>
      </c>
      <c r="L28">
        <v>2290</v>
      </c>
      <c r="N28" t="s">
        <v>333</v>
      </c>
      <c r="O28" s="1">
        <f t="shared" si="1"/>
        <v>830</v>
      </c>
      <c r="P28">
        <f>AVERAGE(Excel_jumia[Final Cleaned Price])</f>
        <v>1202.7777777777778</v>
      </c>
      <c r="Q28">
        <f>AVERAGE(Excel_jumia[Old Price Cleaned])</f>
        <v>1829.7685185185185</v>
      </c>
      <c r="R28">
        <f>AVERAGE(Excel_jumia[Discount Amount])</f>
        <v>621.2385321100918</v>
      </c>
      <c r="S28">
        <f>AVERAGE(Excel_jumia[[Ratings Cleaned ]])</f>
        <v>3.8894736842105266</v>
      </c>
      <c r="T28">
        <f>MAX(Excel_jumia[Final Cleaned Price])</f>
        <v>3750</v>
      </c>
      <c r="U28">
        <f>MIN(Excel_jumia[Final Cleaned Price])</f>
        <v>38</v>
      </c>
      <c r="V28" t="str">
        <f>_xlfn.XLOOKUP(MAX(Excel_jumia[Final Cleaned Price]), Excel_jumia[Final Cleaned Price], Excel_jumia[Product])</f>
        <v>32PCS Portable Cordless Drill Set With Cyclic Battery Drive -26 Variable Speed</v>
      </c>
      <c r="W28" t="str">
        <f>_xlfn.XLOOKUP(MIN(Excel_jumia[Final Cleaned Price]), Excel_jumia[Final Cleaned Price], Excel_jumia[Product])</f>
        <v>3PCS Single Head Knitting Crochet Sweater Needle Set</v>
      </c>
      <c r="X28" s="9">
        <f t="shared" si="2"/>
        <v>83</v>
      </c>
    </row>
    <row r="29" spans="1:24" x14ac:dyDescent="0.35">
      <c r="A29" t="s">
        <v>211</v>
      </c>
      <c r="B29" t="s">
        <v>50</v>
      </c>
      <c r="C29" t="s">
        <v>212</v>
      </c>
      <c r="D29">
        <v>0.45</v>
      </c>
      <c r="E29">
        <v>-6</v>
      </c>
      <c r="F29" t="s">
        <v>213</v>
      </c>
      <c r="G29">
        <v>990</v>
      </c>
      <c r="H29">
        <v>0.45</v>
      </c>
      <c r="I29">
        <v>2.2000000000000002</v>
      </c>
      <c r="J29">
        <v>6</v>
      </c>
      <c r="K29">
        <f t="shared" si="0"/>
        <v>596</v>
      </c>
      <c r="L29">
        <v>1814</v>
      </c>
      <c r="M29" t="s">
        <v>337</v>
      </c>
      <c r="N29" t="s">
        <v>335</v>
      </c>
      <c r="O29" s="1">
        <f t="shared" si="1"/>
        <v>824</v>
      </c>
      <c r="P29">
        <f>AVERAGE(Excel_jumia[Final Cleaned Price])</f>
        <v>1202.7777777777778</v>
      </c>
      <c r="Q29">
        <f>AVERAGE(Excel_jumia[Old Price Cleaned])</f>
        <v>1829.7685185185185</v>
      </c>
      <c r="R29">
        <f>AVERAGE(Excel_jumia[Discount Amount])</f>
        <v>621.2385321100918</v>
      </c>
      <c r="S29">
        <f>AVERAGE(Excel_jumia[[Ratings Cleaned ]])</f>
        <v>3.8894736842105266</v>
      </c>
      <c r="T29">
        <f>MAX(Excel_jumia[Final Cleaned Price])</f>
        <v>3750</v>
      </c>
      <c r="U29">
        <f>MIN(Excel_jumia[Final Cleaned Price])</f>
        <v>38</v>
      </c>
      <c r="V29" t="str">
        <f>_xlfn.XLOOKUP(MAX(Excel_jumia[Final Cleaned Price]), Excel_jumia[Final Cleaned Price], Excel_jumia[Product])</f>
        <v>32PCS Portable Cordless Drill Set With Cyclic Battery Drive -26 Variable Speed</v>
      </c>
      <c r="W29" t="str">
        <f>_xlfn.XLOOKUP(MIN(Excel_jumia[Final Cleaned Price]), Excel_jumia[Final Cleaned Price], Excel_jumia[Product])</f>
        <v>3PCS Single Head Knitting Crochet Sweater Needle Set</v>
      </c>
      <c r="X29" s="9">
        <f t="shared" si="2"/>
        <v>82</v>
      </c>
    </row>
    <row r="30" spans="1:24" x14ac:dyDescent="0.35">
      <c r="A30" t="s">
        <v>58</v>
      </c>
      <c r="B30" t="s">
        <v>59</v>
      </c>
      <c r="C30" t="s">
        <v>24</v>
      </c>
      <c r="D30">
        <v>0.33</v>
      </c>
      <c r="E30">
        <v>-9</v>
      </c>
      <c r="F30" t="s">
        <v>60</v>
      </c>
      <c r="G30">
        <v>1680</v>
      </c>
      <c r="H30">
        <v>0.33</v>
      </c>
      <c r="I30">
        <v>4.2</v>
      </c>
      <c r="J30">
        <v>9</v>
      </c>
      <c r="K30">
        <f t="shared" si="0"/>
        <v>590</v>
      </c>
      <c r="L30">
        <v>2499</v>
      </c>
      <c r="M30" t="s">
        <v>334</v>
      </c>
      <c r="N30" t="s">
        <v>333</v>
      </c>
      <c r="O30" s="1">
        <f t="shared" si="1"/>
        <v>819</v>
      </c>
      <c r="P30">
        <f>AVERAGE(Excel_jumia[Final Cleaned Price])</f>
        <v>1202.7777777777778</v>
      </c>
      <c r="Q30">
        <f>AVERAGE(Excel_jumia[Old Price Cleaned])</f>
        <v>1829.7685185185185</v>
      </c>
      <c r="R30">
        <f>AVERAGE(Excel_jumia[Discount Amount])</f>
        <v>621.2385321100918</v>
      </c>
      <c r="S30">
        <f>AVERAGE(Excel_jumia[[Ratings Cleaned ]])</f>
        <v>3.8894736842105266</v>
      </c>
      <c r="T30">
        <f>MAX(Excel_jumia[Final Cleaned Price])</f>
        <v>3750</v>
      </c>
      <c r="U30">
        <f>MIN(Excel_jumia[Final Cleaned Price])</f>
        <v>38</v>
      </c>
      <c r="V30" t="str">
        <f>_xlfn.XLOOKUP(MAX(Excel_jumia[Final Cleaned Price]), Excel_jumia[Final Cleaned Price], Excel_jumia[Product])</f>
        <v>32PCS Portable Cordless Drill Set With Cyclic Battery Drive -26 Variable Speed</v>
      </c>
      <c r="W30" t="str">
        <f>_xlfn.XLOOKUP(MIN(Excel_jumia[Final Cleaned Price]), Excel_jumia[Final Cleaned Price], Excel_jumia[Product])</f>
        <v>3PCS Single Head Knitting Crochet Sweater Needle Set</v>
      </c>
      <c r="X30" s="9">
        <f t="shared" si="2"/>
        <v>81</v>
      </c>
    </row>
    <row r="31" spans="1:24" x14ac:dyDescent="0.35">
      <c r="A31" t="s">
        <v>281</v>
      </c>
      <c r="B31" t="s">
        <v>231</v>
      </c>
      <c r="C31" t="s">
        <v>169</v>
      </c>
      <c r="D31">
        <v>0.47</v>
      </c>
      <c r="F31" t="s">
        <v>83</v>
      </c>
      <c r="G31">
        <v>899</v>
      </c>
      <c r="H31">
        <v>0.47</v>
      </c>
      <c r="K31">
        <f t="shared" si="0"/>
        <v>581</v>
      </c>
      <c r="L31">
        <v>1699</v>
      </c>
      <c r="N31" t="s">
        <v>335</v>
      </c>
      <c r="O31" s="1">
        <f t="shared" si="1"/>
        <v>800</v>
      </c>
      <c r="P31">
        <f>AVERAGE(Excel_jumia[Final Cleaned Price])</f>
        <v>1202.7777777777778</v>
      </c>
      <c r="Q31">
        <f>AVERAGE(Excel_jumia[Old Price Cleaned])</f>
        <v>1829.7685185185185</v>
      </c>
      <c r="R31">
        <f>AVERAGE(Excel_jumia[Discount Amount])</f>
        <v>621.2385321100918</v>
      </c>
      <c r="S31">
        <f>AVERAGE(Excel_jumia[[Ratings Cleaned ]])</f>
        <v>3.8894736842105266</v>
      </c>
      <c r="T31">
        <f>MAX(Excel_jumia[Final Cleaned Price])</f>
        <v>3750</v>
      </c>
      <c r="U31">
        <f>MIN(Excel_jumia[Final Cleaned Price])</f>
        <v>38</v>
      </c>
      <c r="V31" t="str">
        <f>_xlfn.XLOOKUP(MAX(Excel_jumia[Final Cleaned Price]), Excel_jumia[Final Cleaned Price], Excel_jumia[Product])</f>
        <v>32PCS Portable Cordless Drill Set With Cyclic Battery Drive -26 Variable Speed</v>
      </c>
      <c r="W31" t="str">
        <f>_xlfn.XLOOKUP(MIN(Excel_jumia[Final Cleaned Price]), Excel_jumia[Final Cleaned Price], Excel_jumia[Product])</f>
        <v>3PCS Single Head Knitting Crochet Sweater Needle Set</v>
      </c>
      <c r="X31" s="9">
        <f t="shared" si="2"/>
        <v>80</v>
      </c>
    </row>
    <row r="32" spans="1:24" x14ac:dyDescent="0.35">
      <c r="A32" t="s">
        <v>297</v>
      </c>
      <c r="B32" t="s">
        <v>298</v>
      </c>
      <c r="C32" t="s">
        <v>299</v>
      </c>
      <c r="D32">
        <v>0.42</v>
      </c>
      <c r="F32" t="s">
        <v>83</v>
      </c>
      <c r="G32">
        <v>1080</v>
      </c>
      <c r="H32">
        <v>0.42</v>
      </c>
      <c r="K32">
        <f t="shared" si="0"/>
        <v>581</v>
      </c>
      <c r="L32">
        <v>1874</v>
      </c>
      <c r="N32" t="s">
        <v>335</v>
      </c>
      <c r="O32" s="1">
        <f t="shared" si="1"/>
        <v>794</v>
      </c>
      <c r="P32">
        <f>AVERAGE(Excel_jumia[Final Cleaned Price])</f>
        <v>1202.7777777777778</v>
      </c>
      <c r="Q32">
        <f>AVERAGE(Excel_jumia[Old Price Cleaned])</f>
        <v>1829.7685185185185</v>
      </c>
      <c r="R32">
        <f>AVERAGE(Excel_jumia[Discount Amount])</f>
        <v>621.2385321100918</v>
      </c>
      <c r="S32">
        <f>AVERAGE(Excel_jumia[[Ratings Cleaned ]])</f>
        <v>3.8894736842105266</v>
      </c>
      <c r="T32">
        <f>MAX(Excel_jumia[Final Cleaned Price])</f>
        <v>3750</v>
      </c>
      <c r="U32">
        <f>MIN(Excel_jumia[Final Cleaned Price])</f>
        <v>38</v>
      </c>
      <c r="V32" t="str">
        <f>_xlfn.XLOOKUP(MAX(Excel_jumia[Final Cleaned Price]), Excel_jumia[Final Cleaned Price], Excel_jumia[Product])</f>
        <v>32PCS Portable Cordless Drill Set With Cyclic Battery Drive -26 Variable Speed</v>
      </c>
      <c r="W32" t="str">
        <f>_xlfn.XLOOKUP(MIN(Excel_jumia[Final Cleaned Price]), Excel_jumia[Final Cleaned Price], Excel_jumia[Product])</f>
        <v>3PCS Single Head Knitting Crochet Sweater Needle Set</v>
      </c>
      <c r="X32" s="9">
        <f t="shared" si="2"/>
        <v>79</v>
      </c>
    </row>
    <row r="33" spans="1:24" x14ac:dyDescent="0.35">
      <c r="A33" t="s">
        <v>182</v>
      </c>
      <c r="B33" t="s">
        <v>48</v>
      </c>
      <c r="C33" t="s">
        <v>183</v>
      </c>
      <c r="D33">
        <v>0.49</v>
      </c>
      <c r="F33" t="s">
        <v>83</v>
      </c>
      <c r="G33">
        <v>799</v>
      </c>
      <c r="H33">
        <v>0.49</v>
      </c>
      <c r="K33">
        <f t="shared" si="0"/>
        <v>581</v>
      </c>
      <c r="L33">
        <v>1567</v>
      </c>
      <c r="N33" t="s">
        <v>335</v>
      </c>
      <c r="O33" s="1">
        <f t="shared" si="1"/>
        <v>768</v>
      </c>
      <c r="P33">
        <f>AVERAGE(Excel_jumia[Final Cleaned Price])</f>
        <v>1202.7777777777778</v>
      </c>
      <c r="Q33">
        <f>AVERAGE(Excel_jumia[Old Price Cleaned])</f>
        <v>1829.7685185185185</v>
      </c>
      <c r="R33">
        <f>AVERAGE(Excel_jumia[Discount Amount])</f>
        <v>621.2385321100918</v>
      </c>
      <c r="S33">
        <f>AVERAGE(Excel_jumia[[Ratings Cleaned ]])</f>
        <v>3.8894736842105266</v>
      </c>
      <c r="T33">
        <f>MAX(Excel_jumia[Final Cleaned Price])</f>
        <v>3750</v>
      </c>
      <c r="U33">
        <f>MIN(Excel_jumia[Final Cleaned Price])</f>
        <v>38</v>
      </c>
      <c r="V33" t="str">
        <f>_xlfn.XLOOKUP(MAX(Excel_jumia[Final Cleaned Price]), Excel_jumia[Final Cleaned Price], Excel_jumia[Product])</f>
        <v>32PCS Portable Cordless Drill Set With Cyclic Battery Drive -26 Variable Speed</v>
      </c>
      <c r="W33" t="str">
        <f>_xlfn.XLOOKUP(MIN(Excel_jumia[Final Cleaned Price]), Excel_jumia[Final Cleaned Price], Excel_jumia[Product])</f>
        <v>3PCS Single Head Knitting Crochet Sweater Needle Set</v>
      </c>
      <c r="X33" s="9">
        <f t="shared" si="2"/>
        <v>78</v>
      </c>
    </row>
    <row r="34" spans="1:24" x14ac:dyDescent="0.35">
      <c r="A34" t="s">
        <v>158</v>
      </c>
      <c r="B34" t="s">
        <v>159</v>
      </c>
      <c r="C34" t="s">
        <v>160</v>
      </c>
      <c r="D34">
        <v>0.38</v>
      </c>
      <c r="F34" t="s">
        <v>83</v>
      </c>
      <c r="G34">
        <v>1200</v>
      </c>
      <c r="H34">
        <v>0.38</v>
      </c>
      <c r="K34">
        <f t="shared" ref="K34:K65" si="3">SUM(J34:J142)</f>
        <v>581</v>
      </c>
      <c r="L34">
        <v>1950</v>
      </c>
      <c r="N34" t="s">
        <v>333</v>
      </c>
      <c r="O34" s="1">
        <f t="shared" ref="O34:O65" si="4">(L34-G34)</f>
        <v>750</v>
      </c>
      <c r="P34">
        <f>AVERAGE(Excel_jumia[Final Cleaned Price])</f>
        <v>1202.7777777777778</v>
      </c>
      <c r="Q34">
        <f>AVERAGE(Excel_jumia[Old Price Cleaned])</f>
        <v>1829.7685185185185</v>
      </c>
      <c r="R34">
        <f>AVERAGE(Excel_jumia[Discount Amount])</f>
        <v>621.2385321100918</v>
      </c>
      <c r="S34">
        <f>AVERAGE(Excel_jumia[[Ratings Cleaned ]])</f>
        <v>3.8894736842105266</v>
      </c>
      <c r="T34">
        <f>MAX(Excel_jumia[Final Cleaned Price])</f>
        <v>3750</v>
      </c>
      <c r="U34">
        <f>MIN(Excel_jumia[Final Cleaned Price])</f>
        <v>38</v>
      </c>
      <c r="V34" t="str">
        <f>_xlfn.XLOOKUP(MAX(Excel_jumia[Final Cleaned Price]), Excel_jumia[Final Cleaned Price], Excel_jumia[Product])</f>
        <v>32PCS Portable Cordless Drill Set With Cyclic Battery Drive -26 Variable Speed</v>
      </c>
      <c r="W34" t="str">
        <f>_xlfn.XLOOKUP(MIN(Excel_jumia[Final Cleaned Price]), Excel_jumia[Final Cleaned Price], Excel_jumia[Product])</f>
        <v>3PCS Single Head Knitting Crochet Sweater Needle Set</v>
      </c>
      <c r="X34" s="9">
        <f t="shared" ref="X34:X65" si="5">COUNTA(A34:A142)</f>
        <v>77</v>
      </c>
    </row>
    <row r="35" spans="1:24" x14ac:dyDescent="0.35">
      <c r="A35" t="s">
        <v>104</v>
      </c>
      <c r="B35" t="s">
        <v>105</v>
      </c>
      <c r="C35" t="s">
        <v>24</v>
      </c>
      <c r="D35">
        <v>0.3</v>
      </c>
      <c r="E35">
        <v>-20</v>
      </c>
      <c r="F35" t="s">
        <v>17</v>
      </c>
      <c r="G35">
        <v>1758</v>
      </c>
      <c r="H35">
        <v>0.3</v>
      </c>
      <c r="I35">
        <v>4.0999999999999996</v>
      </c>
      <c r="J35">
        <v>20</v>
      </c>
      <c r="K35">
        <f t="shared" si="3"/>
        <v>581</v>
      </c>
      <c r="L35">
        <v>2499</v>
      </c>
      <c r="M35" t="s">
        <v>334</v>
      </c>
      <c r="N35" t="s">
        <v>333</v>
      </c>
      <c r="O35" s="1">
        <f t="shared" si="4"/>
        <v>741</v>
      </c>
      <c r="P35">
        <f>AVERAGE(Excel_jumia[Final Cleaned Price])</f>
        <v>1202.7777777777778</v>
      </c>
      <c r="Q35">
        <f>AVERAGE(Excel_jumia[Old Price Cleaned])</f>
        <v>1829.7685185185185</v>
      </c>
      <c r="R35">
        <f>AVERAGE(Excel_jumia[Discount Amount])</f>
        <v>621.2385321100918</v>
      </c>
      <c r="S35">
        <f>AVERAGE(Excel_jumia[[Ratings Cleaned ]])</f>
        <v>3.8894736842105266</v>
      </c>
      <c r="T35">
        <f>MAX(Excel_jumia[Final Cleaned Price])</f>
        <v>3750</v>
      </c>
      <c r="U35">
        <f>MIN(Excel_jumia[Final Cleaned Price])</f>
        <v>38</v>
      </c>
      <c r="V35" t="str">
        <f>_xlfn.XLOOKUP(MAX(Excel_jumia[Final Cleaned Price]), Excel_jumia[Final Cleaned Price], Excel_jumia[Product])</f>
        <v>32PCS Portable Cordless Drill Set With Cyclic Battery Drive -26 Variable Speed</v>
      </c>
      <c r="W35" t="str">
        <f>_xlfn.XLOOKUP(MIN(Excel_jumia[Final Cleaned Price]), Excel_jumia[Final Cleaned Price], Excel_jumia[Product])</f>
        <v>3PCS Single Head Knitting Crochet Sweater Needle Set</v>
      </c>
      <c r="X35" s="9">
        <f t="shared" si="5"/>
        <v>76</v>
      </c>
    </row>
    <row r="36" spans="1:24" x14ac:dyDescent="0.35">
      <c r="A36" t="s">
        <v>18</v>
      </c>
      <c r="B36" t="s">
        <v>19</v>
      </c>
      <c r="C36" t="s">
        <v>20</v>
      </c>
      <c r="D36">
        <v>0.25</v>
      </c>
      <c r="E36">
        <v>-24</v>
      </c>
      <c r="F36" t="s">
        <v>21</v>
      </c>
      <c r="G36">
        <v>2199</v>
      </c>
      <c r="H36">
        <v>0.25</v>
      </c>
      <c r="I36">
        <v>4.5999999999999996</v>
      </c>
      <c r="J36">
        <v>24</v>
      </c>
      <c r="K36">
        <f t="shared" si="3"/>
        <v>561</v>
      </c>
      <c r="L36">
        <v>2923</v>
      </c>
      <c r="M36" t="s">
        <v>332</v>
      </c>
      <c r="N36" t="s">
        <v>333</v>
      </c>
      <c r="O36" s="1">
        <f t="shared" si="4"/>
        <v>724</v>
      </c>
      <c r="P36">
        <f>AVERAGE(Excel_jumia[Final Cleaned Price])</f>
        <v>1202.7777777777778</v>
      </c>
      <c r="Q36">
        <f>AVERAGE(Excel_jumia[Old Price Cleaned])</f>
        <v>1829.7685185185185</v>
      </c>
      <c r="R36">
        <f>AVERAGE(Excel_jumia[Discount Amount])</f>
        <v>621.2385321100918</v>
      </c>
      <c r="S36">
        <f>AVERAGE(Excel_jumia[[Ratings Cleaned ]])</f>
        <v>3.8894736842105266</v>
      </c>
      <c r="T36">
        <f>MAX(Excel_jumia[Final Cleaned Price])</f>
        <v>3750</v>
      </c>
      <c r="U36">
        <f>MIN(Excel_jumia[Final Cleaned Price])</f>
        <v>38</v>
      </c>
      <c r="V36" t="str">
        <f>_xlfn.XLOOKUP(MAX(Excel_jumia[Final Cleaned Price]), Excel_jumia[Final Cleaned Price], Excel_jumia[Product])</f>
        <v>32PCS Portable Cordless Drill Set With Cyclic Battery Drive -26 Variable Speed</v>
      </c>
      <c r="W36" t="str">
        <f>_xlfn.XLOOKUP(MIN(Excel_jumia[Final Cleaned Price]), Excel_jumia[Final Cleaned Price], Excel_jumia[Product])</f>
        <v>3PCS Single Head Knitting Crochet Sweater Needle Set</v>
      </c>
      <c r="X36" s="9">
        <f t="shared" si="5"/>
        <v>75</v>
      </c>
    </row>
    <row r="37" spans="1:24" x14ac:dyDescent="0.35">
      <c r="A37" t="s">
        <v>121</v>
      </c>
      <c r="B37" t="s">
        <v>122</v>
      </c>
      <c r="C37" t="s">
        <v>123</v>
      </c>
      <c r="D37">
        <v>0.27</v>
      </c>
      <c r="E37">
        <v>-32</v>
      </c>
      <c r="F37" t="s">
        <v>13</v>
      </c>
      <c r="G37">
        <v>1980</v>
      </c>
      <c r="H37">
        <v>0.27</v>
      </c>
      <c r="I37">
        <v>4.5</v>
      </c>
      <c r="J37">
        <v>32</v>
      </c>
      <c r="K37">
        <f t="shared" si="3"/>
        <v>537</v>
      </c>
      <c r="L37">
        <v>2699</v>
      </c>
      <c r="M37" t="s">
        <v>332</v>
      </c>
      <c r="N37" t="s">
        <v>333</v>
      </c>
      <c r="O37" s="1">
        <f t="shared" si="4"/>
        <v>719</v>
      </c>
      <c r="P37">
        <f>AVERAGE(Excel_jumia[Final Cleaned Price])</f>
        <v>1202.7777777777778</v>
      </c>
      <c r="Q37">
        <f>AVERAGE(Excel_jumia[Old Price Cleaned])</f>
        <v>1829.7685185185185</v>
      </c>
      <c r="R37">
        <f>AVERAGE(Excel_jumia[Discount Amount])</f>
        <v>621.2385321100918</v>
      </c>
      <c r="S37">
        <f>AVERAGE(Excel_jumia[[Ratings Cleaned ]])</f>
        <v>3.8894736842105266</v>
      </c>
      <c r="T37">
        <f>MAX(Excel_jumia[Final Cleaned Price])</f>
        <v>3750</v>
      </c>
      <c r="U37">
        <f>MIN(Excel_jumia[Final Cleaned Price])</f>
        <v>38</v>
      </c>
      <c r="V37" t="str">
        <f>_xlfn.XLOOKUP(MAX(Excel_jumia[Final Cleaned Price]), Excel_jumia[Final Cleaned Price], Excel_jumia[Product])</f>
        <v>32PCS Portable Cordless Drill Set With Cyclic Battery Drive -26 Variable Speed</v>
      </c>
      <c r="W37" t="str">
        <f>_xlfn.XLOOKUP(MIN(Excel_jumia[Final Cleaned Price]), Excel_jumia[Final Cleaned Price], Excel_jumia[Product])</f>
        <v>3PCS Single Head Knitting Crochet Sweater Needle Set</v>
      </c>
      <c r="X37" s="9">
        <f t="shared" si="5"/>
        <v>74</v>
      </c>
    </row>
    <row r="38" spans="1:24" x14ac:dyDescent="0.35">
      <c r="A38" t="s">
        <v>34</v>
      </c>
      <c r="B38" t="s">
        <v>35</v>
      </c>
      <c r="C38" t="s">
        <v>36</v>
      </c>
      <c r="D38">
        <v>0.24</v>
      </c>
      <c r="E38">
        <v>-55</v>
      </c>
      <c r="F38" t="s">
        <v>21</v>
      </c>
      <c r="G38">
        <v>2319</v>
      </c>
      <c r="H38">
        <v>0.24</v>
      </c>
      <c r="I38">
        <v>4.5999999999999996</v>
      </c>
      <c r="J38">
        <v>55</v>
      </c>
      <c r="K38">
        <f t="shared" si="3"/>
        <v>505</v>
      </c>
      <c r="L38">
        <v>3032</v>
      </c>
      <c r="M38" t="s">
        <v>332</v>
      </c>
      <c r="N38" t="s">
        <v>333</v>
      </c>
      <c r="O38" s="1">
        <f t="shared" si="4"/>
        <v>713</v>
      </c>
      <c r="P38">
        <f>AVERAGE(Excel_jumia[Final Cleaned Price])</f>
        <v>1202.7777777777778</v>
      </c>
      <c r="Q38">
        <f>AVERAGE(Excel_jumia[Old Price Cleaned])</f>
        <v>1829.7685185185185</v>
      </c>
      <c r="R38">
        <f>AVERAGE(Excel_jumia[Discount Amount])</f>
        <v>621.2385321100918</v>
      </c>
      <c r="S38">
        <f>AVERAGE(Excel_jumia[[Ratings Cleaned ]])</f>
        <v>3.8894736842105266</v>
      </c>
      <c r="T38">
        <f>MAX(Excel_jumia[Final Cleaned Price])</f>
        <v>3750</v>
      </c>
      <c r="U38">
        <f>MIN(Excel_jumia[Final Cleaned Price])</f>
        <v>38</v>
      </c>
      <c r="V38" t="str">
        <f>_xlfn.XLOOKUP(MAX(Excel_jumia[Final Cleaned Price]), Excel_jumia[Final Cleaned Price], Excel_jumia[Product])</f>
        <v>32PCS Portable Cordless Drill Set With Cyclic Battery Drive -26 Variable Speed</v>
      </c>
      <c r="W38" t="str">
        <f>_xlfn.XLOOKUP(MIN(Excel_jumia[Final Cleaned Price]), Excel_jumia[Final Cleaned Price], Excel_jumia[Product])</f>
        <v>3PCS Single Head Knitting Crochet Sweater Needle Set</v>
      </c>
      <c r="X38" s="9">
        <f t="shared" si="5"/>
        <v>73</v>
      </c>
    </row>
    <row r="39" spans="1:24" x14ac:dyDescent="0.35">
      <c r="A39" t="s">
        <v>118</v>
      </c>
      <c r="B39" t="s">
        <v>119</v>
      </c>
      <c r="C39" t="s">
        <v>120</v>
      </c>
      <c r="D39">
        <v>0.27</v>
      </c>
      <c r="E39">
        <v>-20</v>
      </c>
      <c r="F39" t="s">
        <v>25</v>
      </c>
      <c r="G39">
        <v>1940</v>
      </c>
      <c r="H39">
        <v>0.27</v>
      </c>
      <c r="I39">
        <v>4.7</v>
      </c>
      <c r="J39">
        <v>20</v>
      </c>
      <c r="K39">
        <f t="shared" si="3"/>
        <v>450</v>
      </c>
      <c r="L39">
        <v>2650</v>
      </c>
      <c r="M39" t="s">
        <v>332</v>
      </c>
      <c r="N39" t="s">
        <v>333</v>
      </c>
      <c r="O39" s="1">
        <f t="shared" si="4"/>
        <v>710</v>
      </c>
      <c r="P39">
        <f>AVERAGE(Excel_jumia[Final Cleaned Price])</f>
        <v>1202.7777777777778</v>
      </c>
      <c r="Q39">
        <f>AVERAGE(Excel_jumia[Old Price Cleaned])</f>
        <v>1829.7685185185185</v>
      </c>
      <c r="R39">
        <f>AVERAGE(Excel_jumia[Discount Amount])</f>
        <v>621.2385321100918</v>
      </c>
      <c r="S39">
        <f>AVERAGE(Excel_jumia[[Ratings Cleaned ]])</f>
        <v>3.8894736842105266</v>
      </c>
      <c r="T39">
        <f>MAX(Excel_jumia[Final Cleaned Price])</f>
        <v>3750</v>
      </c>
      <c r="U39">
        <f>MIN(Excel_jumia[Final Cleaned Price])</f>
        <v>38</v>
      </c>
      <c r="V39" t="str">
        <f>_xlfn.XLOOKUP(MAX(Excel_jumia[Final Cleaned Price]), Excel_jumia[Final Cleaned Price], Excel_jumia[Product])</f>
        <v>32PCS Portable Cordless Drill Set With Cyclic Battery Drive -26 Variable Speed</v>
      </c>
      <c r="W39" t="str">
        <f>_xlfn.XLOOKUP(MIN(Excel_jumia[Final Cleaned Price]), Excel_jumia[Final Cleaned Price], Excel_jumia[Product])</f>
        <v>3PCS Single Head Knitting Crochet Sweater Needle Set</v>
      </c>
      <c r="X39" s="9">
        <f t="shared" si="5"/>
        <v>72</v>
      </c>
    </row>
    <row r="40" spans="1:24" x14ac:dyDescent="0.35">
      <c r="A40" t="s">
        <v>71</v>
      </c>
      <c r="B40" t="s">
        <v>31</v>
      </c>
      <c r="C40" t="s">
        <v>72</v>
      </c>
      <c r="D40">
        <v>0.19</v>
      </c>
      <c r="E40">
        <v>-5</v>
      </c>
      <c r="F40" t="s">
        <v>21</v>
      </c>
      <c r="G40">
        <v>2999</v>
      </c>
      <c r="H40">
        <v>0.19</v>
      </c>
      <c r="I40">
        <v>4.5999999999999996</v>
      </c>
      <c r="J40">
        <v>5</v>
      </c>
      <c r="K40">
        <f t="shared" si="3"/>
        <v>430</v>
      </c>
      <c r="L40">
        <v>3699</v>
      </c>
      <c r="M40" t="s">
        <v>332</v>
      </c>
      <c r="N40" t="s">
        <v>336</v>
      </c>
      <c r="O40" s="1">
        <f t="shared" si="4"/>
        <v>700</v>
      </c>
      <c r="P40">
        <f>AVERAGE(Excel_jumia[Final Cleaned Price])</f>
        <v>1202.7777777777778</v>
      </c>
      <c r="Q40">
        <f>AVERAGE(Excel_jumia[Old Price Cleaned])</f>
        <v>1829.7685185185185</v>
      </c>
      <c r="R40">
        <f>AVERAGE(Excel_jumia[Discount Amount])</f>
        <v>621.2385321100918</v>
      </c>
      <c r="S40">
        <f>AVERAGE(Excel_jumia[[Ratings Cleaned ]])</f>
        <v>3.8894736842105266</v>
      </c>
      <c r="T40">
        <f>MAX(Excel_jumia[Final Cleaned Price])</f>
        <v>3750</v>
      </c>
      <c r="U40">
        <f>MIN(Excel_jumia[Final Cleaned Price])</f>
        <v>38</v>
      </c>
      <c r="V40" t="str">
        <f>_xlfn.XLOOKUP(MAX(Excel_jumia[Final Cleaned Price]), Excel_jumia[Final Cleaned Price], Excel_jumia[Product])</f>
        <v>32PCS Portable Cordless Drill Set With Cyclic Battery Drive -26 Variable Speed</v>
      </c>
      <c r="W40" t="str">
        <f>_xlfn.XLOOKUP(MIN(Excel_jumia[Final Cleaned Price]), Excel_jumia[Final Cleaned Price], Excel_jumia[Product])</f>
        <v>3PCS Single Head Knitting Crochet Sweater Needle Set</v>
      </c>
      <c r="X40" s="9">
        <f t="shared" si="5"/>
        <v>71</v>
      </c>
    </row>
    <row r="41" spans="1:24" x14ac:dyDescent="0.35">
      <c r="A41" t="s">
        <v>237</v>
      </c>
      <c r="B41" t="s">
        <v>238</v>
      </c>
      <c r="C41" t="s">
        <v>239</v>
      </c>
      <c r="D41">
        <v>0.47</v>
      </c>
      <c r="F41" t="s">
        <v>83</v>
      </c>
      <c r="G41">
        <v>790</v>
      </c>
      <c r="H41">
        <v>0.47</v>
      </c>
      <c r="K41">
        <f t="shared" si="3"/>
        <v>425</v>
      </c>
      <c r="L41">
        <v>1485</v>
      </c>
      <c r="N41" t="s">
        <v>335</v>
      </c>
      <c r="O41" s="1">
        <f t="shared" si="4"/>
        <v>695</v>
      </c>
      <c r="P41">
        <f>AVERAGE(Excel_jumia[Final Cleaned Price])</f>
        <v>1202.7777777777778</v>
      </c>
      <c r="Q41">
        <f>AVERAGE(Excel_jumia[Old Price Cleaned])</f>
        <v>1829.7685185185185</v>
      </c>
      <c r="R41">
        <f>AVERAGE(Excel_jumia[Discount Amount])</f>
        <v>621.2385321100918</v>
      </c>
      <c r="S41">
        <f>AVERAGE(Excel_jumia[[Ratings Cleaned ]])</f>
        <v>3.8894736842105266</v>
      </c>
      <c r="T41">
        <f>MAX(Excel_jumia[Final Cleaned Price])</f>
        <v>3750</v>
      </c>
      <c r="U41">
        <f>MIN(Excel_jumia[Final Cleaned Price])</f>
        <v>38</v>
      </c>
      <c r="V41" t="str">
        <f>_xlfn.XLOOKUP(MAX(Excel_jumia[Final Cleaned Price]), Excel_jumia[Final Cleaned Price], Excel_jumia[Product])</f>
        <v>32PCS Portable Cordless Drill Set With Cyclic Battery Drive -26 Variable Speed</v>
      </c>
      <c r="W41" t="str">
        <f>_xlfn.XLOOKUP(MIN(Excel_jumia[Final Cleaned Price]), Excel_jumia[Final Cleaned Price], Excel_jumia[Product])</f>
        <v>3PCS Single Head Knitting Crochet Sweater Needle Set</v>
      </c>
      <c r="X41" s="9">
        <f t="shared" si="5"/>
        <v>70</v>
      </c>
    </row>
    <row r="42" spans="1:24" x14ac:dyDescent="0.35">
      <c r="A42" t="s">
        <v>155</v>
      </c>
      <c r="B42" t="s">
        <v>156</v>
      </c>
      <c r="C42" t="s">
        <v>157</v>
      </c>
      <c r="D42">
        <v>0.49</v>
      </c>
      <c r="F42" t="s">
        <v>83</v>
      </c>
      <c r="G42">
        <v>671</v>
      </c>
      <c r="H42">
        <v>0.49</v>
      </c>
      <c r="K42">
        <f t="shared" si="3"/>
        <v>425</v>
      </c>
      <c r="L42">
        <v>1316</v>
      </c>
      <c r="N42" t="s">
        <v>335</v>
      </c>
      <c r="O42" s="1">
        <f t="shared" si="4"/>
        <v>645</v>
      </c>
      <c r="P42">
        <f>AVERAGE(Excel_jumia[Final Cleaned Price])</f>
        <v>1202.7777777777778</v>
      </c>
      <c r="Q42">
        <f>AVERAGE(Excel_jumia[Old Price Cleaned])</f>
        <v>1829.7685185185185</v>
      </c>
      <c r="R42">
        <f>AVERAGE(Excel_jumia[Discount Amount])</f>
        <v>621.2385321100918</v>
      </c>
      <c r="S42">
        <f>AVERAGE(Excel_jumia[[Ratings Cleaned ]])</f>
        <v>3.8894736842105266</v>
      </c>
      <c r="T42">
        <f>MAX(Excel_jumia[Final Cleaned Price])</f>
        <v>3750</v>
      </c>
      <c r="U42">
        <f>MIN(Excel_jumia[Final Cleaned Price])</f>
        <v>38</v>
      </c>
      <c r="V42" t="str">
        <f>_xlfn.XLOOKUP(MAX(Excel_jumia[Final Cleaned Price]), Excel_jumia[Final Cleaned Price], Excel_jumia[Product])</f>
        <v>32PCS Portable Cordless Drill Set With Cyclic Battery Drive -26 Variable Speed</v>
      </c>
      <c r="W42" t="str">
        <f>_xlfn.XLOOKUP(MIN(Excel_jumia[Final Cleaned Price]), Excel_jumia[Final Cleaned Price], Excel_jumia[Product])</f>
        <v>3PCS Single Head Knitting Crochet Sweater Needle Set</v>
      </c>
      <c r="X42" s="9">
        <f t="shared" si="5"/>
        <v>69</v>
      </c>
    </row>
    <row r="43" spans="1:24" x14ac:dyDescent="0.35">
      <c r="A43" t="s">
        <v>180</v>
      </c>
      <c r="B43" t="s">
        <v>181</v>
      </c>
      <c r="C43" t="s">
        <v>176</v>
      </c>
      <c r="D43">
        <v>0.48</v>
      </c>
      <c r="F43" t="s">
        <v>83</v>
      </c>
      <c r="G43">
        <v>699</v>
      </c>
      <c r="H43">
        <v>0.48</v>
      </c>
      <c r="K43">
        <f t="shared" si="3"/>
        <v>425</v>
      </c>
      <c r="L43">
        <v>1343</v>
      </c>
      <c r="N43" t="s">
        <v>335</v>
      </c>
      <c r="O43" s="1">
        <f t="shared" si="4"/>
        <v>644</v>
      </c>
      <c r="P43">
        <f>AVERAGE(Excel_jumia[Final Cleaned Price])</f>
        <v>1202.7777777777778</v>
      </c>
      <c r="Q43">
        <f>AVERAGE(Excel_jumia[Old Price Cleaned])</f>
        <v>1829.7685185185185</v>
      </c>
      <c r="R43">
        <f>AVERAGE(Excel_jumia[Discount Amount])</f>
        <v>621.2385321100918</v>
      </c>
      <c r="S43">
        <f>AVERAGE(Excel_jumia[[Ratings Cleaned ]])</f>
        <v>3.8894736842105266</v>
      </c>
      <c r="T43">
        <f>MAX(Excel_jumia[Final Cleaned Price])</f>
        <v>3750</v>
      </c>
      <c r="U43">
        <f>MIN(Excel_jumia[Final Cleaned Price])</f>
        <v>38</v>
      </c>
      <c r="V43" t="str">
        <f>_xlfn.XLOOKUP(MAX(Excel_jumia[Final Cleaned Price]), Excel_jumia[Final Cleaned Price], Excel_jumia[Product])</f>
        <v>32PCS Portable Cordless Drill Set With Cyclic Battery Drive -26 Variable Speed</v>
      </c>
      <c r="W43" t="str">
        <f>_xlfn.XLOOKUP(MIN(Excel_jumia[Final Cleaned Price]), Excel_jumia[Final Cleaned Price], Excel_jumia[Product])</f>
        <v>3PCS Single Head Knitting Crochet Sweater Needle Set</v>
      </c>
      <c r="X43" s="9">
        <f t="shared" si="5"/>
        <v>68</v>
      </c>
    </row>
    <row r="44" spans="1:24" x14ac:dyDescent="0.35">
      <c r="A44" t="s">
        <v>98</v>
      </c>
      <c r="B44" t="s">
        <v>99</v>
      </c>
      <c r="C44" t="s">
        <v>100</v>
      </c>
      <c r="D44">
        <v>0.18</v>
      </c>
      <c r="E44">
        <v>-12</v>
      </c>
      <c r="F44" t="s">
        <v>46</v>
      </c>
      <c r="G44">
        <v>2880</v>
      </c>
      <c r="H44">
        <v>0.18</v>
      </c>
      <c r="I44">
        <v>3.8</v>
      </c>
      <c r="J44">
        <v>12</v>
      </c>
      <c r="K44">
        <f t="shared" si="3"/>
        <v>425</v>
      </c>
      <c r="L44">
        <v>3520</v>
      </c>
      <c r="M44" t="s">
        <v>334</v>
      </c>
      <c r="N44" t="s">
        <v>336</v>
      </c>
      <c r="O44" s="1">
        <f t="shared" si="4"/>
        <v>640</v>
      </c>
      <c r="P44">
        <f>AVERAGE(Excel_jumia[Final Cleaned Price])</f>
        <v>1202.7777777777778</v>
      </c>
      <c r="Q44">
        <f>AVERAGE(Excel_jumia[Old Price Cleaned])</f>
        <v>1829.7685185185185</v>
      </c>
      <c r="R44">
        <f>AVERAGE(Excel_jumia[Discount Amount])</f>
        <v>621.2385321100918</v>
      </c>
      <c r="S44">
        <f>AVERAGE(Excel_jumia[[Ratings Cleaned ]])</f>
        <v>3.8894736842105266</v>
      </c>
      <c r="T44">
        <f>MAX(Excel_jumia[Final Cleaned Price])</f>
        <v>3750</v>
      </c>
      <c r="U44">
        <f>MIN(Excel_jumia[Final Cleaned Price])</f>
        <v>38</v>
      </c>
      <c r="V44" t="str">
        <f>_xlfn.XLOOKUP(MAX(Excel_jumia[Final Cleaned Price]), Excel_jumia[Final Cleaned Price], Excel_jumia[Product])</f>
        <v>32PCS Portable Cordless Drill Set With Cyclic Battery Drive -26 Variable Speed</v>
      </c>
      <c r="W44" t="str">
        <f>_xlfn.XLOOKUP(MIN(Excel_jumia[Final Cleaned Price]), Excel_jumia[Final Cleaned Price], Excel_jumia[Product])</f>
        <v>3PCS Single Head Knitting Crochet Sweater Needle Set</v>
      </c>
      <c r="X44" s="9">
        <f t="shared" si="5"/>
        <v>67</v>
      </c>
    </row>
    <row r="45" spans="1:24" x14ac:dyDescent="0.35">
      <c r="A45" t="s">
        <v>101</v>
      </c>
      <c r="B45" t="s">
        <v>102</v>
      </c>
      <c r="C45" t="s">
        <v>103</v>
      </c>
      <c r="D45">
        <v>0.32</v>
      </c>
      <c r="E45">
        <v>-13</v>
      </c>
      <c r="F45" t="s">
        <v>46</v>
      </c>
      <c r="G45">
        <v>1350</v>
      </c>
      <c r="H45">
        <v>0.32</v>
      </c>
      <c r="I45">
        <v>3.8</v>
      </c>
      <c r="J45">
        <v>13</v>
      </c>
      <c r="K45">
        <f t="shared" si="3"/>
        <v>413</v>
      </c>
      <c r="L45">
        <v>1990</v>
      </c>
      <c r="M45" t="s">
        <v>334</v>
      </c>
      <c r="N45" t="s">
        <v>333</v>
      </c>
      <c r="O45" s="1">
        <f t="shared" si="4"/>
        <v>640</v>
      </c>
      <c r="P45">
        <f>AVERAGE(Excel_jumia[Final Cleaned Price])</f>
        <v>1202.7777777777778</v>
      </c>
      <c r="Q45">
        <f>AVERAGE(Excel_jumia[Old Price Cleaned])</f>
        <v>1829.7685185185185</v>
      </c>
      <c r="R45">
        <f>AVERAGE(Excel_jumia[Discount Amount])</f>
        <v>621.2385321100918</v>
      </c>
      <c r="S45">
        <f>AVERAGE(Excel_jumia[[Ratings Cleaned ]])</f>
        <v>3.8894736842105266</v>
      </c>
      <c r="T45">
        <f>MAX(Excel_jumia[Final Cleaned Price])</f>
        <v>3750</v>
      </c>
      <c r="U45">
        <f>MIN(Excel_jumia[Final Cleaned Price])</f>
        <v>38</v>
      </c>
      <c r="V45" t="str">
        <f>_xlfn.XLOOKUP(MAX(Excel_jumia[Final Cleaned Price]), Excel_jumia[Final Cleaned Price], Excel_jumia[Product])</f>
        <v>32PCS Portable Cordless Drill Set With Cyclic Battery Drive -26 Variable Speed</v>
      </c>
      <c r="W45" t="str">
        <f>_xlfn.XLOOKUP(MIN(Excel_jumia[Final Cleaned Price]), Excel_jumia[Final Cleaned Price], Excel_jumia[Product])</f>
        <v>3PCS Single Head Knitting Crochet Sweater Needle Set</v>
      </c>
      <c r="X45" s="9">
        <f t="shared" si="5"/>
        <v>66</v>
      </c>
    </row>
    <row r="46" spans="1:24" x14ac:dyDescent="0.35">
      <c r="A46" t="s">
        <v>315</v>
      </c>
      <c r="B46" t="s">
        <v>153</v>
      </c>
      <c r="C46" t="s">
        <v>316</v>
      </c>
      <c r="D46">
        <v>0.34</v>
      </c>
      <c r="F46" t="s">
        <v>83</v>
      </c>
      <c r="G46">
        <v>1190</v>
      </c>
      <c r="H46">
        <v>0.34</v>
      </c>
      <c r="K46">
        <f t="shared" si="3"/>
        <v>400</v>
      </c>
      <c r="L46">
        <v>1810</v>
      </c>
      <c r="N46" t="s">
        <v>333</v>
      </c>
      <c r="O46" s="1">
        <f t="shared" si="4"/>
        <v>620</v>
      </c>
      <c r="P46">
        <f>AVERAGE(Excel_jumia[Final Cleaned Price])</f>
        <v>1202.7777777777778</v>
      </c>
      <c r="Q46">
        <f>AVERAGE(Excel_jumia[Old Price Cleaned])</f>
        <v>1829.7685185185185</v>
      </c>
      <c r="R46">
        <f>AVERAGE(Excel_jumia[Discount Amount])</f>
        <v>621.2385321100918</v>
      </c>
      <c r="S46">
        <f>AVERAGE(Excel_jumia[[Ratings Cleaned ]])</f>
        <v>3.8894736842105266</v>
      </c>
      <c r="T46">
        <f>MAX(Excel_jumia[Final Cleaned Price])</f>
        <v>3750</v>
      </c>
      <c r="U46">
        <f>MIN(Excel_jumia[Final Cleaned Price])</f>
        <v>38</v>
      </c>
      <c r="V46" t="str">
        <f>_xlfn.XLOOKUP(MAX(Excel_jumia[Final Cleaned Price]), Excel_jumia[Final Cleaned Price], Excel_jumia[Product])</f>
        <v>32PCS Portable Cordless Drill Set With Cyclic Battery Drive -26 Variable Speed</v>
      </c>
      <c r="W46" t="str">
        <f>_xlfn.XLOOKUP(MIN(Excel_jumia[Final Cleaned Price]), Excel_jumia[Final Cleaned Price], Excel_jumia[Product])</f>
        <v>3PCS Single Head Knitting Crochet Sweater Needle Set</v>
      </c>
      <c r="X46" s="9">
        <f t="shared" si="5"/>
        <v>65</v>
      </c>
    </row>
    <row r="47" spans="1:24" x14ac:dyDescent="0.35">
      <c r="A47" t="s">
        <v>26</v>
      </c>
      <c r="B47" t="s">
        <v>27</v>
      </c>
      <c r="C47" t="s">
        <v>28</v>
      </c>
      <c r="D47">
        <v>0.26</v>
      </c>
      <c r="E47">
        <v>-5</v>
      </c>
      <c r="F47" t="s">
        <v>29</v>
      </c>
      <c r="G47">
        <v>1740</v>
      </c>
      <c r="H47">
        <v>0.26</v>
      </c>
      <c r="I47">
        <v>4.8</v>
      </c>
      <c r="J47">
        <v>5</v>
      </c>
      <c r="K47">
        <f t="shared" si="3"/>
        <v>400</v>
      </c>
      <c r="L47">
        <v>2356</v>
      </c>
      <c r="M47" t="s">
        <v>332</v>
      </c>
      <c r="N47" t="s">
        <v>333</v>
      </c>
      <c r="O47" s="1">
        <f t="shared" si="4"/>
        <v>616</v>
      </c>
      <c r="P47">
        <f>AVERAGE(Excel_jumia[Final Cleaned Price])</f>
        <v>1202.7777777777778</v>
      </c>
      <c r="Q47">
        <f>AVERAGE(Excel_jumia[Old Price Cleaned])</f>
        <v>1829.7685185185185</v>
      </c>
      <c r="R47">
        <f>AVERAGE(Excel_jumia[Discount Amount])</f>
        <v>621.2385321100918</v>
      </c>
      <c r="S47">
        <f>AVERAGE(Excel_jumia[[Ratings Cleaned ]])</f>
        <v>3.8894736842105266</v>
      </c>
      <c r="T47">
        <f>MAX(Excel_jumia[Final Cleaned Price])</f>
        <v>3750</v>
      </c>
      <c r="U47">
        <f>MIN(Excel_jumia[Final Cleaned Price])</f>
        <v>38</v>
      </c>
      <c r="V47" t="str">
        <f>_xlfn.XLOOKUP(MAX(Excel_jumia[Final Cleaned Price]), Excel_jumia[Final Cleaned Price], Excel_jumia[Product])</f>
        <v>32PCS Portable Cordless Drill Set With Cyclic Battery Drive -26 Variable Speed</v>
      </c>
      <c r="W47" t="str">
        <f>_xlfn.XLOOKUP(MIN(Excel_jumia[Final Cleaned Price]), Excel_jumia[Final Cleaned Price], Excel_jumia[Product])</f>
        <v>3PCS Single Head Knitting Crochet Sweater Needle Set</v>
      </c>
      <c r="X47" s="9">
        <f t="shared" si="5"/>
        <v>64</v>
      </c>
    </row>
    <row r="48" spans="1:24" x14ac:dyDescent="0.35">
      <c r="A48" t="s">
        <v>152</v>
      </c>
      <c r="B48" t="s">
        <v>153</v>
      </c>
      <c r="C48" t="s">
        <v>154</v>
      </c>
      <c r="D48">
        <v>0.33</v>
      </c>
      <c r="F48" t="s">
        <v>83</v>
      </c>
      <c r="G48">
        <v>1190</v>
      </c>
      <c r="H48">
        <v>0.33</v>
      </c>
      <c r="K48">
        <f t="shared" si="3"/>
        <v>395</v>
      </c>
      <c r="L48">
        <v>1785</v>
      </c>
      <c r="N48" t="s">
        <v>333</v>
      </c>
      <c r="O48" s="1">
        <f t="shared" si="4"/>
        <v>595</v>
      </c>
      <c r="P48">
        <f>AVERAGE(Excel_jumia[Final Cleaned Price])</f>
        <v>1202.7777777777778</v>
      </c>
      <c r="Q48">
        <f>AVERAGE(Excel_jumia[Old Price Cleaned])</f>
        <v>1829.7685185185185</v>
      </c>
      <c r="R48">
        <f>AVERAGE(Excel_jumia[Discount Amount])</f>
        <v>621.2385321100918</v>
      </c>
      <c r="S48">
        <f>AVERAGE(Excel_jumia[[Ratings Cleaned ]])</f>
        <v>3.8894736842105266</v>
      </c>
      <c r="T48">
        <f>MAX(Excel_jumia[Final Cleaned Price])</f>
        <v>3750</v>
      </c>
      <c r="U48">
        <f>MIN(Excel_jumia[Final Cleaned Price])</f>
        <v>38</v>
      </c>
      <c r="V48" t="str">
        <f>_xlfn.XLOOKUP(MAX(Excel_jumia[Final Cleaned Price]), Excel_jumia[Final Cleaned Price], Excel_jumia[Product])</f>
        <v>32PCS Portable Cordless Drill Set With Cyclic Battery Drive -26 Variable Speed</v>
      </c>
      <c r="W48" t="str">
        <f>_xlfn.XLOOKUP(MIN(Excel_jumia[Final Cleaned Price]), Excel_jumia[Final Cleaned Price], Excel_jumia[Product])</f>
        <v>3PCS Single Head Knitting Crochet Sweater Needle Set</v>
      </c>
      <c r="X48" s="9">
        <f t="shared" si="5"/>
        <v>63</v>
      </c>
    </row>
    <row r="49" spans="1:24" x14ac:dyDescent="0.35">
      <c r="A49" t="s">
        <v>37</v>
      </c>
      <c r="B49" t="s">
        <v>38</v>
      </c>
      <c r="C49" t="s">
        <v>39</v>
      </c>
      <c r="D49">
        <v>0.37</v>
      </c>
      <c r="E49">
        <v>-2</v>
      </c>
      <c r="F49" t="s">
        <v>33</v>
      </c>
      <c r="G49">
        <v>988</v>
      </c>
      <c r="H49">
        <v>0.37</v>
      </c>
      <c r="I49">
        <v>4</v>
      </c>
      <c r="J49">
        <v>2</v>
      </c>
      <c r="K49">
        <f t="shared" si="3"/>
        <v>395</v>
      </c>
      <c r="L49">
        <v>1580</v>
      </c>
      <c r="M49" t="s">
        <v>334</v>
      </c>
      <c r="N49" t="s">
        <v>333</v>
      </c>
      <c r="O49" s="1">
        <f t="shared" si="4"/>
        <v>592</v>
      </c>
      <c r="P49">
        <f>AVERAGE(Excel_jumia[Final Cleaned Price])</f>
        <v>1202.7777777777778</v>
      </c>
      <c r="Q49">
        <f>AVERAGE(Excel_jumia[Old Price Cleaned])</f>
        <v>1829.7685185185185</v>
      </c>
      <c r="R49">
        <f>AVERAGE(Excel_jumia[Discount Amount])</f>
        <v>621.2385321100918</v>
      </c>
      <c r="S49">
        <f>AVERAGE(Excel_jumia[[Ratings Cleaned ]])</f>
        <v>3.8894736842105266</v>
      </c>
      <c r="T49">
        <f>MAX(Excel_jumia[Final Cleaned Price])</f>
        <v>3750</v>
      </c>
      <c r="U49">
        <f>MIN(Excel_jumia[Final Cleaned Price])</f>
        <v>38</v>
      </c>
      <c r="V49" t="str">
        <f>_xlfn.XLOOKUP(MAX(Excel_jumia[Final Cleaned Price]), Excel_jumia[Final Cleaned Price], Excel_jumia[Product])</f>
        <v>32PCS Portable Cordless Drill Set With Cyclic Battery Drive -26 Variable Speed</v>
      </c>
      <c r="W49" t="str">
        <f>_xlfn.XLOOKUP(MIN(Excel_jumia[Final Cleaned Price]), Excel_jumia[Final Cleaned Price], Excel_jumia[Product])</f>
        <v>3PCS Single Head Knitting Crochet Sweater Needle Set</v>
      </c>
      <c r="X49" s="9">
        <f t="shared" si="5"/>
        <v>62</v>
      </c>
    </row>
    <row r="50" spans="1:24" x14ac:dyDescent="0.35">
      <c r="A50" t="s">
        <v>312</v>
      </c>
      <c r="B50" t="s">
        <v>313</v>
      </c>
      <c r="C50" t="s">
        <v>314</v>
      </c>
      <c r="D50">
        <v>0.34</v>
      </c>
      <c r="F50" t="s">
        <v>83</v>
      </c>
      <c r="G50">
        <v>1150</v>
      </c>
      <c r="H50">
        <v>0.34</v>
      </c>
      <c r="K50">
        <f t="shared" si="3"/>
        <v>393</v>
      </c>
      <c r="L50">
        <v>1737</v>
      </c>
      <c r="N50" t="s">
        <v>333</v>
      </c>
      <c r="O50" s="1">
        <f t="shared" si="4"/>
        <v>587</v>
      </c>
      <c r="P50">
        <f>AVERAGE(Excel_jumia[Final Cleaned Price])</f>
        <v>1202.7777777777778</v>
      </c>
      <c r="Q50">
        <f>AVERAGE(Excel_jumia[Old Price Cleaned])</f>
        <v>1829.7685185185185</v>
      </c>
      <c r="R50">
        <f>AVERAGE(Excel_jumia[Discount Amount])</f>
        <v>621.2385321100918</v>
      </c>
      <c r="S50">
        <f>AVERAGE(Excel_jumia[[Ratings Cleaned ]])</f>
        <v>3.8894736842105266</v>
      </c>
      <c r="T50">
        <f>MAX(Excel_jumia[Final Cleaned Price])</f>
        <v>3750</v>
      </c>
      <c r="U50">
        <f>MIN(Excel_jumia[Final Cleaned Price])</f>
        <v>38</v>
      </c>
      <c r="V50" t="str">
        <f>_xlfn.XLOOKUP(MAX(Excel_jumia[Final Cleaned Price]), Excel_jumia[Final Cleaned Price], Excel_jumia[Product])</f>
        <v>32PCS Portable Cordless Drill Set With Cyclic Battery Drive -26 Variable Speed</v>
      </c>
      <c r="W50" t="str">
        <f>_xlfn.XLOOKUP(MIN(Excel_jumia[Final Cleaned Price]), Excel_jumia[Final Cleaned Price], Excel_jumia[Product])</f>
        <v>3PCS Single Head Knitting Crochet Sweater Needle Set</v>
      </c>
      <c r="X50" s="9">
        <f t="shared" si="5"/>
        <v>61</v>
      </c>
    </row>
    <row r="51" spans="1:24" x14ac:dyDescent="0.35">
      <c r="A51" t="s">
        <v>10</v>
      </c>
      <c r="B51" t="s">
        <v>11</v>
      </c>
      <c r="C51" t="s">
        <v>12</v>
      </c>
      <c r="D51">
        <v>0.38</v>
      </c>
      <c r="E51">
        <v>-2</v>
      </c>
      <c r="F51" t="s">
        <v>13</v>
      </c>
      <c r="G51">
        <v>950</v>
      </c>
      <c r="H51">
        <v>0.38</v>
      </c>
      <c r="I51">
        <v>4.5</v>
      </c>
      <c r="J51">
        <v>2</v>
      </c>
      <c r="K51">
        <f t="shared" si="3"/>
        <v>393</v>
      </c>
      <c r="L51">
        <v>1525</v>
      </c>
      <c r="M51" t="s">
        <v>332</v>
      </c>
      <c r="N51" t="s">
        <v>333</v>
      </c>
      <c r="O51" s="1">
        <f t="shared" si="4"/>
        <v>575</v>
      </c>
      <c r="P51">
        <f>AVERAGE(Excel_jumia[Final Cleaned Price])</f>
        <v>1202.7777777777778</v>
      </c>
      <c r="Q51">
        <f>AVERAGE(Excel_jumia[Old Price Cleaned])</f>
        <v>1829.7685185185185</v>
      </c>
      <c r="R51">
        <f>AVERAGE(Excel_jumia[Discount Amount])</f>
        <v>621.2385321100918</v>
      </c>
      <c r="S51">
        <f>AVERAGE(Excel_jumia[[Ratings Cleaned ]])</f>
        <v>3.8894736842105266</v>
      </c>
      <c r="T51">
        <f>MAX(Excel_jumia[Final Cleaned Price])</f>
        <v>3750</v>
      </c>
      <c r="U51">
        <f>MIN(Excel_jumia[Final Cleaned Price])</f>
        <v>38</v>
      </c>
      <c r="V51" t="str">
        <f>_xlfn.XLOOKUP(MAX(Excel_jumia[Final Cleaned Price]), Excel_jumia[Final Cleaned Price], Excel_jumia[Product])</f>
        <v>32PCS Portable Cordless Drill Set With Cyclic Battery Drive -26 Variable Speed</v>
      </c>
      <c r="W51" t="str">
        <f>_xlfn.XLOOKUP(MIN(Excel_jumia[Final Cleaned Price]), Excel_jumia[Final Cleaned Price], Excel_jumia[Product])</f>
        <v>3PCS Single Head Knitting Crochet Sweater Needle Set</v>
      </c>
      <c r="X51" s="9">
        <f t="shared" si="5"/>
        <v>60</v>
      </c>
    </row>
    <row r="52" spans="1:24" x14ac:dyDescent="0.35">
      <c r="A52" t="s">
        <v>175</v>
      </c>
      <c r="B52" t="s">
        <v>48</v>
      </c>
      <c r="C52" t="s">
        <v>176</v>
      </c>
      <c r="D52">
        <v>0.41</v>
      </c>
      <c r="F52" t="s">
        <v>83</v>
      </c>
      <c r="G52">
        <v>799</v>
      </c>
      <c r="H52">
        <v>0.41</v>
      </c>
      <c r="K52">
        <f t="shared" si="3"/>
        <v>391</v>
      </c>
      <c r="L52">
        <v>1343</v>
      </c>
      <c r="N52" t="s">
        <v>335</v>
      </c>
      <c r="O52" s="1">
        <f t="shared" si="4"/>
        <v>544</v>
      </c>
      <c r="P52">
        <f>AVERAGE(Excel_jumia[Final Cleaned Price])</f>
        <v>1202.7777777777778</v>
      </c>
      <c r="Q52">
        <f>AVERAGE(Excel_jumia[Old Price Cleaned])</f>
        <v>1829.7685185185185</v>
      </c>
      <c r="R52">
        <f>AVERAGE(Excel_jumia[Discount Amount])</f>
        <v>621.2385321100918</v>
      </c>
      <c r="S52">
        <f>AVERAGE(Excel_jumia[[Ratings Cleaned ]])</f>
        <v>3.8894736842105266</v>
      </c>
      <c r="T52">
        <f>MAX(Excel_jumia[Final Cleaned Price])</f>
        <v>3750</v>
      </c>
      <c r="U52">
        <f>MIN(Excel_jumia[Final Cleaned Price])</f>
        <v>38</v>
      </c>
      <c r="V52" t="str">
        <f>_xlfn.XLOOKUP(MAX(Excel_jumia[Final Cleaned Price]), Excel_jumia[Final Cleaned Price], Excel_jumia[Product])</f>
        <v>32PCS Portable Cordless Drill Set With Cyclic Battery Drive -26 Variable Speed</v>
      </c>
      <c r="W52" t="str">
        <f>_xlfn.XLOOKUP(MIN(Excel_jumia[Final Cleaned Price]), Excel_jumia[Final Cleaned Price], Excel_jumia[Product])</f>
        <v>3PCS Single Head Knitting Crochet Sweater Needle Set</v>
      </c>
      <c r="X52" s="9">
        <f t="shared" si="5"/>
        <v>59</v>
      </c>
    </row>
    <row r="53" spans="1:24" x14ac:dyDescent="0.35">
      <c r="A53" t="s">
        <v>191</v>
      </c>
      <c r="B53" t="s">
        <v>192</v>
      </c>
      <c r="C53" t="s">
        <v>193</v>
      </c>
      <c r="D53">
        <v>0.54</v>
      </c>
      <c r="E53">
        <v>-10</v>
      </c>
      <c r="F53" t="s">
        <v>194</v>
      </c>
      <c r="G53">
        <v>458</v>
      </c>
      <c r="H53">
        <v>0.54</v>
      </c>
      <c r="I53">
        <v>3</v>
      </c>
      <c r="J53">
        <v>10</v>
      </c>
      <c r="K53">
        <f t="shared" si="3"/>
        <v>391</v>
      </c>
      <c r="L53">
        <v>986</v>
      </c>
      <c r="M53" t="s">
        <v>334</v>
      </c>
      <c r="N53" t="s">
        <v>335</v>
      </c>
      <c r="O53" s="1">
        <f t="shared" si="4"/>
        <v>528</v>
      </c>
      <c r="P53">
        <f>AVERAGE(Excel_jumia[Final Cleaned Price])</f>
        <v>1202.7777777777778</v>
      </c>
      <c r="Q53">
        <f>AVERAGE(Excel_jumia[Old Price Cleaned])</f>
        <v>1829.7685185185185</v>
      </c>
      <c r="R53">
        <f>AVERAGE(Excel_jumia[Discount Amount])</f>
        <v>621.2385321100918</v>
      </c>
      <c r="S53">
        <f>AVERAGE(Excel_jumia[[Ratings Cleaned ]])</f>
        <v>3.8894736842105266</v>
      </c>
      <c r="T53">
        <f>MAX(Excel_jumia[Final Cleaned Price])</f>
        <v>3750</v>
      </c>
      <c r="U53">
        <f>MIN(Excel_jumia[Final Cleaned Price])</f>
        <v>38</v>
      </c>
      <c r="V53" t="str">
        <f>_xlfn.XLOOKUP(MAX(Excel_jumia[Final Cleaned Price]), Excel_jumia[Final Cleaned Price], Excel_jumia[Product])</f>
        <v>32PCS Portable Cordless Drill Set With Cyclic Battery Drive -26 Variable Speed</v>
      </c>
      <c r="W53" t="str">
        <f>_xlfn.XLOOKUP(MIN(Excel_jumia[Final Cleaned Price]), Excel_jumia[Final Cleaned Price], Excel_jumia[Product])</f>
        <v>3PCS Single Head Knitting Crochet Sweater Needle Set</v>
      </c>
      <c r="X53" s="9">
        <f t="shared" si="5"/>
        <v>58</v>
      </c>
    </row>
    <row r="54" spans="1:24" x14ac:dyDescent="0.35">
      <c r="A54" t="s">
        <v>49</v>
      </c>
      <c r="B54" t="s">
        <v>50</v>
      </c>
      <c r="C54" t="s">
        <v>51</v>
      </c>
      <c r="D54">
        <v>0.34</v>
      </c>
      <c r="E54">
        <v>-39</v>
      </c>
      <c r="F54" t="s">
        <v>25</v>
      </c>
      <c r="G54">
        <v>990</v>
      </c>
      <c r="H54">
        <v>0.34</v>
      </c>
      <c r="I54">
        <v>4.7</v>
      </c>
      <c r="J54">
        <v>39</v>
      </c>
      <c r="K54">
        <f t="shared" si="3"/>
        <v>381</v>
      </c>
      <c r="L54">
        <v>1500</v>
      </c>
      <c r="M54" t="s">
        <v>332</v>
      </c>
      <c r="N54" t="s">
        <v>333</v>
      </c>
      <c r="O54" s="1">
        <f t="shared" si="4"/>
        <v>510</v>
      </c>
      <c r="P54">
        <f>AVERAGE(Excel_jumia[Final Cleaned Price])</f>
        <v>1202.7777777777778</v>
      </c>
      <c r="Q54">
        <f>AVERAGE(Excel_jumia[Old Price Cleaned])</f>
        <v>1829.7685185185185</v>
      </c>
      <c r="R54">
        <f>AVERAGE(Excel_jumia[Discount Amount])</f>
        <v>621.2385321100918</v>
      </c>
      <c r="S54">
        <f>AVERAGE(Excel_jumia[[Ratings Cleaned ]])</f>
        <v>3.8894736842105266</v>
      </c>
      <c r="T54">
        <f>MAX(Excel_jumia[Final Cleaned Price])</f>
        <v>3750</v>
      </c>
      <c r="U54">
        <f>MIN(Excel_jumia[Final Cleaned Price])</f>
        <v>38</v>
      </c>
      <c r="V54" t="str">
        <f>_xlfn.XLOOKUP(MAX(Excel_jumia[Final Cleaned Price]), Excel_jumia[Final Cleaned Price], Excel_jumia[Product])</f>
        <v>32PCS Portable Cordless Drill Set With Cyclic Battery Drive -26 Variable Speed</v>
      </c>
      <c r="W54" t="str">
        <f>_xlfn.XLOOKUP(MIN(Excel_jumia[Final Cleaned Price]), Excel_jumia[Final Cleaned Price], Excel_jumia[Product])</f>
        <v>3PCS Single Head Knitting Crochet Sweater Needle Set</v>
      </c>
      <c r="X54" s="9">
        <f t="shared" si="5"/>
        <v>57</v>
      </c>
    </row>
    <row r="55" spans="1:24" x14ac:dyDescent="0.35">
      <c r="A55" t="s">
        <v>112</v>
      </c>
      <c r="B55" t="s">
        <v>113</v>
      </c>
      <c r="C55" t="s">
        <v>114</v>
      </c>
      <c r="D55">
        <v>0.34</v>
      </c>
      <c r="E55">
        <v>-12</v>
      </c>
      <c r="F55" t="s">
        <v>25</v>
      </c>
      <c r="G55">
        <v>980</v>
      </c>
      <c r="H55">
        <v>0.34</v>
      </c>
      <c r="I55">
        <v>4.7</v>
      </c>
      <c r="J55">
        <v>12</v>
      </c>
      <c r="K55">
        <f t="shared" si="3"/>
        <v>342</v>
      </c>
      <c r="L55">
        <v>1490</v>
      </c>
      <c r="M55" t="s">
        <v>332</v>
      </c>
      <c r="N55" t="s">
        <v>333</v>
      </c>
      <c r="O55" s="1">
        <f t="shared" si="4"/>
        <v>510</v>
      </c>
      <c r="P55">
        <f>AVERAGE(Excel_jumia[Final Cleaned Price])</f>
        <v>1202.7777777777778</v>
      </c>
      <c r="Q55">
        <f>AVERAGE(Excel_jumia[Old Price Cleaned])</f>
        <v>1829.7685185185185</v>
      </c>
      <c r="R55">
        <f>AVERAGE(Excel_jumia[Discount Amount])</f>
        <v>621.2385321100918</v>
      </c>
      <c r="S55">
        <f>AVERAGE(Excel_jumia[[Ratings Cleaned ]])</f>
        <v>3.8894736842105266</v>
      </c>
      <c r="T55">
        <f>MAX(Excel_jumia[Final Cleaned Price])</f>
        <v>3750</v>
      </c>
      <c r="U55">
        <f>MIN(Excel_jumia[Final Cleaned Price])</f>
        <v>38</v>
      </c>
      <c r="V55" t="str">
        <f>_xlfn.XLOOKUP(MAX(Excel_jumia[Final Cleaned Price]), Excel_jumia[Final Cleaned Price], Excel_jumia[Product])</f>
        <v>32PCS Portable Cordless Drill Set With Cyclic Battery Drive -26 Variable Speed</v>
      </c>
      <c r="W55" t="str">
        <f>_xlfn.XLOOKUP(MIN(Excel_jumia[Final Cleaned Price]), Excel_jumia[Final Cleaned Price], Excel_jumia[Product])</f>
        <v>3PCS Single Head Knitting Crochet Sweater Needle Set</v>
      </c>
      <c r="X55" s="9">
        <f t="shared" si="5"/>
        <v>56</v>
      </c>
    </row>
    <row r="56" spans="1:24" x14ac:dyDescent="0.35">
      <c r="A56" t="s">
        <v>240</v>
      </c>
      <c r="B56" t="s">
        <v>241</v>
      </c>
      <c r="C56" t="s">
        <v>242</v>
      </c>
      <c r="D56">
        <v>0.43</v>
      </c>
      <c r="F56" t="s">
        <v>83</v>
      </c>
      <c r="G56">
        <v>690</v>
      </c>
      <c r="H56">
        <v>0.43</v>
      </c>
      <c r="K56">
        <f t="shared" si="3"/>
        <v>330</v>
      </c>
      <c r="L56">
        <v>1200</v>
      </c>
      <c r="N56" t="s">
        <v>335</v>
      </c>
      <c r="O56" s="1">
        <f t="shared" si="4"/>
        <v>510</v>
      </c>
      <c r="P56">
        <f>AVERAGE(Excel_jumia[Final Cleaned Price])</f>
        <v>1202.7777777777778</v>
      </c>
      <c r="Q56">
        <f>AVERAGE(Excel_jumia[Old Price Cleaned])</f>
        <v>1829.7685185185185</v>
      </c>
      <c r="R56">
        <f>AVERAGE(Excel_jumia[Discount Amount])</f>
        <v>621.2385321100918</v>
      </c>
      <c r="S56">
        <f>AVERAGE(Excel_jumia[[Ratings Cleaned ]])</f>
        <v>3.8894736842105266</v>
      </c>
      <c r="T56">
        <f>MAX(Excel_jumia[Final Cleaned Price])</f>
        <v>3750</v>
      </c>
      <c r="U56">
        <f>MIN(Excel_jumia[Final Cleaned Price])</f>
        <v>38</v>
      </c>
      <c r="V56" t="str">
        <f>_xlfn.XLOOKUP(MAX(Excel_jumia[Final Cleaned Price]), Excel_jumia[Final Cleaned Price], Excel_jumia[Product])</f>
        <v>32PCS Portable Cordless Drill Set With Cyclic Battery Drive -26 Variable Speed</v>
      </c>
      <c r="W56" t="str">
        <f>_xlfn.XLOOKUP(MIN(Excel_jumia[Final Cleaned Price]), Excel_jumia[Final Cleaned Price], Excel_jumia[Product])</f>
        <v>3PCS Single Head Knitting Crochet Sweater Needle Set</v>
      </c>
      <c r="X56" s="9">
        <f t="shared" si="5"/>
        <v>55</v>
      </c>
    </row>
    <row r="57" spans="1:24" x14ac:dyDescent="0.35">
      <c r="A57" t="s">
        <v>294</v>
      </c>
      <c r="B57" t="s">
        <v>295</v>
      </c>
      <c r="C57" t="s">
        <v>296</v>
      </c>
      <c r="D57">
        <v>0.49</v>
      </c>
      <c r="F57" t="s">
        <v>83</v>
      </c>
      <c r="G57">
        <v>525</v>
      </c>
      <c r="H57">
        <v>0.49</v>
      </c>
      <c r="K57">
        <f t="shared" si="3"/>
        <v>330</v>
      </c>
      <c r="L57">
        <v>1029</v>
      </c>
      <c r="N57" t="s">
        <v>335</v>
      </c>
      <c r="O57" s="1">
        <f t="shared" si="4"/>
        <v>504</v>
      </c>
      <c r="P57">
        <f>AVERAGE(Excel_jumia[Final Cleaned Price])</f>
        <v>1202.7777777777778</v>
      </c>
      <c r="Q57">
        <f>AVERAGE(Excel_jumia[Old Price Cleaned])</f>
        <v>1829.7685185185185</v>
      </c>
      <c r="R57">
        <f>AVERAGE(Excel_jumia[Discount Amount])</f>
        <v>621.2385321100918</v>
      </c>
      <c r="S57">
        <f>AVERAGE(Excel_jumia[[Ratings Cleaned ]])</f>
        <v>3.8894736842105266</v>
      </c>
      <c r="T57">
        <f>MAX(Excel_jumia[Final Cleaned Price])</f>
        <v>3750</v>
      </c>
      <c r="U57">
        <f>MIN(Excel_jumia[Final Cleaned Price])</f>
        <v>38</v>
      </c>
      <c r="V57" t="str">
        <f>_xlfn.XLOOKUP(MAX(Excel_jumia[Final Cleaned Price]), Excel_jumia[Final Cleaned Price], Excel_jumia[Product])</f>
        <v>32PCS Portable Cordless Drill Set With Cyclic Battery Drive -26 Variable Speed</v>
      </c>
      <c r="W57" t="str">
        <f>_xlfn.XLOOKUP(MIN(Excel_jumia[Final Cleaned Price]), Excel_jumia[Final Cleaned Price], Excel_jumia[Product])</f>
        <v>3PCS Single Head Knitting Crochet Sweater Needle Set</v>
      </c>
      <c r="X57" s="9">
        <f t="shared" si="5"/>
        <v>54</v>
      </c>
    </row>
    <row r="58" spans="1:24" x14ac:dyDescent="0.35">
      <c r="A58" t="s">
        <v>87</v>
      </c>
      <c r="B58" t="s">
        <v>88</v>
      </c>
      <c r="C58" t="s">
        <v>89</v>
      </c>
      <c r="D58">
        <v>0.23</v>
      </c>
      <c r="E58">
        <v>-14</v>
      </c>
      <c r="F58" t="s">
        <v>90</v>
      </c>
      <c r="G58">
        <v>1650</v>
      </c>
      <c r="H58">
        <v>0.23</v>
      </c>
      <c r="I58">
        <v>4.4000000000000004</v>
      </c>
      <c r="J58">
        <v>14</v>
      </c>
      <c r="K58">
        <f t="shared" si="3"/>
        <v>330</v>
      </c>
      <c r="L58">
        <v>2150</v>
      </c>
      <c r="M58" t="s">
        <v>334</v>
      </c>
      <c r="N58" t="s">
        <v>333</v>
      </c>
      <c r="O58" s="1">
        <f t="shared" si="4"/>
        <v>500</v>
      </c>
      <c r="P58">
        <f>AVERAGE(Excel_jumia[Final Cleaned Price])</f>
        <v>1202.7777777777778</v>
      </c>
      <c r="Q58">
        <f>AVERAGE(Excel_jumia[Old Price Cleaned])</f>
        <v>1829.7685185185185</v>
      </c>
      <c r="R58">
        <f>AVERAGE(Excel_jumia[Discount Amount])</f>
        <v>621.2385321100918</v>
      </c>
      <c r="S58">
        <f>AVERAGE(Excel_jumia[[Ratings Cleaned ]])</f>
        <v>3.8894736842105266</v>
      </c>
      <c r="T58">
        <f>MAX(Excel_jumia[Final Cleaned Price])</f>
        <v>3750</v>
      </c>
      <c r="U58">
        <f>MIN(Excel_jumia[Final Cleaned Price])</f>
        <v>38</v>
      </c>
      <c r="V58" t="str">
        <f>_xlfn.XLOOKUP(MAX(Excel_jumia[Final Cleaned Price]), Excel_jumia[Final Cleaned Price], Excel_jumia[Product])</f>
        <v>32PCS Portable Cordless Drill Set With Cyclic Battery Drive -26 Variable Speed</v>
      </c>
      <c r="W58" t="str">
        <f>_xlfn.XLOOKUP(MIN(Excel_jumia[Final Cleaned Price]), Excel_jumia[Final Cleaned Price], Excel_jumia[Product])</f>
        <v>3PCS Single Head Knitting Crochet Sweater Needle Set</v>
      </c>
      <c r="X58" s="9">
        <f t="shared" si="5"/>
        <v>53</v>
      </c>
    </row>
    <row r="59" spans="1:24" x14ac:dyDescent="0.35">
      <c r="A59" t="s">
        <v>52</v>
      </c>
      <c r="B59" t="s">
        <v>53</v>
      </c>
      <c r="C59" t="s">
        <v>54</v>
      </c>
      <c r="D59">
        <v>0.47</v>
      </c>
      <c r="E59">
        <v>-12</v>
      </c>
      <c r="F59" t="s">
        <v>29</v>
      </c>
      <c r="G59">
        <v>552</v>
      </c>
      <c r="H59">
        <v>0.47</v>
      </c>
      <c r="I59">
        <v>4.8</v>
      </c>
      <c r="J59">
        <v>12</v>
      </c>
      <c r="K59">
        <f t="shared" si="3"/>
        <v>316</v>
      </c>
      <c r="L59">
        <v>1035</v>
      </c>
      <c r="M59" t="s">
        <v>332</v>
      </c>
      <c r="N59" t="s">
        <v>335</v>
      </c>
      <c r="O59" s="1">
        <f t="shared" si="4"/>
        <v>483</v>
      </c>
      <c r="P59">
        <f>AVERAGE(Excel_jumia[Final Cleaned Price])</f>
        <v>1202.7777777777778</v>
      </c>
      <c r="Q59">
        <f>AVERAGE(Excel_jumia[Old Price Cleaned])</f>
        <v>1829.7685185185185</v>
      </c>
      <c r="R59">
        <f>AVERAGE(Excel_jumia[Discount Amount])</f>
        <v>621.2385321100918</v>
      </c>
      <c r="S59">
        <f>AVERAGE(Excel_jumia[[Ratings Cleaned ]])</f>
        <v>3.8894736842105266</v>
      </c>
      <c r="T59">
        <f>MAX(Excel_jumia[Final Cleaned Price])</f>
        <v>3750</v>
      </c>
      <c r="U59">
        <f>MIN(Excel_jumia[Final Cleaned Price])</f>
        <v>38</v>
      </c>
      <c r="V59" t="str">
        <f>_xlfn.XLOOKUP(MAX(Excel_jumia[Final Cleaned Price]), Excel_jumia[Final Cleaned Price], Excel_jumia[Product])</f>
        <v>32PCS Portable Cordless Drill Set With Cyclic Battery Drive -26 Variable Speed</v>
      </c>
      <c r="W59" t="str">
        <f>_xlfn.XLOOKUP(MIN(Excel_jumia[Final Cleaned Price]), Excel_jumia[Final Cleaned Price], Excel_jumia[Product])</f>
        <v>3PCS Single Head Knitting Crochet Sweater Needle Set</v>
      </c>
      <c r="X59" s="9">
        <f t="shared" si="5"/>
        <v>52</v>
      </c>
    </row>
    <row r="60" spans="1:24" x14ac:dyDescent="0.35">
      <c r="A60" t="s">
        <v>14</v>
      </c>
      <c r="B60" t="s">
        <v>15</v>
      </c>
      <c r="C60" t="s">
        <v>16</v>
      </c>
      <c r="D60">
        <v>0.47</v>
      </c>
      <c r="E60">
        <v>-14</v>
      </c>
      <c r="F60" t="s">
        <v>17</v>
      </c>
      <c r="G60">
        <v>527</v>
      </c>
      <c r="H60">
        <v>0.47</v>
      </c>
      <c r="I60">
        <v>4.0999999999999996</v>
      </c>
      <c r="J60">
        <v>14</v>
      </c>
      <c r="K60">
        <f t="shared" si="3"/>
        <v>304</v>
      </c>
      <c r="L60">
        <v>999</v>
      </c>
      <c r="M60" t="s">
        <v>334</v>
      </c>
      <c r="N60" t="s">
        <v>335</v>
      </c>
      <c r="O60" s="1">
        <f t="shared" si="4"/>
        <v>472</v>
      </c>
      <c r="P60">
        <f>AVERAGE(Excel_jumia[Final Cleaned Price])</f>
        <v>1202.7777777777778</v>
      </c>
      <c r="Q60">
        <f>AVERAGE(Excel_jumia[Old Price Cleaned])</f>
        <v>1829.7685185185185</v>
      </c>
      <c r="R60">
        <f>AVERAGE(Excel_jumia[Discount Amount])</f>
        <v>621.2385321100918</v>
      </c>
      <c r="S60">
        <f>AVERAGE(Excel_jumia[[Ratings Cleaned ]])</f>
        <v>3.8894736842105266</v>
      </c>
      <c r="T60">
        <f>MAX(Excel_jumia[Final Cleaned Price])</f>
        <v>3750</v>
      </c>
      <c r="U60">
        <f>MIN(Excel_jumia[Final Cleaned Price])</f>
        <v>38</v>
      </c>
      <c r="V60" t="str">
        <f>_xlfn.XLOOKUP(MAX(Excel_jumia[Final Cleaned Price]), Excel_jumia[Final Cleaned Price], Excel_jumia[Product])</f>
        <v>32PCS Portable Cordless Drill Set With Cyclic Battery Drive -26 Variable Speed</v>
      </c>
      <c r="W60" t="str">
        <f>_xlfn.XLOOKUP(MIN(Excel_jumia[Final Cleaned Price]), Excel_jumia[Final Cleaned Price], Excel_jumia[Product])</f>
        <v>3PCS Single Head Knitting Crochet Sweater Needle Set</v>
      </c>
      <c r="X60" s="9">
        <f t="shared" si="5"/>
        <v>51</v>
      </c>
    </row>
    <row r="61" spans="1:24" x14ac:dyDescent="0.35">
      <c r="A61" t="s">
        <v>84</v>
      </c>
      <c r="B61" t="s">
        <v>85</v>
      </c>
      <c r="C61" t="s">
        <v>86</v>
      </c>
      <c r="D61">
        <v>0.35</v>
      </c>
      <c r="E61">
        <v>-6</v>
      </c>
      <c r="F61" t="s">
        <v>33</v>
      </c>
      <c r="G61">
        <v>880</v>
      </c>
      <c r="H61">
        <v>0.35</v>
      </c>
      <c r="I61">
        <v>4</v>
      </c>
      <c r="J61">
        <v>6</v>
      </c>
      <c r="K61">
        <f t="shared" si="3"/>
        <v>290</v>
      </c>
      <c r="L61">
        <v>1350</v>
      </c>
      <c r="M61" t="s">
        <v>334</v>
      </c>
      <c r="N61" t="s">
        <v>333</v>
      </c>
      <c r="O61" s="1">
        <f t="shared" si="4"/>
        <v>470</v>
      </c>
      <c r="P61">
        <f>AVERAGE(Excel_jumia[Final Cleaned Price])</f>
        <v>1202.7777777777778</v>
      </c>
      <c r="Q61">
        <f>AVERAGE(Excel_jumia[Old Price Cleaned])</f>
        <v>1829.7685185185185</v>
      </c>
      <c r="R61">
        <f>AVERAGE(Excel_jumia[Discount Amount])</f>
        <v>621.2385321100918</v>
      </c>
      <c r="S61">
        <f>AVERAGE(Excel_jumia[[Ratings Cleaned ]])</f>
        <v>3.8894736842105266</v>
      </c>
      <c r="T61">
        <f>MAX(Excel_jumia[Final Cleaned Price])</f>
        <v>3750</v>
      </c>
      <c r="U61">
        <f>MIN(Excel_jumia[Final Cleaned Price])</f>
        <v>38</v>
      </c>
      <c r="V61" t="str">
        <f>_xlfn.XLOOKUP(MAX(Excel_jumia[Final Cleaned Price]), Excel_jumia[Final Cleaned Price], Excel_jumia[Product])</f>
        <v>32PCS Portable Cordless Drill Set With Cyclic Battery Drive -26 Variable Speed</v>
      </c>
      <c r="W61" t="str">
        <f>_xlfn.XLOOKUP(MIN(Excel_jumia[Final Cleaned Price]), Excel_jumia[Final Cleaned Price], Excel_jumia[Product])</f>
        <v>3PCS Single Head Knitting Crochet Sweater Needle Set</v>
      </c>
      <c r="X61" s="9">
        <f t="shared" si="5"/>
        <v>50</v>
      </c>
    </row>
    <row r="62" spans="1:24" x14ac:dyDescent="0.35">
      <c r="A62" t="s">
        <v>270</v>
      </c>
      <c r="B62" t="s">
        <v>271</v>
      </c>
      <c r="C62" t="s">
        <v>272</v>
      </c>
      <c r="D62">
        <v>0.43</v>
      </c>
      <c r="F62" t="s">
        <v>83</v>
      </c>
      <c r="G62">
        <v>630</v>
      </c>
      <c r="H62">
        <v>0.43</v>
      </c>
      <c r="K62">
        <f t="shared" si="3"/>
        <v>284</v>
      </c>
      <c r="L62">
        <v>1100</v>
      </c>
      <c r="N62" t="s">
        <v>335</v>
      </c>
      <c r="O62" s="1">
        <f t="shared" si="4"/>
        <v>470</v>
      </c>
      <c r="P62">
        <f>AVERAGE(Excel_jumia[Final Cleaned Price])</f>
        <v>1202.7777777777778</v>
      </c>
      <c r="Q62">
        <f>AVERAGE(Excel_jumia[Old Price Cleaned])</f>
        <v>1829.7685185185185</v>
      </c>
      <c r="R62">
        <f>AVERAGE(Excel_jumia[Discount Amount])</f>
        <v>621.2385321100918</v>
      </c>
      <c r="S62">
        <f>AVERAGE(Excel_jumia[[Ratings Cleaned ]])</f>
        <v>3.8894736842105266</v>
      </c>
      <c r="T62">
        <f>MAX(Excel_jumia[Final Cleaned Price])</f>
        <v>3750</v>
      </c>
      <c r="U62">
        <f>MIN(Excel_jumia[Final Cleaned Price])</f>
        <v>38</v>
      </c>
      <c r="V62" t="str">
        <f>_xlfn.XLOOKUP(MAX(Excel_jumia[Final Cleaned Price]), Excel_jumia[Final Cleaned Price], Excel_jumia[Product])</f>
        <v>32PCS Portable Cordless Drill Set With Cyclic Battery Drive -26 Variable Speed</v>
      </c>
      <c r="W62" t="str">
        <f>_xlfn.XLOOKUP(MIN(Excel_jumia[Final Cleaned Price]), Excel_jumia[Final Cleaned Price], Excel_jumia[Product])</f>
        <v>3PCS Single Head Knitting Crochet Sweater Needle Set</v>
      </c>
      <c r="X62" s="9">
        <f t="shared" si="5"/>
        <v>49</v>
      </c>
    </row>
    <row r="63" spans="1:24" x14ac:dyDescent="0.35">
      <c r="A63" t="s">
        <v>138</v>
      </c>
      <c r="B63" t="s">
        <v>139</v>
      </c>
      <c r="C63" t="s">
        <v>140</v>
      </c>
      <c r="D63">
        <v>0.49</v>
      </c>
      <c r="F63" t="s">
        <v>83</v>
      </c>
      <c r="G63">
        <v>475</v>
      </c>
      <c r="H63">
        <v>0.49</v>
      </c>
      <c r="K63">
        <f t="shared" si="3"/>
        <v>284</v>
      </c>
      <c r="L63">
        <v>931</v>
      </c>
      <c r="N63" t="s">
        <v>335</v>
      </c>
      <c r="O63" s="1">
        <f t="shared" si="4"/>
        <v>456</v>
      </c>
      <c r="P63">
        <f>AVERAGE(Excel_jumia[Final Cleaned Price])</f>
        <v>1202.7777777777778</v>
      </c>
      <c r="Q63">
        <f>AVERAGE(Excel_jumia[Old Price Cleaned])</f>
        <v>1829.7685185185185</v>
      </c>
      <c r="R63">
        <f>AVERAGE(Excel_jumia[Discount Amount])</f>
        <v>621.2385321100918</v>
      </c>
      <c r="S63">
        <f>AVERAGE(Excel_jumia[[Ratings Cleaned ]])</f>
        <v>3.8894736842105266</v>
      </c>
      <c r="T63">
        <f>MAX(Excel_jumia[Final Cleaned Price])</f>
        <v>3750</v>
      </c>
      <c r="U63">
        <f>MIN(Excel_jumia[Final Cleaned Price])</f>
        <v>38</v>
      </c>
      <c r="V63" t="str">
        <f>_xlfn.XLOOKUP(MAX(Excel_jumia[Final Cleaned Price]), Excel_jumia[Final Cleaned Price], Excel_jumia[Product])</f>
        <v>32PCS Portable Cordless Drill Set With Cyclic Battery Drive -26 Variable Speed</v>
      </c>
      <c r="W63" t="str">
        <f>_xlfn.XLOOKUP(MIN(Excel_jumia[Final Cleaned Price]), Excel_jumia[Final Cleaned Price], Excel_jumia[Product])</f>
        <v>3PCS Single Head Knitting Crochet Sweater Needle Set</v>
      </c>
      <c r="X63" s="9">
        <f t="shared" si="5"/>
        <v>48</v>
      </c>
    </row>
    <row r="64" spans="1:24" x14ac:dyDescent="0.35">
      <c r="A64" t="s">
        <v>144</v>
      </c>
      <c r="B64" t="s">
        <v>145</v>
      </c>
      <c r="C64" t="s">
        <v>146</v>
      </c>
      <c r="D64">
        <v>0.42</v>
      </c>
      <c r="F64" t="s">
        <v>83</v>
      </c>
      <c r="G64">
        <v>610</v>
      </c>
      <c r="H64">
        <v>0.42</v>
      </c>
      <c r="K64">
        <f t="shared" si="3"/>
        <v>284</v>
      </c>
      <c r="L64">
        <v>1060</v>
      </c>
      <c r="N64" t="s">
        <v>335</v>
      </c>
      <c r="O64" s="1">
        <f t="shared" si="4"/>
        <v>450</v>
      </c>
      <c r="P64">
        <f>AVERAGE(Excel_jumia[Final Cleaned Price])</f>
        <v>1202.7777777777778</v>
      </c>
      <c r="Q64">
        <f>AVERAGE(Excel_jumia[Old Price Cleaned])</f>
        <v>1829.7685185185185</v>
      </c>
      <c r="R64">
        <f>AVERAGE(Excel_jumia[Discount Amount])</f>
        <v>621.2385321100918</v>
      </c>
      <c r="S64">
        <f>AVERAGE(Excel_jumia[[Ratings Cleaned ]])</f>
        <v>3.8894736842105266</v>
      </c>
      <c r="T64">
        <f>MAX(Excel_jumia[Final Cleaned Price])</f>
        <v>3750</v>
      </c>
      <c r="U64">
        <f>MIN(Excel_jumia[Final Cleaned Price])</f>
        <v>38</v>
      </c>
      <c r="V64" t="str">
        <f>_xlfn.XLOOKUP(MAX(Excel_jumia[Final Cleaned Price]), Excel_jumia[Final Cleaned Price], Excel_jumia[Product])</f>
        <v>32PCS Portable Cordless Drill Set With Cyclic Battery Drive -26 Variable Speed</v>
      </c>
      <c r="W64" t="str">
        <f>_xlfn.XLOOKUP(MIN(Excel_jumia[Final Cleaned Price]), Excel_jumia[Final Cleaned Price], Excel_jumia[Product])</f>
        <v>3PCS Single Head Knitting Crochet Sweater Needle Set</v>
      </c>
      <c r="X64" s="9">
        <f t="shared" si="5"/>
        <v>47</v>
      </c>
    </row>
    <row r="65" spans="1:24" x14ac:dyDescent="0.35">
      <c r="A65" t="s">
        <v>323</v>
      </c>
      <c r="B65" t="s">
        <v>248</v>
      </c>
      <c r="C65" t="s">
        <v>179</v>
      </c>
      <c r="D65">
        <v>0.5</v>
      </c>
      <c r="E65">
        <v>-1</v>
      </c>
      <c r="F65" t="s">
        <v>324</v>
      </c>
      <c r="G65">
        <v>450</v>
      </c>
      <c r="H65">
        <v>0.5</v>
      </c>
      <c r="I65">
        <v>2</v>
      </c>
      <c r="J65">
        <v>1</v>
      </c>
      <c r="K65">
        <f t="shared" si="3"/>
        <v>284</v>
      </c>
      <c r="L65">
        <v>900</v>
      </c>
      <c r="M65" t="s">
        <v>337</v>
      </c>
      <c r="N65" t="s">
        <v>335</v>
      </c>
      <c r="O65" s="1">
        <f t="shared" si="4"/>
        <v>450</v>
      </c>
      <c r="P65">
        <f>AVERAGE(Excel_jumia[Final Cleaned Price])</f>
        <v>1202.7777777777778</v>
      </c>
      <c r="Q65">
        <f>AVERAGE(Excel_jumia[Old Price Cleaned])</f>
        <v>1829.7685185185185</v>
      </c>
      <c r="R65">
        <f>AVERAGE(Excel_jumia[Discount Amount])</f>
        <v>621.2385321100918</v>
      </c>
      <c r="S65">
        <f>AVERAGE(Excel_jumia[[Ratings Cleaned ]])</f>
        <v>3.8894736842105266</v>
      </c>
      <c r="T65">
        <f>MAX(Excel_jumia[Final Cleaned Price])</f>
        <v>3750</v>
      </c>
      <c r="U65">
        <f>MIN(Excel_jumia[Final Cleaned Price])</f>
        <v>38</v>
      </c>
      <c r="V65" t="str">
        <f>_xlfn.XLOOKUP(MAX(Excel_jumia[Final Cleaned Price]), Excel_jumia[Final Cleaned Price], Excel_jumia[Product])</f>
        <v>32PCS Portable Cordless Drill Set With Cyclic Battery Drive -26 Variable Speed</v>
      </c>
      <c r="W65" t="str">
        <f>_xlfn.XLOOKUP(MIN(Excel_jumia[Final Cleaned Price]), Excel_jumia[Final Cleaned Price], Excel_jumia[Product])</f>
        <v>3PCS Single Head Knitting Crochet Sweater Needle Set</v>
      </c>
      <c r="X65" s="9">
        <f t="shared" si="5"/>
        <v>46</v>
      </c>
    </row>
    <row r="66" spans="1:24" x14ac:dyDescent="0.35">
      <c r="A66" t="s">
        <v>199</v>
      </c>
      <c r="B66" t="s">
        <v>200</v>
      </c>
      <c r="C66" t="s">
        <v>201</v>
      </c>
      <c r="D66">
        <v>0.49</v>
      </c>
      <c r="E66">
        <v>-69</v>
      </c>
      <c r="F66" t="s">
        <v>202</v>
      </c>
      <c r="G66">
        <v>445</v>
      </c>
      <c r="H66">
        <v>0.49</v>
      </c>
      <c r="I66">
        <v>2.8</v>
      </c>
      <c r="J66">
        <v>69</v>
      </c>
      <c r="K66">
        <f t="shared" ref="K66:K97" si="6">SUM(J66:J174)</f>
        <v>283</v>
      </c>
      <c r="L66">
        <v>873</v>
      </c>
      <c r="M66" t="s">
        <v>337</v>
      </c>
      <c r="N66" t="s">
        <v>335</v>
      </c>
      <c r="O66" s="1">
        <f t="shared" ref="O66:O97" si="7">(L66-G66)</f>
        <v>428</v>
      </c>
      <c r="P66">
        <f>AVERAGE(Excel_jumia[Final Cleaned Price])</f>
        <v>1202.7777777777778</v>
      </c>
      <c r="Q66">
        <f>AVERAGE(Excel_jumia[Old Price Cleaned])</f>
        <v>1829.7685185185185</v>
      </c>
      <c r="R66">
        <f>AVERAGE(Excel_jumia[Discount Amount])</f>
        <v>621.2385321100918</v>
      </c>
      <c r="S66">
        <f>AVERAGE(Excel_jumia[[Ratings Cleaned ]])</f>
        <v>3.8894736842105266</v>
      </c>
      <c r="T66">
        <f>MAX(Excel_jumia[Final Cleaned Price])</f>
        <v>3750</v>
      </c>
      <c r="U66">
        <f>MIN(Excel_jumia[Final Cleaned Price])</f>
        <v>38</v>
      </c>
      <c r="V66" t="str">
        <f>_xlfn.XLOOKUP(MAX(Excel_jumia[Final Cleaned Price]), Excel_jumia[Final Cleaned Price], Excel_jumia[Product])</f>
        <v>32PCS Portable Cordless Drill Set With Cyclic Battery Drive -26 Variable Speed</v>
      </c>
      <c r="W66" t="str">
        <f>_xlfn.XLOOKUP(MIN(Excel_jumia[Final Cleaned Price]), Excel_jumia[Final Cleaned Price], Excel_jumia[Product])</f>
        <v>3PCS Single Head Knitting Crochet Sweater Needle Set</v>
      </c>
      <c r="X66" s="9">
        <f t="shared" ref="X66:X97" si="8">COUNTA(A66:A174)</f>
        <v>45</v>
      </c>
    </row>
    <row r="67" spans="1:24" x14ac:dyDescent="0.35">
      <c r="A67" t="s">
        <v>177</v>
      </c>
      <c r="B67" t="s">
        <v>178</v>
      </c>
      <c r="C67" t="s">
        <v>179</v>
      </c>
      <c r="D67">
        <v>0.45</v>
      </c>
      <c r="F67" t="s">
        <v>83</v>
      </c>
      <c r="G67">
        <v>499</v>
      </c>
      <c r="H67">
        <v>0.45</v>
      </c>
      <c r="K67">
        <f t="shared" si="6"/>
        <v>214</v>
      </c>
      <c r="L67">
        <v>900</v>
      </c>
      <c r="N67" t="s">
        <v>335</v>
      </c>
      <c r="O67" s="1">
        <f t="shared" si="7"/>
        <v>401</v>
      </c>
      <c r="P67">
        <f>AVERAGE(Excel_jumia[Final Cleaned Price])</f>
        <v>1202.7777777777778</v>
      </c>
      <c r="Q67">
        <f>AVERAGE(Excel_jumia[Old Price Cleaned])</f>
        <v>1829.7685185185185</v>
      </c>
      <c r="R67">
        <f>AVERAGE(Excel_jumia[Discount Amount])</f>
        <v>621.2385321100918</v>
      </c>
      <c r="S67">
        <f>AVERAGE(Excel_jumia[[Ratings Cleaned ]])</f>
        <v>3.8894736842105266</v>
      </c>
      <c r="T67">
        <f>MAX(Excel_jumia[Final Cleaned Price])</f>
        <v>3750</v>
      </c>
      <c r="U67">
        <f>MIN(Excel_jumia[Final Cleaned Price])</f>
        <v>38</v>
      </c>
      <c r="V67" t="str">
        <f>_xlfn.XLOOKUP(MAX(Excel_jumia[Final Cleaned Price]), Excel_jumia[Final Cleaned Price], Excel_jumia[Product])</f>
        <v>32PCS Portable Cordless Drill Set With Cyclic Battery Drive -26 Variable Speed</v>
      </c>
      <c r="W67" t="str">
        <f>_xlfn.XLOOKUP(MIN(Excel_jumia[Final Cleaned Price]), Excel_jumia[Final Cleaned Price], Excel_jumia[Product])</f>
        <v>3PCS Single Head Knitting Crochet Sweater Needle Set</v>
      </c>
      <c r="X67" s="9">
        <f t="shared" si="8"/>
        <v>44</v>
      </c>
    </row>
    <row r="68" spans="1:24" x14ac:dyDescent="0.35">
      <c r="A68" t="s">
        <v>229</v>
      </c>
      <c r="B68" t="s">
        <v>230</v>
      </c>
      <c r="C68" t="s">
        <v>231</v>
      </c>
      <c r="D68">
        <v>0.43</v>
      </c>
      <c r="E68">
        <v>-5</v>
      </c>
      <c r="F68" t="s">
        <v>194</v>
      </c>
      <c r="G68">
        <v>509</v>
      </c>
      <c r="H68">
        <v>0.43</v>
      </c>
      <c r="I68">
        <v>3</v>
      </c>
      <c r="J68">
        <v>5</v>
      </c>
      <c r="K68">
        <f t="shared" si="6"/>
        <v>214</v>
      </c>
      <c r="L68">
        <v>899</v>
      </c>
      <c r="M68" t="s">
        <v>334</v>
      </c>
      <c r="N68" t="s">
        <v>335</v>
      </c>
      <c r="O68" s="1">
        <f t="shared" si="7"/>
        <v>390</v>
      </c>
      <c r="P68">
        <f>AVERAGE(Excel_jumia[Final Cleaned Price])</f>
        <v>1202.7777777777778</v>
      </c>
      <c r="Q68">
        <f>AVERAGE(Excel_jumia[Old Price Cleaned])</f>
        <v>1829.7685185185185</v>
      </c>
      <c r="R68">
        <f>AVERAGE(Excel_jumia[Discount Amount])</f>
        <v>621.2385321100918</v>
      </c>
      <c r="S68">
        <f>AVERAGE(Excel_jumia[[Ratings Cleaned ]])</f>
        <v>3.8894736842105266</v>
      </c>
      <c r="T68">
        <f>MAX(Excel_jumia[Final Cleaned Price])</f>
        <v>3750</v>
      </c>
      <c r="U68">
        <f>MIN(Excel_jumia[Final Cleaned Price])</f>
        <v>38</v>
      </c>
      <c r="V68" t="str">
        <f>_xlfn.XLOOKUP(MAX(Excel_jumia[Final Cleaned Price]), Excel_jumia[Final Cleaned Price], Excel_jumia[Product])</f>
        <v>32PCS Portable Cordless Drill Set With Cyclic Battery Drive -26 Variable Speed</v>
      </c>
      <c r="W68" t="str">
        <f>_xlfn.XLOOKUP(MIN(Excel_jumia[Final Cleaned Price]), Excel_jumia[Final Cleaned Price], Excel_jumia[Product])</f>
        <v>3PCS Single Head Knitting Crochet Sweater Needle Set</v>
      </c>
      <c r="X68" s="9">
        <f t="shared" si="8"/>
        <v>43</v>
      </c>
    </row>
    <row r="69" spans="1:24" x14ac:dyDescent="0.35">
      <c r="A69" t="s">
        <v>55</v>
      </c>
      <c r="B69" t="s">
        <v>56</v>
      </c>
      <c r="C69" t="s">
        <v>57</v>
      </c>
      <c r="D69">
        <v>0.42</v>
      </c>
      <c r="E69">
        <v>-6</v>
      </c>
      <c r="F69" t="s">
        <v>13</v>
      </c>
      <c r="G69">
        <v>501</v>
      </c>
      <c r="H69">
        <v>0.42</v>
      </c>
      <c r="I69">
        <v>4.5</v>
      </c>
      <c r="J69">
        <v>6</v>
      </c>
      <c r="K69">
        <f t="shared" si="6"/>
        <v>209</v>
      </c>
      <c r="L69">
        <v>860</v>
      </c>
      <c r="M69" t="s">
        <v>332</v>
      </c>
      <c r="N69" t="s">
        <v>335</v>
      </c>
      <c r="O69" s="1">
        <f t="shared" si="7"/>
        <v>359</v>
      </c>
      <c r="P69">
        <f>AVERAGE(Excel_jumia[Final Cleaned Price])</f>
        <v>1202.7777777777778</v>
      </c>
      <c r="Q69">
        <f>AVERAGE(Excel_jumia[Old Price Cleaned])</f>
        <v>1829.7685185185185</v>
      </c>
      <c r="R69">
        <f>AVERAGE(Excel_jumia[Discount Amount])</f>
        <v>621.2385321100918</v>
      </c>
      <c r="S69">
        <f>AVERAGE(Excel_jumia[[Ratings Cleaned ]])</f>
        <v>3.8894736842105266</v>
      </c>
      <c r="T69">
        <f>MAX(Excel_jumia[Final Cleaned Price])</f>
        <v>3750</v>
      </c>
      <c r="U69">
        <f>MIN(Excel_jumia[Final Cleaned Price])</f>
        <v>38</v>
      </c>
      <c r="V69" t="str">
        <f>_xlfn.XLOOKUP(MAX(Excel_jumia[Final Cleaned Price]), Excel_jumia[Final Cleaned Price], Excel_jumia[Product])</f>
        <v>32PCS Portable Cordless Drill Set With Cyclic Battery Drive -26 Variable Speed</v>
      </c>
      <c r="W69" t="str">
        <f>_xlfn.XLOOKUP(MIN(Excel_jumia[Final Cleaned Price]), Excel_jumia[Final Cleaned Price], Excel_jumia[Product])</f>
        <v>3PCS Single Head Knitting Crochet Sweater Needle Set</v>
      </c>
      <c r="X69" s="9">
        <f t="shared" si="8"/>
        <v>42</v>
      </c>
    </row>
    <row r="70" spans="1:24" x14ac:dyDescent="0.35">
      <c r="A70" t="s">
        <v>203</v>
      </c>
      <c r="B70" t="s">
        <v>204</v>
      </c>
      <c r="C70" t="s">
        <v>205</v>
      </c>
      <c r="D70">
        <v>0.52</v>
      </c>
      <c r="E70">
        <v>-15</v>
      </c>
      <c r="F70" t="s">
        <v>206</v>
      </c>
      <c r="G70">
        <v>325</v>
      </c>
      <c r="H70">
        <v>0.52</v>
      </c>
      <c r="I70">
        <v>2.7</v>
      </c>
      <c r="J70">
        <v>15</v>
      </c>
      <c r="K70">
        <f t="shared" si="6"/>
        <v>203</v>
      </c>
      <c r="L70">
        <v>680</v>
      </c>
      <c r="M70" t="s">
        <v>337</v>
      </c>
      <c r="N70" t="s">
        <v>335</v>
      </c>
      <c r="O70" s="1">
        <f t="shared" si="7"/>
        <v>355</v>
      </c>
      <c r="P70">
        <f>AVERAGE(Excel_jumia[Final Cleaned Price])</f>
        <v>1202.7777777777778</v>
      </c>
      <c r="Q70">
        <f>AVERAGE(Excel_jumia[Old Price Cleaned])</f>
        <v>1829.7685185185185</v>
      </c>
      <c r="R70">
        <f>AVERAGE(Excel_jumia[Discount Amount])</f>
        <v>621.2385321100918</v>
      </c>
      <c r="S70">
        <f>AVERAGE(Excel_jumia[[Ratings Cleaned ]])</f>
        <v>3.8894736842105266</v>
      </c>
      <c r="T70">
        <f>MAX(Excel_jumia[Final Cleaned Price])</f>
        <v>3750</v>
      </c>
      <c r="U70">
        <f>MIN(Excel_jumia[Final Cleaned Price])</f>
        <v>38</v>
      </c>
      <c r="V70" t="str">
        <f>_xlfn.XLOOKUP(MAX(Excel_jumia[Final Cleaned Price]), Excel_jumia[Final Cleaned Price], Excel_jumia[Product])</f>
        <v>32PCS Portable Cordless Drill Set With Cyclic Battery Drive -26 Variable Speed</v>
      </c>
      <c r="W70" t="str">
        <f>_xlfn.XLOOKUP(MIN(Excel_jumia[Final Cleaned Price]), Excel_jumia[Final Cleaned Price], Excel_jumia[Product])</f>
        <v>3PCS Single Head Knitting Crochet Sweater Needle Set</v>
      </c>
      <c r="X70" s="9">
        <f t="shared" si="8"/>
        <v>41</v>
      </c>
    </row>
    <row r="71" spans="1:24" x14ac:dyDescent="0.35">
      <c r="A71" t="s">
        <v>321</v>
      </c>
      <c r="B71" t="s">
        <v>162</v>
      </c>
      <c r="C71" t="s">
        <v>322</v>
      </c>
      <c r="D71">
        <v>0.64</v>
      </c>
      <c r="F71" t="s">
        <v>83</v>
      </c>
      <c r="G71">
        <v>199</v>
      </c>
      <c r="H71">
        <v>0.64</v>
      </c>
      <c r="K71">
        <f t="shared" si="6"/>
        <v>188</v>
      </c>
      <c r="L71">
        <v>553</v>
      </c>
      <c r="N71" t="s">
        <v>335</v>
      </c>
      <c r="O71" s="1">
        <f t="shared" si="7"/>
        <v>354</v>
      </c>
      <c r="P71">
        <f>AVERAGE(Excel_jumia[Final Cleaned Price])</f>
        <v>1202.7777777777778</v>
      </c>
      <c r="Q71">
        <f>AVERAGE(Excel_jumia[Old Price Cleaned])</f>
        <v>1829.7685185185185</v>
      </c>
      <c r="R71">
        <f>AVERAGE(Excel_jumia[Discount Amount])</f>
        <v>621.2385321100918</v>
      </c>
      <c r="S71">
        <f>AVERAGE(Excel_jumia[[Ratings Cleaned ]])</f>
        <v>3.8894736842105266</v>
      </c>
      <c r="T71">
        <f>MAX(Excel_jumia[Final Cleaned Price])</f>
        <v>3750</v>
      </c>
      <c r="U71">
        <f>MIN(Excel_jumia[Final Cleaned Price])</f>
        <v>38</v>
      </c>
      <c r="V71" t="str">
        <f>_xlfn.XLOOKUP(MAX(Excel_jumia[Final Cleaned Price]), Excel_jumia[Final Cleaned Price], Excel_jumia[Product])</f>
        <v>32PCS Portable Cordless Drill Set With Cyclic Battery Drive -26 Variable Speed</v>
      </c>
      <c r="W71" t="str">
        <f>_xlfn.XLOOKUP(MIN(Excel_jumia[Final Cleaned Price]), Excel_jumia[Final Cleaned Price], Excel_jumia[Product])</f>
        <v>3PCS Single Head Knitting Crochet Sweater Needle Set</v>
      </c>
      <c r="X71" s="9">
        <f t="shared" si="8"/>
        <v>40</v>
      </c>
    </row>
    <row r="72" spans="1:24" x14ac:dyDescent="0.35">
      <c r="A72" t="s">
        <v>61</v>
      </c>
      <c r="B72" t="s">
        <v>62</v>
      </c>
      <c r="C72" t="s">
        <v>63</v>
      </c>
      <c r="D72">
        <v>0.51</v>
      </c>
      <c r="E72">
        <v>-2</v>
      </c>
      <c r="F72" t="s">
        <v>64</v>
      </c>
      <c r="G72">
        <v>332</v>
      </c>
      <c r="H72">
        <v>0.51</v>
      </c>
      <c r="I72">
        <v>5</v>
      </c>
      <c r="J72">
        <v>2</v>
      </c>
      <c r="K72">
        <f t="shared" si="6"/>
        <v>188</v>
      </c>
      <c r="L72">
        <v>684</v>
      </c>
      <c r="M72" t="s">
        <v>332</v>
      </c>
      <c r="N72" t="s">
        <v>335</v>
      </c>
      <c r="O72" s="1">
        <f t="shared" si="7"/>
        <v>352</v>
      </c>
      <c r="P72">
        <f>AVERAGE(Excel_jumia[Final Cleaned Price])</f>
        <v>1202.7777777777778</v>
      </c>
      <c r="Q72">
        <f>AVERAGE(Excel_jumia[Old Price Cleaned])</f>
        <v>1829.7685185185185</v>
      </c>
      <c r="R72">
        <f>AVERAGE(Excel_jumia[Discount Amount])</f>
        <v>621.2385321100918</v>
      </c>
      <c r="S72">
        <f>AVERAGE(Excel_jumia[[Ratings Cleaned ]])</f>
        <v>3.8894736842105266</v>
      </c>
      <c r="T72">
        <f>MAX(Excel_jumia[Final Cleaned Price])</f>
        <v>3750</v>
      </c>
      <c r="U72">
        <f>MIN(Excel_jumia[Final Cleaned Price])</f>
        <v>38</v>
      </c>
      <c r="V72" t="str">
        <f>_xlfn.XLOOKUP(MAX(Excel_jumia[Final Cleaned Price]), Excel_jumia[Final Cleaned Price], Excel_jumia[Product])</f>
        <v>32PCS Portable Cordless Drill Set With Cyclic Battery Drive -26 Variable Speed</v>
      </c>
      <c r="W72" t="str">
        <f>_xlfn.XLOOKUP(MIN(Excel_jumia[Final Cleaned Price]), Excel_jumia[Final Cleaned Price], Excel_jumia[Product])</f>
        <v>3PCS Single Head Knitting Crochet Sweater Needle Set</v>
      </c>
      <c r="X72" s="9">
        <f t="shared" si="8"/>
        <v>39</v>
      </c>
    </row>
    <row r="73" spans="1:24" x14ac:dyDescent="0.35">
      <c r="A73" t="s">
        <v>207</v>
      </c>
      <c r="B73" t="s">
        <v>208</v>
      </c>
      <c r="C73" t="s">
        <v>209</v>
      </c>
      <c r="D73">
        <v>0.22</v>
      </c>
      <c r="E73">
        <v>-16</v>
      </c>
      <c r="F73" t="s">
        <v>210</v>
      </c>
      <c r="G73">
        <v>1220</v>
      </c>
      <c r="H73">
        <v>0.22</v>
      </c>
      <c r="I73">
        <v>2.9</v>
      </c>
      <c r="J73">
        <v>16</v>
      </c>
      <c r="K73">
        <f t="shared" si="6"/>
        <v>186</v>
      </c>
      <c r="L73">
        <v>1555</v>
      </c>
      <c r="M73" t="s">
        <v>337</v>
      </c>
      <c r="N73" t="s">
        <v>333</v>
      </c>
      <c r="O73" s="1">
        <f t="shared" si="7"/>
        <v>335</v>
      </c>
      <c r="P73">
        <f>AVERAGE(Excel_jumia[Final Cleaned Price])</f>
        <v>1202.7777777777778</v>
      </c>
      <c r="Q73">
        <f>AVERAGE(Excel_jumia[Old Price Cleaned])</f>
        <v>1829.7685185185185</v>
      </c>
      <c r="R73">
        <f>AVERAGE(Excel_jumia[Discount Amount])</f>
        <v>621.2385321100918</v>
      </c>
      <c r="S73">
        <f>AVERAGE(Excel_jumia[[Ratings Cleaned ]])</f>
        <v>3.8894736842105266</v>
      </c>
      <c r="T73">
        <f>MAX(Excel_jumia[Final Cleaned Price])</f>
        <v>3750</v>
      </c>
      <c r="U73">
        <f>MIN(Excel_jumia[Final Cleaned Price])</f>
        <v>38</v>
      </c>
      <c r="V73" t="str">
        <f>_xlfn.XLOOKUP(MAX(Excel_jumia[Final Cleaned Price]), Excel_jumia[Final Cleaned Price], Excel_jumia[Product])</f>
        <v>32PCS Portable Cordless Drill Set With Cyclic Battery Drive -26 Variable Speed</v>
      </c>
      <c r="W73" t="str">
        <f>_xlfn.XLOOKUP(MIN(Excel_jumia[Final Cleaned Price]), Excel_jumia[Final Cleaned Price], Excel_jumia[Product])</f>
        <v>3PCS Single Head Knitting Crochet Sweater Needle Set</v>
      </c>
      <c r="X73" s="9">
        <f t="shared" si="8"/>
        <v>38</v>
      </c>
    </row>
    <row r="74" spans="1:24" x14ac:dyDescent="0.35">
      <c r="A74" t="s">
        <v>187</v>
      </c>
      <c r="B74" t="s">
        <v>188</v>
      </c>
      <c r="C74" t="s">
        <v>189</v>
      </c>
      <c r="D74">
        <v>0.13</v>
      </c>
      <c r="E74">
        <v>-6</v>
      </c>
      <c r="F74" t="s">
        <v>190</v>
      </c>
      <c r="G74">
        <v>2170</v>
      </c>
      <c r="H74">
        <v>0.13</v>
      </c>
      <c r="I74">
        <v>2.5</v>
      </c>
      <c r="J74">
        <v>6</v>
      </c>
      <c r="K74">
        <f t="shared" si="6"/>
        <v>170</v>
      </c>
      <c r="L74">
        <v>2500</v>
      </c>
      <c r="M74" t="s">
        <v>337</v>
      </c>
      <c r="N74" t="s">
        <v>336</v>
      </c>
      <c r="O74" s="1">
        <f t="shared" si="7"/>
        <v>330</v>
      </c>
      <c r="P74">
        <f>AVERAGE(Excel_jumia[Final Cleaned Price])</f>
        <v>1202.7777777777778</v>
      </c>
      <c r="Q74">
        <f>AVERAGE(Excel_jumia[Old Price Cleaned])</f>
        <v>1829.7685185185185</v>
      </c>
      <c r="R74">
        <f>AVERAGE(Excel_jumia[Discount Amount])</f>
        <v>621.2385321100918</v>
      </c>
      <c r="S74">
        <f>AVERAGE(Excel_jumia[[Ratings Cleaned ]])</f>
        <v>3.8894736842105266</v>
      </c>
      <c r="T74">
        <f>MAX(Excel_jumia[Final Cleaned Price])</f>
        <v>3750</v>
      </c>
      <c r="U74">
        <f>MIN(Excel_jumia[Final Cleaned Price])</f>
        <v>38</v>
      </c>
      <c r="V74" t="str">
        <f>_xlfn.XLOOKUP(MAX(Excel_jumia[Final Cleaned Price]), Excel_jumia[Final Cleaned Price], Excel_jumia[Product])</f>
        <v>32PCS Portable Cordless Drill Set With Cyclic Battery Drive -26 Variable Speed</v>
      </c>
      <c r="W74" t="str">
        <f>_xlfn.XLOOKUP(MIN(Excel_jumia[Final Cleaned Price]), Excel_jumia[Final Cleaned Price], Excel_jumia[Product])</f>
        <v>3PCS Single Head Knitting Crochet Sweater Needle Set</v>
      </c>
      <c r="X74" s="9">
        <f t="shared" si="8"/>
        <v>37</v>
      </c>
    </row>
    <row r="75" spans="1:24" x14ac:dyDescent="0.35">
      <c r="A75" t="s">
        <v>220</v>
      </c>
      <c r="B75" t="s">
        <v>111</v>
      </c>
      <c r="C75" t="s">
        <v>221</v>
      </c>
      <c r="D75">
        <v>0.45</v>
      </c>
      <c r="E75">
        <v>-17</v>
      </c>
      <c r="F75" t="s">
        <v>222</v>
      </c>
      <c r="G75">
        <v>382</v>
      </c>
      <c r="H75">
        <v>0.45</v>
      </c>
      <c r="I75">
        <v>2.6</v>
      </c>
      <c r="J75">
        <v>17</v>
      </c>
      <c r="K75">
        <f t="shared" si="6"/>
        <v>164</v>
      </c>
      <c r="L75">
        <v>700</v>
      </c>
      <c r="M75" t="s">
        <v>337</v>
      </c>
      <c r="N75" t="s">
        <v>335</v>
      </c>
      <c r="O75" s="1">
        <f t="shared" si="7"/>
        <v>318</v>
      </c>
      <c r="P75">
        <f>AVERAGE(Excel_jumia[Final Cleaned Price])</f>
        <v>1202.7777777777778</v>
      </c>
      <c r="Q75">
        <f>AVERAGE(Excel_jumia[Old Price Cleaned])</f>
        <v>1829.7685185185185</v>
      </c>
      <c r="R75">
        <f>AVERAGE(Excel_jumia[Discount Amount])</f>
        <v>621.2385321100918</v>
      </c>
      <c r="S75">
        <f>AVERAGE(Excel_jumia[[Ratings Cleaned ]])</f>
        <v>3.8894736842105266</v>
      </c>
      <c r="T75">
        <f>MAX(Excel_jumia[Final Cleaned Price])</f>
        <v>3750</v>
      </c>
      <c r="U75">
        <f>MIN(Excel_jumia[Final Cleaned Price])</f>
        <v>38</v>
      </c>
      <c r="V75" t="str">
        <f>_xlfn.XLOOKUP(MAX(Excel_jumia[Final Cleaned Price]), Excel_jumia[Final Cleaned Price], Excel_jumia[Product])</f>
        <v>32PCS Portable Cordless Drill Set With Cyclic Battery Drive -26 Variable Speed</v>
      </c>
      <c r="W75" t="str">
        <f>_xlfn.XLOOKUP(MIN(Excel_jumia[Final Cleaned Price]), Excel_jumia[Final Cleaned Price], Excel_jumia[Product])</f>
        <v>3PCS Single Head Knitting Crochet Sweater Needle Set</v>
      </c>
      <c r="X75" s="9">
        <f t="shared" si="8"/>
        <v>36</v>
      </c>
    </row>
    <row r="76" spans="1:24" x14ac:dyDescent="0.35">
      <c r="A76" t="s">
        <v>260</v>
      </c>
      <c r="B76" t="s">
        <v>261</v>
      </c>
      <c r="C76" t="s">
        <v>97</v>
      </c>
      <c r="D76">
        <v>0.49</v>
      </c>
      <c r="E76">
        <v>-1</v>
      </c>
      <c r="F76" t="s">
        <v>33</v>
      </c>
      <c r="G76">
        <v>330</v>
      </c>
      <c r="H76">
        <v>0.49</v>
      </c>
      <c r="I76">
        <v>4</v>
      </c>
      <c r="J76">
        <v>1</v>
      </c>
      <c r="K76">
        <f t="shared" si="6"/>
        <v>147</v>
      </c>
      <c r="L76">
        <v>647</v>
      </c>
      <c r="M76" t="s">
        <v>334</v>
      </c>
      <c r="N76" t="s">
        <v>335</v>
      </c>
      <c r="O76" s="1">
        <f t="shared" si="7"/>
        <v>317</v>
      </c>
      <c r="P76">
        <f>AVERAGE(Excel_jumia[Final Cleaned Price])</f>
        <v>1202.7777777777778</v>
      </c>
      <c r="Q76">
        <f>AVERAGE(Excel_jumia[Old Price Cleaned])</f>
        <v>1829.7685185185185</v>
      </c>
      <c r="R76">
        <f>AVERAGE(Excel_jumia[Discount Amount])</f>
        <v>621.2385321100918</v>
      </c>
      <c r="S76">
        <f>AVERAGE(Excel_jumia[[Ratings Cleaned ]])</f>
        <v>3.8894736842105266</v>
      </c>
      <c r="T76">
        <f>MAX(Excel_jumia[Final Cleaned Price])</f>
        <v>3750</v>
      </c>
      <c r="U76">
        <f>MIN(Excel_jumia[Final Cleaned Price])</f>
        <v>38</v>
      </c>
      <c r="V76" t="str">
        <f>_xlfn.XLOOKUP(MAX(Excel_jumia[Final Cleaned Price]), Excel_jumia[Final Cleaned Price], Excel_jumia[Product])</f>
        <v>32PCS Portable Cordless Drill Set With Cyclic Battery Drive -26 Variable Speed</v>
      </c>
      <c r="W76" t="str">
        <f>_xlfn.XLOOKUP(MIN(Excel_jumia[Final Cleaned Price]), Excel_jumia[Final Cleaned Price], Excel_jumia[Product])</f>
        <v>3PCS Single Head Knitting Crochet Sweater Needle Set</v>
      </c>
      <c r="X76" s="9">
        <f t="shared" si="8"/>
        <v>35</v>
      </c>
    </row>
    <row r="77" spans="1:24" x14ac:dyDescent="0.35">
      <c r="A77" t="s">
        <v>161</v>
      </c>
      <c r="B77" t="s">
        <v>162</v>
      </c>
      <c r="C77" t="s">
        <v>163</v>
      </c>
      <c r="D77">
        <v>0.61</v>
      </c>
      <c r="F77" t="s">
        <v>83</v>
      </c>
      <c r="G77">
        <v>199</v>
      </c>
      <c r="H77">
        <v>0.61</v>
      </c>
      <c r="K77">
        <f t="shared" si="6"/>
        <v>146</v>
      </c>
      <c r="L77">
        <v>504</v>
      </c>
      <c r="N77" t="s">
        <v>335</v>
      </c>
      <c r="O77" s="1">
        <f t="shared" si="7"/>
        <v>305</v>
      </c>
      <c r="P77">
        <f>AVERAGE(Excel_jumia[Final Cleaned Price])</f>
        <v>1202.7777777777778</v>
      </c>
      <c r="Q77">
        <f>AVERAGE(Excel_jumia[Old Price Cleaned])</f>
        <v>1829.7685185185185</v>
      </c>
      <c r="R77">
        <f>AVERAGE(Excel_jumia[Discount Amount])</f>
        <v>621.2385321100918</v>
      </c>
      <c r="S77">
        <f>AVERAGE(Excel_jumia[[Ratings Cleaned ]])</f>
        <v>3.8894736842105266</v>
      </c>
      <c r="T77">
        <f>MAX(Excel_jumia[Final Cleaned Price])</f>
        <v>3750</v>
      </c>
      <c r="U77">
        <f>MIN(Excel_jumia[Final Cleaned Price])</f>
        <v>38</v>
      </c>
      <c r="V77" t="str">
        <f>_xlfn.XLOOKUP(MAX(Excel_jumia[Final Cleaned Price]), Excel_jumia[Final Cleaned Price], Excel_jumia[Product])</f>
        <v>32PCS Portable Cordless Drill Set With Cyclic Battery Drive -26 Variable Speed</v>
      </c>
      <c r="W77" t="str">
        <f>_xlfn.XLOOKUP(MIN(Excel_jumia[Final Cleaned Price]), Excel_jumia[Final Cleaned Price], Excel_jumia[Product])</f>
        <v>3PCS Single Head Knitting Crochet Sweater Needle Set</v>
      </c>
      <c r="X77" s="9">
        <f t="shared" si="8"/>
        <v>34</v>
      </c>
    </row>
    <row r="78" spans="1:24" x14ac:dyDescent="0.35">
      <c r="A78" t="s">
        <v>164</v>
      </c>
      <c r="B78" t="s">
        <v>165</v>
      </c>
      <c r="C78" t="s">
        <v>166</v>
      </c>
      <c r="D78">
        <v>0.5</v>
      </c>
      <c r="F78" t="s">
        <v>83</v>
      </c>
      <c r="G78">
        <v>299</v>
      </c>
      <c r="H78">
        <v>0.5</v>
      </c>
      <c r="K78">
        <f t="shared" si="6"/>
        <v>146</v>
      </c>
      <c r="L78">
        <v>600</v>
      </c>
      <c r="N78" t="s">
        <v>335</v>
      </c>
      <c r="O78" s="1">
        <f t="shared" si="7"/>
        <v>301</v>
      </c>
      <c r="P78">
        <f>AVERAGE(Excel_jumia[Final Cleaned Price])</f>
        <v>1202.7777777777778</v>
      </c>
      <c r="Q78">
        <f>AVERAGE(Excel_jumia[Old Price Cleaned])</f>
        <v>1829.7685185185185</v>
      </c>
      <c r="R78">
        <f>AVERAGE(Excel_jumia[Discount Amount])</f>
        <v>621.2385321100918</v>
      </c>
      <c r="S78">
        <f>AVERAGE(Excel_jumia[[Ratings Cleaned ]])</f>
        <v>3.8894736842105266</v>
      </c>
      <c r="T78">
        <f>MAX(Excel_jumia[Final Cleaned Price])</f>
        <v>3750</v>
      </c>
      <c r="U78">
        <f>MIN(Excel_jumia[Final Cleaned Price])</f>
        <v>38</v>
      </c>
      <c r="V78" t="str">
        <f>_xlfn.XLOOKUP(MAX(Excel_jumia[Final Cleaned Price]), Excel_jumia[Final Cleaned Price], Excel_jumia[Product])</f>
        <v>32PCS Portable Cordless Drill Set With Cyclic Battery Drive -26 Variable Speed</v>
      </c>
      <c r="W78" t="str">
        <f>_xlfn.XLOOKUP(MIN(Excel_jumia[Final Cleaned Price]), Excel_jumia[Final Cleaned Price], Excel_jumia[Product])</f>
        <v>3PCS Single Head Knitting Crochet Sweater Needle Set</v>
      </c>
      <c r="X78" s="9">
        <f t="shared" si="8"/>
        <v>33</v>
      </c>
    </row>
    <row r="79" spans="1:24" x14ac:dyDescent="0.35">
      <c r="A79" t="s">
        <v>30</v>
      </c>
      <c r="B79" t="s">
        <v>31</v>
      </c>
      <c r="C79" t="s">
        <v>32</v>
      </c>
      <c r="D79">
        <v>0.09</v>
      </c>
      <c r="E79">
        <v>-15</v>
      </c>
      <c r="F79" t="s">
        <v>33</v>
      </c>
      <c r="G79">
        <v>2999</v>
      </c>
      <c r="H79">
        <v>0.09</v>
      </c>
      <c r="I79">
        <v>4</v>
      </c>
      <c r="J79">
        <v>15</v>
      </c>
      <c r="K79">
        <f t="shared" si="6"/>
        <v>146</v>
      </c>
      <c r="L79">
        <v>3290</v>
      </c>
      <c r="M79" t="s">
        <v>334</v>
      </c>
      <c r="N79" t="s">
        <v>336</v>
      </c>
      <c r="O79" s="1">
        <f t="shared" si="7"/>
        <v>291</v>
      </c>
      <c r="P79">
        <f>AVERAGE(Excel_jumia[Final Cleaned Price])</f>
        <v>1202.7777777777778</v>
      </c>
      <c r="Q79">
        <f>AVERAGE(Excel_jumia[Old Price Cleaned])</f>
        <v>1829.7685185185185</v>
      </c>
      <c r="R79">
        <f>AVERAGE(Excel_jumia[Discount Amount])</f>
        <v>621.2385321100918</v>
      </c>
      <c r="S79">
        <f>AVERAGE(Excel_jumia[[Ratings Cleaned ]])</f>
        <v>3.8894736842105266</v>
      </c>
      <c r="T79">
        <f>MAX(Excel_jumia[Final Cleaned Price])</f>
        <v>3750</v>
      </c>
      <c r="U79">
        <f>MIN(Excel_jumia[Final Cleaned Price])</f>
        <v>38</v>
      </c>
      <c r="V79" t="str">
        <f>_xlfn.XLOOKUP(MAX(Excel_jumia[Final Cleaned Price]), Excel_jumia[Final Cleaned Price], Excel_jumia[Product])</f>
        <v>32PCS Portable Cordless Drill Set With Cyclic Battery Drive -26 Variable Speed</v>
      </c>
      <c r="W79" t="str">
        <f>_xlfn.XLOOKUP(MIN(Excel_jumia[Final Cleaned Price]), Excel_jumia[Final Cleaned Price], Excel_jumia[Product])</f>
        <v>3PCS Single Head Knitting Crochet Sweater Needle Set</v>
      </c>
      <c r="X79" s="9">
        <f t="shared" si="8"/>
        <v>32</v>
      </c>
    </row>
    <row r="80" spans="1:24" x14ac:dyDescent="0.35">
      <c r="A80" t="s">
        <v>129</v>
      </c>
      <c r="B80" t="s">
        <v>130</v>
      </c>
      <c r="C80" t="s">
        <v>131</v>
      </c>
      <c r="D80">
        <v>0.41</v>
      </c>
      <c r="E80">
        <v>-36</v>
      </c>
      <c r="F80" t="s">
        <v>94</v>
      </c>
      <c r="G80">
        <v>389</v>
      </c>
      <c r="H80">
        <v>0.41</v>
      </c>
      <c r="I80">
        <v>4.3</v>
      </c>
      <c r="J80">
        <v>36</v>
      </c>
      <c r="K80">
        <f t="shared" si="6"/>
        <v>131</v>
      </c>
      <c r="L80">
        <v>656</v>
      </c>
      <c r="M80" t="s">
        <v>334</v>
      </c>
      <c r="N80" t="s">
        <v>335</v>
      </c>
      <c r="O80" s="1">
        <f t="shared" si="7"/>
        <v>267</v>
      </c>
      <c r="P80">
        <f>AVERAGE(Excel_jumia[Final Cleaned Price])</f>
        <v>1202.7777777777778</v>
      </c>
      <c r="Q80">
        <f>AVERAGE(Excel_jumia[Old Price Cleaned])</f>
        <v>1829.7685185185185</v>
      </c>
      <c r="R80">
        <f>AVERAGE(Excel_jumia[Discount Amount])</f>
        <v>621.2385321100918</v>
      </c>
      <c r="S80">
        <f>AVERAGE(Excel_jumia[[Ratings Cleaned ]])</f>
        <v>3.8894736842105266</v>
      </c>
      <c r="T80">
        <f>MAX(Excel_jumia[Final Cleaned Price])</f>
        <v>3750</v>
      </c>
      <c r="U80">
        <f>MIN(Excel_jumia[Final Cleaned Price])</f>
        <v>38</v>
      </c>
      <c r="V80" t="str">
        <f>_xlfn.XLOOKUP(MAX(Excel_jumia[Final Cleaned Price]), Excel_jumia[Final Cleaned Price], Excel_jumia[Product])</f>
        <v>32PCS Portable Cordless Drill Set With Cyclic Battery Drive -26 Variable Speed</v>
      </c>
      <c r="W80" t="str">
        <f>_xlfn.XLOOKUP(MIN(Excel_jumia[Final Cleaned Price]), Excel_jumia[Final Cleaned Price], Excel_jumia[Product])</f>
        <v>3PCS Single Head Knitting Crochet Sweater Needle Set</v>
      </c>
      <c r="X80" s="9">
        <f t="shared" si="8"/>
        <v>31</v>
      </c>
    </row>
    <row r="81" spans="1:24" x14ac:dyDescent="0.35">
      <c r="A81" t="s">
        <v>264</v>
      </c>
      <c r="B81" t="s">
        <v>265</v>
      </c>
      <c r="C81" t="s">
        <v>266</v>
      </c>
      <c r="D81">
        <v>0.49</v>
      </c>
      <c r="F81" t="s">
        <v>83</v>
      </c>
      <c r="G81">
        <v>274</v>
      </c>
      <c r="H81">
        <v>0.49</v>
      </c>
      <c r="K81">
        <f t="shared" si="6"/>
        <v>95</v>
      </c>
      <c r="L81">
        <v>537</v>
      </c>
      <c r="N81" t="s">
        <v>335</v>
      </c>
      <c r="O81" s="1">
        <f t="shared" si="7"/>
        <v>263</v>
      </c>
      <c r="P81">
        <f>AVERAGE(Excel_jumia[Final Cleaned Price])</f>
        <v>1202.7777777777778</v>
      </c>
      <c r="Q81">
        <f>AVERAGE(Excel_jumia[Old Price Cleaned])</f>
        <v>1829.7685185185185</v>
      </c>
      <c r="R81">
        <f>AVERAGE(Excel_jumia[Discount Amount])</f>
        <v>621.2385321100918</v>
      </c>
      <c r="S81">
        <f>AVERAGE(Excel_jumia[[Ratings Cleaned ]])</f>
        <v>3.8894736842105266</v>
      </c>
      <c r="T81">
        <f>MAX(Excel_jumia[Final Cleaned Price])</f>
        <v>3750</v>
      </c>
      <c r="U81">
        <f>MIN(Excel_jumia[Final Cleaned Price])</f>
        <v>38</v>
      </c>
      <c r="V81" t="str">
        <f>_xlfn.XLOOKUP(MAX(Excel_jumia[Final Cleaned Price]), Excel_jumia[Final Cleaned Price], Excel_jumia[Product])</f>
        <v>32PCS Portable Cordless Drill Set With Cyclic Battery Drive -26 Variable Speed</v>
      </c>
      <c r="W81" t="str">
        <f>_xlfn.XLOOKUP(MIN(Excel_jumia[Final Cleaned Price]), Excel_jumia[Final Cleaned Price], Excel_jumia[Product])</f>
        <v>3PCS Single Head Knitting Crochet Sweater Needle Set</v>
      </c>
      <c r="X81" s="9">
        <f t="shared" si="8"/>
        <v>30</v>
      </c>
    </row>
    <row r="82" spans="1:24" x14ac:dyDescent="0.35">
      <c r="A82" t="s">
        <v>226</v>
      </c>
      <c r="B82" t="s">
        <v>227</v>
      </c>
      <c r="C82" t="s">
        <v>228</v>
      </c>
      <c r="D82">
        <v>0.43</v>
      </c>
      <c r="E82">
        <v>-6</v>
      </c>
      <c r="F82" t="s">
        <v>216</v>
      </c>
      <c r="G82">
        <v>345</v>
      </c>
      <c r="H82">
        <v>0.43</v>
      </c>
      <c r="I82">
        <v>2.2999999999999998</v>
      </c>
      <c r="J82">
        <v>6</v>
      </c>
      <c r="K82">
        <f t="shared" si="6"/>
        <v>95</v>
      </c>
      <c r="L82">
        <v>602</v>
      </c>
      <c r="M82" t="s">
        <v>337</v>
      </c>
      <c r="N82" t="s">
        <v>335</v>
      </c>
      <c r="O82" s="1">
        <f t="shared" si="7"/>
        <v>257</v>
      </c>
      <c r="P82">
        <f>AVERAGE(Excel_jumia[Final Cleaned Price])</f>
        <v>1202.7777777777778</v>
      </c>
      <c r="Q82">
        <f>AVERAGE(Excel_jumia[Old Price Cleaned])</f>
        <v>1829.7685185185185</v>
      </c>
      <c r="R82">
        <f>AVERAGE(Excel_jumia[Discount Amount])</f>
        <v>621.2385321100918</v>
      </c>
      <c r="S82">
        <f>AVERAGE(Excel_jumia[[Ratings Cleaned ]])</f>
        <v>3.8894736842105266</v>
      </c>
      <c r="T82">
        <f>MAX(Excel_jumia[Final Cleaned Price])</f>
        <v>3750</v>
      </c>
      <c r="U82">
        <f>MIN(Excel_jumia[Final Cleaned Price])</f>
        <v>38</v>
      </c>
      <c r="V82" t="str">
        <f>_xlfn.XLOOKUP(MAX(Excel_jumia[Final Cleaned Price]), Excel_jumia[Final Cleaned Price], Excel_jumia[Product])</f>
        <v>32PCS Portable Cordless Drill Set With Cyclic Battery Drive -26 Variable Speed</v>
      </c>
      <c r="W82" t="str">
        <f>_xlfn.XLOOKUP(MIN(Excel_jumia[Final Cleaned Price]), Excel_jumia[Final Cleaned Price], Excel_jumia[Product])</f>
        <v>3PCS Single Head Knitting Crochet Sweater Needle Set</v>
      </c>
      <c r="X82" s="9">
        <f t="shared" si="8"/>
        <v>29</v>
      </c>
    </row>
    <row r="83" spans="1:24" x14ac:dyDescent="0.35">
      <c r="A83" t="s">
        <v>141</v>
      </c>
      <c r="B83" t="s">
        <v>142</v>
      </c>
      <c r="C83" t="s">
        <v>143</v>
      </c>
      <c r="D83">
        <v>0.5</v>
      </c>
      <c r="F83" t="s">
        <v>83</v>
      </c>
      <c r="G83">
        <v>238</v>
      </c>
      <c r="H83">
        <v>0.5</v>
      </c>
      <c r="K83">
        <f t="shared" si="6"/>
        <v>89</v>
      </c>
      <c r="L83">
        <v>476</v>
      </c>
      <c r="N83" t="s">
        <v>335</v>
      </c>
      <c r="O83" s="1">
        <f t="shared" si="7"/>
        <v>238</v>
      </c>
      <c r="P83">
        <f>AVERAGE(Excel_jumia[Final Cleaned Price])</f>
        <v>1202.7777777777778</v>
      </c>
      <c r="Q83">
        <f>AVERAGE(Excel_jumia[Old Price Cleaned])</f>
        <v>1829.7685185185185</v>
      </c>
      <c r="R83">
        <f>AVERAGE(Excel_jumia[Discount Amount])</f>
        <v>621.2385321100918</v>
      </c>
      <c r="S83">
        <f>AVERAGE(Excel_jumia[[Ratings Cleaned ]])</f>
        <v>3.8894736842105266</v>
      </c>
      <c r="T83">
        <f>MAX(Excel_jumia[Final Cleaned Price])</f>
        <v>3750</v>
      </c>
      <c r="U83">
        <f>MIN(Excel_jumia[Final Cleaned Price])</f>
        <v>38</v>
      </c>
      <c r="V83" t="str">
        <f>_xlfn.XLOOKUP(MAX(Excel_jumia[Final Cleaned Price]), Excel_jumia[Final Cleaned Price], Excel_jumia[Product])</f>
        <v>32PCS Portable Cordless Drill Set With Cyclic Battery Drive -26 Variable Speed</v>
      </c>
      <c r="W83" t="str">
        <f>_xlfn.XLOOKUP(MIN(Excel_jumia[Final Cleaned Price]), Excel_jumia[Final Cleaned Price], Excel_jumia[Product])</f>
        <v>3PCS Single Head Knitting Crochet Sweater Needle Set</v>
      </c>
      <c r="X83" s="9">
        <f t="shared" si="8"/>
        <v>28</v>
      </c>
    </row>
    <row r="84" spans="1:24" x14ac:dyDescent="0.35">
      <c r="A84" t="s">
        <v>289</v>
      </c>
      <c r="B84" t="s">
        <v>290</v>
      </c>
      <c r="C84" t="s">
        <v>291</v>
      </c>
      <c r="D84">
        <v>0.49</v>
      </c>
      <c r="F84" t="s">
        <v>83</v>
      </c>
      <c r="G84">
        <v>248</v>
      </c>
      <c r="H84">
        <v>0.49</v>
      </c>
      <c r="K84">
        <f t="shared" si="6"/>
        <v>89</v>
      </c>
      <c r="L84">
        <v>486</v>
      </c>
      <c r="N84" t="s">
        <v>335</v>
      </c>
      <c r="O84" s="1">
        <f t="shared" si="7"/>
        <v>238</v>
      </c>
      <c r="P84">
        <f>AVERAGE(Excel_jumia[Final Cleaned Price])</f>
        <v>1202.7777777777778</v>
      </c>
      <c r="Q84">
        <f>AVERAGE(Excel_jumia[Old Price Cleaned])</f>
        <v>1829.7685185185185</v>
      </c>
      <c r="R84">
        <f>AVERAGE(Excel_jumia[Discount Amount])</f>
        <v>621.2385321100918</v>
      </c>
      <c r="S84">
        <f>AVERAGE(Excel_jumia[[Ratings Cleaned ]])</f>
        <v>3.8894736842105266</v>
      </c>
      <c r="T84">
        <f>MAX(Excel_jumia[Final Cleaned Price])</f>
        <v>3750</v>
      </c>
      <c r="U84">
        <f>MIN(Excel_jumia[Final Cleaned Price])</f>
        <v>38</v>
      </c>
      <c r="V84" t="str">
        <f>_xlfn.XLOOKUP(MAX(Excel_jumia[Final Cleaned Price]), Excel_jumia[Final Cleaned Price], Excel_jumia[Product])</f>
        <v>32PCS Portable Cordless Drill Set With Cyclic Battery Drive -26 Variable Speed</v>
      </c>
      <c r="W84" t="str">
        <f>_xlfn.XLOOKUP(MIN(Excel_jumia[Final Cleaned Price]), Excel_jumia[Final Cleaned Price], Excel_jumia[Product])</f>
        <v>3PCS Single Head Knitting Crochet Sweater Needle Set</v>
      </c>
      <c r="X84" s="9">
        <f t="shared" si="8"/>
        <v>27</v>
      </c>
    </row>
    <row r="85" spans="1:24" x14ac:dyDescent="0.35">
      <c r="A85" t="s">
        <v>262</v>
      </c>
      <c r="B85" t="s">
        <v>263</v>
      </c>
      <c r="C85" t="s">
        <v>169</v>
      </c>
      <c r="D85">
        <v>0.14000000000000001</v>
      </c>
      <c r="F85" t="s">
        <v>83</v>
      </c>
      <c r="G85">
        <v>1466</v>
      </c>
      <c r="H85">
        <v>0.14000000000000001</v>
      </c>
      <c r="K85">
        <f t="shared" si="6"/>
        <v>89</v>
      </c>
      <c r="L85">
        <v>1699</v>
      </c>
      <c r="N85" t="s">
        <v>336</v>
      </c>
      <c r="O85" s="1">
        <f t="shared" si="7"/>
        <v>233</v>
      </c>
      <c r="P85">
        <f>AVERAGE(Excel_jumia[Final Cleaned Price])</f>
        <v>1202.7777777777778</v>
      </c>
      <c r="Q85">
        <f>AVERAGE(Excel_jumia[Old Price Cleaned])</f>
        <v>1829.7685185185185</v>
      </c>
      <c r="R85">
        <f>AVERAGE(Excel_jumia[Discount Amount])</f>
        <v>621.2385321100918</v>
      </c>
      <c r="S85">
        <f>AVERAGE(Excel_jumia[[Ratings Cleaned ]])</f>
        <v>3.8894736842105266</v>
      </c>
      <c r="T85">
        <f>MAX(Excel_jumia[Final Cleaned Price])</f>
        <v>3750</v>
      </c>
      <c r="U85">
        <f>MIN(Excel_jumia[Final Cleaned Price])</f>
        <v>38</v>
      </c>
      <c r="V85" t="str">
        <f>_xlfn.XLOOKUP(MAX(Excel_jumia[Final Cleaned Price]), Excel_jumia[Final Cleaned Price], Excel_jumia[Product])</f>
        <v>32PCS Portable Cordless Drill Set With Cyclic Battery Drive -26 Variable Speed</v>
      </c>
      <c r="W85" t="str">
        <f>_xlfn.XLOOKUP(MIN(Excel_jumia[Final Cleaned Price]), Excel_jumia[Final Cleaned Price], Excel_jumia[Product])</f>
        <v>3PCS Single Head Knitting Crochet Sweater Needle Set</v>
      </c>
      <c r="X85" s="9">
        <f t="shared" si="8"/>
        <v>26</v>
      </c>
    </row>
    <row r="86" spans="1:24" x14ac:dyDescent="0.35">
      <c r="A86" t="s">
        <v>268</v>
      </c>
      <c r="B86" t="s">
        <v>269</v>
      </c>
      <c r="C86" t="s">
        <v>169</v>
      </c>
      <c r="D86">
        <v>0.14000000000000001</v>
      </c>
      <c r="F86" t="s">
        <v>83</v>
      </c>
      <c r="G86">
        <v>1468</v>
      </c>
      <c r="H86">
        <v>0.14000000000000001</v>
      </c>
      <c r="K86">
        <f t="shared" si="6"/>
        <v>89</v>
      </c>
      <c r="L86">
        <v>1699</v>
      </c>
      <c r="N86" t="s">
        <v>336</v>
      </c>
      <c r="O86" s="1">
        <f t="shared" si="7"/>
        <v>231</v>
      </c>
      <c r="P86">
        <f>AVERAGE(Excel_jumia[Final Cleaned Price])</f>
        <v>1202.7777777777778</v>
      </c>
      <c r="Q86">
        <f>AVERAGE(Excel_jumia[Old Price Cleaned])</f>
        <v>1829.7685185185185</v>
      </c>
      <c r="R86">
        <f>AVERAGE(Excel_jumia[Discount Amount])</f>
        <v>621.2385321100918</v>
      </c>
      <c r="S86">
        <f>AVERAGE(Excel_jumia[[Ratings Cleaned ]])</f>
        <v>3.8894736842105266</v>
      </c>
      <c r="T86">
        <f>MAX(Excel_jumia[Final Cleaned Price])</f>
        <v>3750</v>
      </c>
      <c r="U86">
        <f>MIN(Excel_jumia[Final Cleaned Price])</f>
        <v>38</v>
      </c>
      <c r="V86" t="str">
        <f>_xlfn.XLOOKUP(MAX(Excel_jumia[Final Cleaned Price]), Excel_jumia[Final Cleaned Price], Excel_jumia[Product])</f>
        <v>32PCS Portable Cordless Drill Set With Cyclic Battery Drive -26 Variable Speed</v>
      </c>
      <c r="W86" t="str">
        <f>_xlfn.XLOOKUP(MIN(Excel_jumia[Final Cleaned Price]), Excel_jumia[Final Cleaned Price], Excel_jumia[Product])</f>
        <v>3PCS Single Head Knitting Crochet Sweater Needle Set</v>
      </c>
      <c r="X86" s="9">
        <f t="shared" si="8"/>
        <v>25</v>
      </c>
    </row>
    <row r="87" spans="1:24" x14ac:dyDescent="0.35">
      <c r="A87" t="s">
        <v>95</v>
      </c>
      <c r="B87" t="s">
        <v>96</v>
      </c>
      <c r="C87" t="s">
        <v>97</v>
      </c>
      <c r="D87">
        <v>0.35</v>
      </c>
      <c r="E87">
        <v>-49</v>
      </c>
      <c r="F87" t="s">
        <v>21</v>
      </c>
      <c r="G87">
        <v>420</v>
      </c>
      <c r="H87">
        <v>0.35</v>
      </c>
      <c r="I87">
        <v>4.5999999999999996</v>
      </c>
      <c r="J87">
        <v>49</v>
      </c>
      <c r="K87">
        <f t="shared" si="6"/>
        <v>89</v>
      </c>
      <c r="L87">
        <v>647</v>
      </c>
      <c r="M87" t="s">
        <v>332</v>
      </c>
      <c r="N87" t="s">
        <v>333</v>
      </c>
      <c r="O87" s="1">
        <f t="shared" si="7"/>
        <v>227</v>
      </c>
      <c r="P87">
        <f>AVERAGE(Excel_jumia[Final Cleaned Price])</f>
        <v>1202.7777777777778</v>
      </c>
      <c r="Q87">
        <f>AVERAGE(Excel_jumia[Old Price Cleaned])</f>
        <v>1829.7685185185185</v>
      </c>
      <c r="R87">
        <f>AVERAGE(Excel_jumia[Discount Amount])</f>
        <v>621.2385321100918</v>
      </c>
      <c r="S87">
        <f>AVERAGE(Excel_jumia[[Ratings Cleaned ]])</f>
        <v>3.8894736842105266</v>
      </c>
      <c r="T87">
        <f>MAX(Excel_jumia[Final Cleaned Price])</f>
        <v>3750</v>
      </c>
      <c r="U87">
        <f>MIN(Excel_jumia[Final Cleaned Price])</f>
        <v>38</v>
      </c>
      <c r="V87" t="str">
        <f>_xlfn.XLOOKUP(MAX(Excel_jumia[Final Cleaned Price]), Excel_jumia[Final Cleaned Price], Excel_jumia[Product])</f>
        <v>32PCS Portable Cordless Drill Set With Cyclic Battery Drive -26 Variable Speed</v>
      </c>
      <c r="W87" t="str">
        <f>_xlfn.XLOOKUP(MIN(Excel_jumia[Final Cleaned Price]), Excel_jumia[Final Cleaned Price], Excel_jumia[Product])</f>
        <v>3PCS Single Head Knitting Crochet Sweater Needle Set</v>
      </c>
      <c r="X87" s="9">
        <f t="shared" si="8"/>
        <v>24</v>
      </c>
    </row>
    <row r="88" spans="1:24" x14ac:dyDescent="0.35">
      <c r="A88" t="s">
        <v>246</v>
      </c>
      <c r="B88" t="s">
        <v>247</v>
      </c>
      <c r="C88" t="s">
        <v>248</v>
      </c>
      <c r="D88">
        <v>0.49</v>
      </c>
      <c r="F88" t="s">
        <v>83</v>
      </c>
      <c r="G88">
        <v>230</v>
      </c>
      <c r="H88">
        <v>0.49</v>
      </c>
      <c r="K88">
        <f t="shared" si="6"/>
        <v>40</v>
      </c>
      <c r="L88">
        <v>450</v>
      </c>
      <c r="N88" t="s">
        <v>335</v>
      </c>
      <c r="O88" s="1">
        <f t="shared" si="7"/>
        <v>220</v>
      </c>
      <c r="P88">
        <f>AVERAGE(Excel_jumia[Final Cleaned Price])</f>
        <v>1202.7777777777778</v>
      </c>
      <c r="Q88">
        <f>AVERAGE(Excel_jumia[Old Price Cleaned])</f>
        <v>1829.7685185185185</v>
      </c>
      <c r="R88">
        <f>AVERAGE(Excel_jumia[Discount Amount])</f>
        <v>621.2385321100918</v>
      </c>
      <c r="S88">
        <f>AVERAGE(Excel_jumia[[Ratings Cleaned ]])</f>
        <v>3.8894736842105266</v>
      </c>
      <c r="T88">
        <f>MAX(Excel_jumia[Final Cleaned Price])</f>
        <v>3750</v>
      </c>
      <c r="U88">
        <f>MIN(Excel_jumia[Final Cleaned Price])</f>
        <v>38</v>
      </c>
      <c r="V88" t="str">
        <f>_xlfn.XLOOKUP(MAX(Excel_jumia[Final Cleaned Price]), Excel_jumia[Final Cleaned Price], Excel_jumia[Product])</f>
        <v>32PCS Portable Cordless Drill Set With Cyclic Battery Drive -26 Variable Speed</v>
      </c>
      <c r="W88" t="str">
        <f>_xlfn.XLOOKUP(MIN(Excel_jumia[Final Cleaned Price]), Excel_jumia[Final Cleaned Price], Excel_jumia[Product])</f>
        <v>3PCS Single Head Knitting Crochet Sweater Needle Set</v>
      </c>
      <c r="X88" s="9">
        <f t="shared" si="8"/>
        <v>23</v>
      </c>
    </row>
    <row r="89" spans="1:24" x14ac:dyDescent="0.35">
      <c r="A89" t="s">
        <v>47</v>
      </c>
      <c r="B89" t="s">
        <v>48</v>
      </c>
      <c r="C89" t="s">
        <v>16</v>
      </c>
      <c r="D89">
        <v>0.2</v>
      </c>
      <c r="E89">
        <v>-12</v>
      </c>
      <c r="F89" t="s">
        <v>17</v>
      </c>
      <c r="G89">
        <v>799</v>
      </c>
      <c r="H89">
        <v>0.2</v>
      </c>
      <c r="I89">
        <v>4.0999999999999996</v>
      </c>
      <c r="J89">
        <v>12</v>
      </c>
      <c r="K89">
        <f t="shared" si="6"/>
        <v>40</v>
      </c>
      <c r="L89">
        <v>999</v>
      </c>
      <c r="M89" t="s">
        <v>334</v>
      </c>
      <c r="N89" t="s">
        <v>333</v>
      </c>
      <c r="O89" s="1">
        <f t="shared" si="7"/>
        <v>200</v>
      </c>
      <c r="P89">
        <f>AVERAGE(Excel_jumia[Final Cleaned Price])</f>
        <v>1202.7777777777778</v>
      </c>
      <c r="Q89">
        <f>AVERAGE(Excel_jumia[Old Price Cleaned])</f>
        <v>1829.7685185185185</v>
      </c>
      <c r="R89">
        <f>AVERAGE(Excel_jumia[Discount Amount])</f>
        <v>621.2385321100918</v>
      </c>
      <c r="S89">
        <f>AVERAGE(Excel_jumia[[Ratings Cleaned ]])</f>
        <v>3.8894736842105266</v>
      </c>
      <c r="T89">
        <f>MAX(Excel_jumia[Final Cleaned Price])</f>
        <v>3750</v>
      </c>
      <c r="U89">
        <f>MIN(Excel_jumia[Final Cleaned Price])</f>
        <v>38</v>
      </c>
      <c r="V89" t="str">
        <f>_xlfn.XLOOKUP(MAX(Excel_jumia[Final Cleaned Price]), Excel_jumia[Final Cleaned Price], Excel_jumia[Product])</f>
        <v>32PCS Portable Cordless Drill Set With Cyclic Battery Drive -26 Variable Speed</v>
      </c>
      <c r="W89" t="str">
        <f>_xlfn.XLOOKUP(MIN(Excel_jumia[Final Cleaned Price]), Excel_jumia[Final Cleaned Price], Excel_jumia[Product])</f>
        <v>3PCS Single Head Knitting Crochet Sweater Needle Set</v>
      </c>
      <c r="X89" s="9">
        <f t="shared" si="8"/>
        <v>22</v>
      </c>
    </row>
    <row r="90" spans="1:24" x14ac:dyDescent="0.35">
      <c r="A90" t="s">
        <v>109</v>
      </c>
      <c r="B90" t="s">
        <v>110</v>
      </c>
      <c r="C90" t="s">
        <v>111</v>
      </c>
      <c r="D90">
        <v>0.52</v>
      </c>
      <c r="E90">
        <v>-9</v>
      </c>
      <c r="F90" t="s">
        <v>94</v>
      </c>
      <c r="G90">
        <v>185</v>
      </c>
      <c r="H90">
        <v>0.52</v>
      </c>
      <c r="I90">
        <v>4.3</v>
      </c>
      <c r="J90">
        <v>9</v>
      </c>
      <c r="K90">
        <f t="shared" si="6"/>
        <v>28</v>
      </c>
      <c r="L90">
        <v>382</v>
      </c>
      <c r="M90" t="s">
        <v>334</v>
      </c>
      <c r="N90" t="s">
        <v>335</v>
      </c>
      <c r="O90" s="1">
        <f t="shared" si="7"/>
        <v>197</v>
      </c>
      <c r="P90">
        <f>AVERAGE(Excel_jumia[Final Cleaned Price])</f>
        <v>1202.7777777777778</v>
      </c>
      <c r="Q90">
        <f>AVERAGE(Excel_jumia[Old Price Cleaned])</f>
        <v>1829.7685185185185</v>
      </c>
      <c r="R90">
        <f>AVERAGE(Excel_jumia[Discount Amount])</f>
        <v>621.2385321100918</v>
      </c>
      <c r="S90">
        <f>AVERAGE(Excel_jumia[[Ratings Cleaned ]])</f>
        <v>3.8894736842105266</v>
      </c>
      <c r="T90">
        <f>MAX(Excel_jumia[Final Cleaned Price])</f>
        <v>3750</v>
      </c>
      <c r="U90">
        <f>MIN(Excel_jumia[Final Cleaned Price])</f>
        <v>38</v>
      </c>
      <c r="V90" t="str">
        <f>_xlfn.XLOOKUP(MAX(Excel_jumia[Final Cleaned Price]), Excel_jumia[Final Cleaned Price], Excel_jumia[Product])</f>
        <v>32PCS Portable Cordless Drill Set With Cyclic Battery Drive -26 Variable Speed</v>
      </c>
      <c r="W90" t="str">
        <f>_xlfn.XLOOKUP(MIN(Excel_jumia[Final Cleaned Price]), Excel_jumia[Final Cleaned Price], Excel_jumia[Product])</f>
        <v>3PCS Single Head Knitting Crochet Sweater Needle Set</v>
      </c>
      <c r="X90" s="9">
        <f t="shared" si="8"/>
        <v>21</v>
      </c>
    </row>
    <row r="91" spans="1:24" x14ac:dyDescent="0.35">
      <c r="A91" t="s">
        <v>127</v>
      </c>
      <c r="B91" t="s">
        <v>128</v>
      </c>
      <c r="C91" t="s">
        <v>67</v>
      </c>
      <c r="D91">
        <v>0.53</v>
      </c>
      <c r="E91">
        <v>-2</v>
      </c>
      <c r="F91" t="s">
        <v>64</v>
      </c>
      <c r="G91">
        <v>171</v>
      </c>
      <c r="H91">
        <v>0.53</v>
      </c>
      <c r="I91">
        <v>5</v>
      </c>
      <c r="J91">
        <v>2</v>
      </c>
      <c r="K91">
        <f t="shared" si="6"/>
        <v>19</v>
      </c>
      <c r="L91">
        <v>360</v>
      </c>
      <c r="M91" t="s">
        <v>332</v>
      </c>
      <c r="N91" t="s">
        <v>335</v>
      </c>
      <c r="O91" s="1">
        <f t="shared" si="7"/>
        <v>189</v>
      </c>
      <c r="P91">
        <f>AVERAGE(Excel_jumia[Final Cleaned Price])</f>
        <v>1202.7777777777778</v>
      </c>
      <c r="Q91">
        <f>AVERAGE(Excel_jumia[Old Price Cleaned])</f>
        <v>1829.7685185185185</v>
      </c>
      <c r="R91">
        <f>AVERAGE(Excel_jumia[Discount Amount])</f>
        <v>621.2385321100918</v>
      </c>
      <c r="S91">
        <f>AVERAGE(Excel_jumia[[Ratings Cleaned ]])</f>
        <v>3.8894736842105266</v>
      </c>
      <c r="T91">
        <f>MAX(Excel_jumia[Final Cleaned Price])</f>
        <v>3750</v>
      </c>
      <c r="U91">
        <f>MIN(Excel_jumia[Final Cleaned Price])</f>
        <v>38</v>
      </c>
      <c r="V91" t="str">
        <f>_xlfn.XLOOKUP(MAX(Excel_jumia[Final Cleaned Price]), Excel_jumia[Final Cleaned Price], Excel_jumia[Product])</f>
        <v>32PCS Portable Cordless Drill Set With Cyclic Battery Drive -26 Variable Speed</v>
      </c>
      <c r="W91" t="str">
        <f>_xlfn.XLOOKUP(MIN(Excel_jumia[Final Cleaned Price]), Excel_jumia[Final Cleaned Price], Excel_jumia[Product])</f>
        <v>3PCS Single Head Knitting Crochet Sweater Needle Set</v>
      </c>
      <c r="X91" s="9">
        <f t="shared" si="8"/>
        <v>20</v>
      </c>
    </row>
    <row r="92" spans="1:24" x14ac:dyDescent="0.35">
      <c r="A92" t="s">
        <v>65</v>
      </c>
      <c r="B92" t="s">
        <v>66</v>
      </c>
      <c r="C92" t="s">
        <v>67</v>
      </c>
      <c r="D92">
        <v>0.46</v>
      </c>
      <c r="E92">
        <v>-2</v>
      </c>
      <c r="F92" t="s">
        <v>64</v>
      </c>
      <c r="G92">
        <v>195</v>
      </c>
      <c r="H92">
        <v>0.46</v>
      </c>
      <c r="I92">
        <v>5</v>
      </c>
      <c r="J92">
        <v>2</v>
      </c>
      <c r="K92">
        <f t="shared" si="6"/>
        <v>17</v>
      </c>
      <c r="L92">
        <v>360</v>
      </c>
      <c r="M92" t="s">
        <v>332</v>
      </c>
      <c r="N92" t="s">
        <v>335</v>
      </c>
      <c r="O92" s="1">
        <f t="shared" si="7"/>
        <v>165</v>
      </c>
      <c r="P92">
        <f>AVERAGE(Excel_jumia[Final Cleaned Price])</f>
        <v>1202.7777777777778</v>
      </c>
      <c r="Q92">
        <f>AVERAGE(Excel_jumia[Old Price Cleaned])</f>
        <v>1829.7685185185185</v>
      </c>
      <c r="R92">
        <f>AVERAGE(Excel_jumia[Discount Amount])</f>
        <v>621.2385321100918</v>
      </c>
      <c r="S92">
        <f>AVERAGE(Excel_jumia[[Ratings Cleaned ]])</f>
        <v>3.8894736842105266</v>
      </c>
      <c r="T92">
        <f>MAX(Excel_jumia[Final Cleaned Price])</f>
        <v>3750</v>
      </c>
      <c r="U92">
        <f>MIN(Excel_jumia[Final Cleaned Price])</f>
        <v>38</v>
      </c>
      <c r="V92" t="str">
        <f>_xlfn.XLOOKUP(MAX(Excel_jumia[Final Cleaned Price]), Excel_jumia[Final Cleaned Price], Excel_jumia[Product])</f>
        <v>32PCS Portable Cordless Drill Set With Cyclic Battery Drive -26 Variable Speed</v>
      </c>
      <c r="W92" t="str">
        <f>_xlfn.XLOOKUP(MIN(Excel_jumia[Final Cleaned Price]), Excel_jumia[Final Cleaned Price], Excel_jumia[Product])</f>
        <v>3PCS Single Head Knitting Crochet Sweater Needle Set</v>
      </c>
      <c r="X92" s="9">
        <f t="shared" si="8"/>
        <v>19</v>
      </c>
    </row>
    <row r="93" spans="1:24" x14ac:dyDescent="0.35">
      <c r="A93" t="s">
        <v>292</v>
      </c>
      <c r="B93" t="s">
        <v>293</v>
      </c>
      <c r="C93" t="s">
        <v>72</v>
      </c>
      <c r="D93">
        <v>0.04</v>
      </c>
      <c r="F93" t="s">
        <v>83</v>
      </c>
      <c r="G93">
        <v>3546</v>
      </c>
      <c r="H93">
        <v>0.04</v>
      </c>
      <c r="K93">
        <f t="shared" si="6"/>
        <v>15</v>
      </c>
      <c r="L93">
        <v>3699</v>
      </c>
      <c r="N93" t="s">
        <v>336</v>
      </c>
      <c r="O93" s="1">
        <f t="shared" si="7"/>
        <v>153</v>
      </c>
      <c r="P93">
        <f>AVERAGE(Excel_jumia[Final Cleaned Price])</f>
        <v>1202.7777777777778</v>
      </c>
      <c r="Q93">
        <f>AVERAGE(Excel_jumia[Old Price Cleaned])</f>
        <v>1829.7685185185185</v>
      </c>
      <c r="R93">
        <f>AVERAGE(Excel_jumia[Discount Amount])</f>
        <v>621.2385321100918</v>
      </c>
      <c r="S93">
        <f>AVERAGE(Excel_jumia[[Ratings Cleaned ]])</f>
        <v>3.8894736842105266</v>
      </c>
      <c r="T93">
        <f>MAX(Excel_jumia[Final Cleaned Price])</f>
        <v>3750</v>
      </c>
      <c r="U93">
        <f>MIN(Excel_jumia[Final Cleaned Price])</f>
        <v>38</v>
      </c>
      <c r="V93" t="str">
        <f>_xlfn.XLOOKUP(MAX(Excel_jumia[Final Cleaned Price]), Excel_jumia[Final Cleaned Price], Excel_jumia[Product])</f>
        <v>32PCS Portable Cordless Drill Set With Cyclic Battery Drive -26 Variable Speed</v>
      </c>
      <c r="W93" t="str">
        <f>_xlfn.XLOOKUP(MIN(Excel_jumia[Final Cleaned Price]), Excel_jumia[Final Cleaned Price], Excel_jumia[Product])</f>
        <v>3PCS Single Head Knitting Crochet Sweater Needle Set</v>
      </c>
      <c r="X93" s="9">
        <f t="shared" si="8"/>
        <v>18</v>
      </c>
    </row>
    <row r="94" spans="1:24" x14ac:dyDescent="0.35">
      <c r="A94" t="s">
        <v>325</v>
      </c>
      <c r="B94" t="s">
        <v>326</v>
      </c>
      <c r="C94" t="s">
        <v>327</v>
      </c>
      <c r="D94">
        <v>0.47</v>
      </c>
      <c r="F94" t="s">
        <v>83</v>
      </c>
      <c r="G94">
        <v>169</v>
      </c>
      <c r="H94">
        <v>0.47</v>
      </c>
      <c r="K94">
        <f t="shared" si="6"/>
        <v>15</v>
      </c>
      <c r="L94">
        <v>320</v>
      </c>
      <c r="N94" t="s">
        <v>335</v>
      </c>
      <c r="O94" s="1">
        <f t="shared" si="7"/>
        <v>151</v>
      </c>
      <c r="P94">
        <f>AVERAGE(Excel_jumia[Final Cleaned Price])</f>
        <v>1202.7777777777778</v>
      </c>
      <c r="Q94">
        <f>AVERAGE(Excel_jumia[Old Price Cleaned])</f>
        <v>1829.7685185185185</v>
      </c>
      <c r="R94">
        <f>AVERAGE(Excel_jumia[Discount Amount])</f>
        <v>621.2385321100918</v>
      </c>
      <c r="S94">
        <f>AVERAGE(Excel_jumia[[Ratings Cleaned ]])</f>
        <v>3.8894736842105266</v>
      </c>
      <c r="T94">
        <f>MAX(Excel_jumia[Final Cleaned Price])</f>
        <v>3750</v>
      </c>
      <c r="U94">
        <f>MIN(Excel_jumia[Final Cleaned Price])</f>
        <v>38</v>
      </c>
      <c r="V94" t="str">
        <f>_xlfn.XLOOKUP(MAX(Excel_jumia[Final Cleaned Price]), Excel_jumia[Final Cleaned Price], Excel_jumia[Product])</f>
        <v>32PCS Portable Cordless Drill Set With Cyclic Battery Drive -26 Variable Speed</v>
      </c>
      <c r="W94" t="str">
        <f>_xlfn.XLOOKUP(MIN(Excel_jumia[Final Cleaned Price]), Excel_jumia[Final Cleaned Price], Excel_jumia[Product])</f>
        <v>3PCS Single Head Knitting Crochet Sweater Needle Set</v>
      </c>
      <c r="X94" s="9">
        <f t="shared" si="8"/>
        <v>17</v>
      </c>
    </row>
    <row r="95" spans="1:24" x14ac:dyDescent="0.35">
      <c r="A95" t="s">
        <v>284</v>
      </c>
      <c r="B95" t="s">
        <v>285</v>
      </c>
      <c r="C95" t="s">
        <v>286</v>
      </c>
      <c r="D95">
        <v>0.08</v>
      </c>
      <c r="F95" t="s">
        <v>83</v>
      </c>
      <c r="G95">
        <v>1526</v>
      </c>
      <c r="H95">
        <v>0.08</v>
      </c>
      <c r="K95">
        <f t="shared" si="6"/>
        <v>15</v>
      </c>
      <c r="L95">
        <v>1660</v>
      </c>
      <c r="N95" t="s">
        <v>336</v>
      </c>
      <c r="O95" s="1">
        <f t="shared" si="7"/>
        <v>134</v>
      </c>
      <c r="P95">
        <f>AVERAGE(Excel_jumia[Final Cleaned Price])</f>
        <v>1202.7777777777778</v>
      </c>
      <c r="Q95">
        <f>AVERAGE(Excel_jumia[Old Price Cleaned])</f>
        <v>1829.7685185185185</v>
      </c>
      <c r="R95">
        <f>AVERAGE(Excel_jumia[Discount Amount])</f>
        <v>621.2385321100918</v>
      </c>
      <c r="S95">
        <f>AVERAGE(Excel_jumia[[Ratings Cleaned ]])</f>
        <v>3.8894736842105266</v>
      </c>
      <c r="T95">
        <f>MAX(Excel_jumia[Final Cleaned Price])</f>
        <v>3750</v>
      </c>
      <c r="U95">
        <f>MIN(Excel_jumia[Final Cleaned Price])</f>
        <v>38</v>
      </c>
      <c r="V95" t="str">
        <f>_xlfn.XLOOKUP(MAX(Excel_jumia[Final Cleaned Price]), Excel_jumia[Final Cleaned Price], Excel_jumia[Product])</f>
        <v>32PCS Portable Cordless Drill Set With Cyclic Battery Drive -26 Variable Speed</v>
      </c>
      <c r="W95" t="str">
        <f>_xlfn.XLOOKUP(MIN(Excel_jumia[Final Cleaned Price]), Excel_jumia[Final Cleaned Price], Excel_jumia[Product])</f>
        <v>3PCS Single Head Knitting Crochet Sweater Needle Set</v>
      </c>
      <c r="X95" s="9">
        <f t="shared" si="8"/>
        <v>16</v>
      </c>
    </row>
    <row r="96" spans="1:24" x14ac:dyDescent="0.35">
      <c r="A96" t="s">
        <v>267</v>
      </c>
      <c r="B96" t="s">
        <v>48</v>
      </c>
      <c r="C96" t="s">
        <v>179</v>
      </c>
      <c r="D96">
        <v>0.11</v>
      </c>
      <c r="F96" t="s">
        <v>83</v>
      </c>
      <c r="G96">
        <v>799</v>
      </c>
      <c r="H96">
        <v>0.11</v>
      </c>
      <c r="K96">
        <f t="shared" si="6"/>
        <v>15</v>
      </c>
      <c r="L96">
        <v>900</v>
      </c>
      <c r="N96" t="s">
        <v>336</v>
      </c>
      <c r="O96" s="1">
        <f t="shared" si="7"/>
        <v>101</v>
      </c>
      <c r="P96">
        <f>AVERAGE(Excel_jumia[Final Cleaned Price])</f>
        <v>1202.7777777777778</v>
      </c>
      <c r="Q96">
        <f>AVERAGE(Excel_jumia[Old Price Cleaned])</f>
        <v>1829.7685185185185</v>
      </c>
      <c r="R96">
        <f>AVERAGE(Excel_jumia[Discount Amount])</f>
        <v>621.2385321100918</v>
      </c>
      <c r="S96">
        <f>AVERAGE(Excel_jumia[[Ratings Cleaned ]])</f>
        <v>3.8894736842105266</v>
      </c>
      <c r="T96">
        <f>MAX(Excel_jumia[Final Cleaned Price])</f>
        <v>3750</v>
      </c>
      <c r="U96">
        <f>MIN(Excel_jumia[Final Cleaned Price])</f>
        <v>38</v>
      </c>
      <c r="V96" t="str">
        <f>_xlfn.XLOOKUP(MAX(Excel_jumia[Final Cleaned Price]), Excel_jumia[Final Cleaned Price], Excel_jumia[Product])</f>
        <v>32PCS Portable Cordless Drill Set With Cyclic Battery Drive -26 Variable Speed</v>
      </c>
      <c r="W96" t="str">
        <f>_xlfn.XLOOKUP(MIN(Excel_jumia[Final Cleaned Price]), Excel_jumia[Final Cleaned Price], Excel_jumia[Product])</f>
        <v>3PCS Single Head Knitting Crochet Sweater Needle Set</v>
      </c>
      <c r="X96" s="9">
        <f t="shared" si="8"/>
        <v>15</v>
      </c>
    </row>
    <row r="97" spans="1:24" x14ac:dyDescent="0.35">
      <c r="A97" t="s">
        <v>278</v>
      </c>
      <c r="B97" t="s">
        <v>279</v>
      </c>
      <c r="C97" t="s">
        <v>280</v>
      </c>
      <c r="D97">
        <v>0.48</v>
      </c>
      <c r="F97" t="s">
        <v>83</v>
      </c>
      <c r="G97">
        <v>105</v>
      </c>
      <c r="H97">
        <v>0.48</v>
      </c>
      <c r="K97">
        <f t="shared" si="6"/>
        <v>15</v>
      </c>
      <c r="L97">
        <v>200</v>
      </c>
      <c r="N97" t="s">
        <v>335</v>
      </c>
      <c r="O97" s="1">
        <f t="shared" si="7"/>
        <v>95</v>
      </c>
      <c r="P97">
        <f>AVERAGE(Excel_jumia[Final Cleaned Price])</f>
        <v>1202.7777777777778</v>
      </c>
      <c r="Q97">
        <f>AVERAGE(Excel_jumia[Old Price Cleaned])</f>
        <v>1829.7685185185185</v>
      </c>
      <c r="R97">
        <f>AVERAGE(Excel_jumia[Discount Amount])</f>
        <v>621.2385321100918</v>
      </c>
      <c r="S97">
        <f>AVERAGE(Excel_jumia[[Ratings Cleaned ]])</f>
        <v>3.8894736842105266</v>
      </c>
      <c r="T97">
        <f>MAX(Excel_jumia[Final Cleaned Price])</f>
        <v>3750</v>
      </c>
      <c r="U97">
        <f>MIN(Excel_jumia[Final Cleaned Price])</f>
        <v>38</v>
      </c>
      <c r="V97" t="str">
        <f>_xlfn.XLOOKUP(MAX(Excel_jumia[Final Cleaned Price]), Excel_jumia[Final Cleaned Price], Excel_jumia[Product])</f>
        <v>32PCS Portable Cordless Drill Set With Cyclic Battery Drive -26 Variable Speed</v>
      </c>
      <c r="W97" t="str">
        <f>_xlfn.XLOOKUP(MIN(Excel_jumia[Final Cleaned Price]), Excel_jumia[Final Cleaned Price], Excel_jumia[Product])</f>
        <v>3PCS Single Head Knitting Crochet Sweater Needle Set</v>
      </c>
      <c r="X97" s="9">
        <f t="shared" si="8"/>
        <v>14</v>
      </c>
    </row>
    <row r="98" spans="1:24" x14ac:dyDescent="0.35">
      <c r="A98" t="s">
        <v>170</v>
      </c>
      <c r="B98" t="s">
        <v>165</v>
      </c>
      <c r="C98" t="s">
        <v>171</v>
      </c>
      <c r="D98">
        <v>0.22</v>
      </c>
      <c r="F98" t="s">
        <v>83</v>
      </c>
      <c r="G98">
        <v>299</v>
      </c>
      <c r="H98">
        <v>0.22</v>
      </c>
      <c r="K98">
        <f t="shared" ref="K98:K129" si="9">SUM(J98:J206)</f>
        <v>15</v>
      </c>
      <c r="L98">
        <v>384</v>
      </c>
      <c r="N98" t="s">
        <v>333</v>
      </c>
      <c r="O98" s="1">
        <f t="shared" ref="O98:O110" si="10">(L98-G98)</f>
        <v>85</v>
      </c>
      <c r="P98">
        <f>AVERAGE(Excel_jumia[Final Cleaned Price])</f>
        <v>1202.7777777777778</v>
      </c>
      <c r="Q98">
        <f>AVERAGE(Excel_jumia[Old Price Cleaned])</f>
        <v>1829.7685185185185</v>
      </c>
      <c r="R98">
        <f>AVERAGE(Excel_jumia[Discount Amount])</f>
        <v>621.2385321100918</v>
      </c>
      <c r="S98">
        <f>AVERAGE(Excel_jumia[[Ratings Cleaned ]])</f>
        <v>3.8894736842105266</v>
      </c>
      <c r="T98">
        <f>MAX(Excel_jumia[Final Cleaned Price])</f>
        <v>3750</v>
      </c>
      <c r="U98">
        <f>MIN(Excel_jumia[Final Cleaned Price])</f>
        <v>38</v>
      </c>
      <c r="V98" t="str">
        <f>_xlfn.XLOOKUP(MAX(Excel_jumia[Final Cleaned Price]), Excel_jumia[Final Cleaned Price], Excel_jumia[Product])</f>
        <v>32PCS Portable Cordless Drill Set With Cyclic Battery Drive -26 Variable Speed</v>
      </c>
      <c r="W98" t="str">
        <f>_xlfn.XLOOKUP(MIN(Excel_jumia[Final Cleaned Price]), Excel_jumia[Final Cleaned Price], Excel_jumia[Product])</f>
        <v>3PCS Single Head Knitting Crochet Sweater Needle Set</v>
      </c>
      <c r="X98" s="9">
        <f t="shared" ref="X98:X129" si="11">COUNTA(A98:A206)</f>
        <v>13</v>
      </c>
    </row>
    <row r="99" spans="1:24" x14ac:dyDescent="0.35">
      <c r="A99" t="s">
        <v>243</v>
      </c>
      <c r="B99" t="s">
        <v>244</v>
      </c>
      <c r="C99" t="s">
        <v>245</v>
      </c>
      <c r="D99">
        <v>0.04</v>
      </c>
      <c r="F99" t="s">
        <v>83</v>
      </c>
      <c r="G99">
        <v>1732</v>
      </c>
      <c r="H99">
        <v>0.04</v>
      </c>
      <c r="K99">
        <f t="shared" si="9"/>
        <v>15</v>
      </c>
      <c r="L99">
        <v>1799</v>
      </c>
      <c r="N99" t="s">
        <v>336</v>
      </c>
      <c r="O99" s="1">
        <f t="shared" si="10"/>
        <v>67</v>
      </c>
      <c r="P99">
        <f>AVERAGE(Excel_jumia[Final Cleaned Price])</f>
        <v>1202.7777777777778</v>
      </c>
      <c r="Q99">
        <f>AVERAGE(Excel_jumia[Old Price Cleaned])</f>
        <v>1829.7685185185185</v>
      </c>
      <c r="R99">
        <f>AVERAGE(Excel_jumia[Discount Amount])</f>
        <v>621.2385321100918</v>
      </c>
      <c r="S99">
        <f>AVERAGE(Excel_jumia[[Ratings Cleaned ]])</f>
        <v>3.8894736842105266</v>
      </c>
      <c r="T99">
        <f>MAX(Excel_jumia[Final Cleaned Price])</f>
        <v>3750</v>
      </c>
      <c r="U99">
        <f>MIN(Excel_jumia[Final Cleaned Price])</f>
        <v>38</v>
      </c>
      <c r="V99" t="str">
        <f>_xlfn.XLOOKUP(MAX(Excel_jumia[Final Cleaned Price]), Excel_jumia[Final Cleaned Price], Excel_jumia[Product])</f>
        <v>32PCS Portable Cordless Drill Set With Cyclic Battery Drive -26 Variable Speed</v>
      </c>
      <c r="W99" t="str">
        <f>_xlfn.XLOOKUP(MIN(Excel_jumia[Final Cleaned Price]), Excel_jumia[Final Cleaned Price], Excel_jumia[Product])</f>
        <v>3PCS Single Head Knitting Crochet Sweater Needle Set</v>
      </c>
      <c r="X99" s="9">
        <f t="shared" si="11"/>
        <v>12</v>
      </c>
    </row>
    <row r="100" spans="1:24" x14ac:dyDescent="0.35">
      <c r="A100" t="s">
        <v>309</v>
      </c>
      <c r="B100" t="s">
        <v>310</v>
      </c>
      <c r="C100" t="s">
        <v>311</v>
      </c>
      <c r="D100">
        <v>0.24</v>
      </c>
      <c r="F100" t="s">
        <v>83</v>
      </c>
      <c r="G100">
        <v>198</v>
      </c>
      <c r="H100">
        <v>0.24</v>
      </c>
      <c r="K100">
        <f t="shared" si="9"/>
        <v>15</v>
      </c>
      <c r="L100">
        <v>260</v>
      </c>
      <c r="N100" t="s">
        <v>333</v>
      </c>
      <c r="O100" s="1">
        <f t="shared" si="10"/>
        <v>62</v>
      </c>
      <c r="P100">
        <f>AVERAGE(Excel_jumia[Final Cleaned Price])</f>
        <v>1202.7777777777778</v>
      </c>
      <c r="Q100">
        <f>AVERAGE(Excel_jumia[Old Price Cleaned])</f>
        <v>1829.7685185185185</v>
      </c>
      <c r="R100">
        <f>AVERAGE(Excel_jumia[Discount Amount])</f>
        <v>621.2385321100918</v>
      </c>
      <c r="S100">
        <f>AVERAGE(Excel_jumia[[Ratings Cleaned ]])</f>
        <v>3.8894736842105266</v>
      </c>
      <c r="T100">
        <f>MAX(Excel_jumia[Final Cleaned Price])</f>
        <v>3750</v>
      </c>
      <c r="U100">
        <f>MIN(Excel_jumia[Final Cleaned Price])</f>
        <v>38</v>
      </c>
      <c r="V100" t="str">
        <f>_xlfn.XLOOKUP(MAX(Excel_jumia[Final Cleaned Price]), Excel_jumia[Final Cleaned Price], Excel_jumia[Product])</f>
        <v>32PCS Portable Cordless Drill Set With Cyclic Battery Drive -26 Variable Speed</v>
      </c>
      <c r="W100" t="str">
        <f>_xlfn.XLOOKUP(MIN(Excel_jumia[Final Cleaned Price]), Excel_jumia[Final Cleaned Price], Excel_jumia[Product])</f>
        <v>3PCS Single Head Knitting Crochet Sweater Needle Set</v>
      </c>
      <c r="X100" s="9">
        <f t="shared" si="11"/>
        <v>11</v>
      </c>
    </row>
    <row r="101" spans="1:24" x14ac:dyDescent="0.35">
      <c r="A101" t="s">
        <v>76</v>
      </c>
      <c r="B101" t="s">
        <v>77</v>
      </c>
      <c r="C101" t="s">
        <v>78</v>
      </c>
      <c r="D101">
        <v>0.53</v>
      </c>
      <c r="E101">
        <v>-13</v>
      </c>
      <c r="F101" t="s">
        <v>79</v>
      </c>
      <c r="G101">
        <v>38</v>
      </c>
      <c r="H101">
        <v>0.53</v>
      </c>
      <c r="I101">
        <v>3.3</v>
      </c>
      <c r="J101">
        <v>13</v>
      </c>
      <c r="K101">
        <f t="shared" si="9"/>
        <v>15</v>
      </c>
      <c r="L101">
        <v>80</v>
      </c>
      <c r="M101" t="s">
        <v>334</v>
      </c>
      <c r="N101" t="s">
        <v>335</v>
      </c>
      <c r="O101" s="1">
        <f t="shared" si="10"/>
        <v>42</v>
      </c>
      <c r="P101">
        <f>AVERAGE(Excel_jumia[Final Cleaned Price])</f>
        <v>1202.7777777777778</v>
      </c>
      <c r="Q101">
        <f>AVERAGE(Excel_jumia[Old Price Cleaned])</f>
        <v>1829.7685185185185</v>
      </c>
      <c r="R101">
        <f>AVERAGE(Excel_jumia[Discount Amount])</f>
        <v>621.2385321100918</v>
      </c>
      <c r="S101">
        <f>AVERAGE(Excel_jumia[[Ratings Cleaned ]])</f>
        <v>3.8894736842105266</v>
      </c>
      <c r="T101">
        <f>MAX(Excel_jumia[Final Cleaned Price])</f>
        <v>3750</v>
      </c>
      <c r="U101">
        <f>MIN(Excel_jumia[Final Cleaned Price])</f>
        <v>38</v>
      </c>
      <c r="V101" t="str">
        <f>_xlfn.XLOOKUP(MAX(Excel_jumia[Final Cleaned Price]), Excel_jumia[Final Cleaned Price], Excel_jumia[Product])</f>
        <v>32PCS Portable Cordless Drill Set With Cyclic Battery Drive -26 Variable Speed</v>
      </c>
      <c r="W101" t="str">
        <f>_xlfn.XLOOKUP(MIN(Excel_jumia[Final Cleaned Price]), Excel_jumia[Final Cleaned Price], Excel_jumia[Product])</f>
        <v>3PCS Single Head Knitting Crochet Sweater Needle Set</v>
      </c>
      <c r="X101" s="9">
        <f t="shared" si="11"/>
        <v>10</v>
      </c>
    </row>
    <row r="102" spans="1:24" x14ac:dyDescent="0.35">
      <c r="A102" t="s">
        <v>317</v>
      </c>
      <c r="B102" t="s">
        <v>318</v>
      </c>
      <c r="C102" t="s">
        <v>169</v>
      </c>
      <c r="D102">
        <v>0.02</v>
      </c>
      <c r="F102" t="s">
        <v>83</v>
      </c>
      <c r="G102">
        <v>1658</v>
      </c>
      <c r="H102">
        <v>0.02</v>
      </c>
      <c r="K102">
        <f t="shared" si="9"/>
        <v>2</v>
      </c>
      <c r="L102">
        <v>1699</v>
      </c>
      <c r="N102" t="s">
        <v>336</v>
      </c>
      <c r="O102" s="1">
        <f t="shared" si="10"/>
        <v>41</v>
      </c>
      <c r="P102">
        <f>AVERAGE(Excel_jumia[Final Cleaned Price])</f>
        <v>1202.7777777777778</v>
      </c>
      <c r="Q102">
        <f>AVERAGE(Excel_jumia[Old Price Cleaned])</f>
        <v>1829.7685185185185</v>
      </c>
      <c r="R102">
        <f>AVERAGE(Excel_jumia[Discount Amount])</f>
        <v>621.2385321100918</v>
      </c>
      <c r="S102">
        <f>AVERAGE(Excel_jumia[[Ratings Cleaned ]])</f>
        <v>3.8894736842105266</v>
      </c>
      <c r="T102">
        <f>MAX(Excel_jumia[Final Cleaned Price])</f>
        <v>3750</v>
      </c>
      <c r="U102">
        <f>MIN(Excel_jumia[Final Cleaned Price])</f>
        <v>38</v>
      </c>
      <c r="V102" t="str">
        <f>_xlfn.XLOOKUP(MAX(Excel_jumia[Final Cleaned Price]), Excel_jumia[Final Cleaned Price], Excel_jumia[Product])</f>
        <v>32PCS Portable Cordless Drill Set With Cyclic Battery Drive -26 Variable Speed</v>
      </c>
      <c r="W102" t="str">
        <f>_xlfn.XLOOKUP(MIN(Excel_jumia[Final Cleaned Price]), Excel_jumia[Final Cleaned Price], Excel_jumia[Product])</f>
        <v>3PCS Single Head Knitting Crochet Sweater Needle Set</v>
      </c>
      <c r="X102" s="9">
        <f t="shared" si="11"/>
        <v>9</v>
      </c>
    </row>
    <row r="103" spans="1:24" x14ac:dyDescent="0.35">
      <c r="A103" t="s">
        <v>172</v>
      </c>
      <c r="B103" t="s">
        <v>173</v>
      </c>
      <c r="C103" t="s">
        <v>174</v>
      </c>
      <c r="D103">
        <v>0.03</v>
      </c>
      <c r="F103" t="s">
        <v>83</v>
      </c>
      <c r="G103">
        <v>1459</v>
      </c>
      <c r="H103">
        <v>0.03</v>
      </c>
      <c r="K103">
        <f t="shared" si="9"/>
        <v>2</v>
      </c>
      <c r="L103">
        <v>1499</v>
      </c>
      <c r="N103" t="s">
        <v>336</v>
      </c>
      <c r="O103" s="1">
        <f t="shared" si="10"/>
        <v>40</v>
      </c>
      <c r="P103">
        <f>AVERAGE(Excel_jumia[Final Cleaned Price])</f>
        <v>1202.7777777777778</v>
      </c>
      <c r="Q103">
        <f>AVERAGE(Excel_jumia[Old Price Cleaned])</f>
        <v>1829.7685185185185</v>
      </c>
      <c r="R103">
        <f>AVERAGE(Excel_jumia[Discount Amount])</f>
        <v>621.2385321100918</v>
      </c>
      <c r="S103">
        <f>AVERAGE(Excel_jumia[[Ratings Cleaned ]])</f>
        <v>3.8894736842105266</v>
      </c>
      <c r="T103">
        <f>MAX(Excel_jumia[Final Cleaned Price])</f>
        <v>3750</v>
      </c>
      <c r="U103">
        <f>MIN(Excel_jumia[Final Cleaned Price])</f>
        <v>38</v>
      </c>
      <c r="V103" t="str">
        <f>_xlfn.XLOOKUP(MAX(Excel_jumia[Final Cleaned Price]), Excel_jumia[Final Cleaned Price], Excel_jumia[Product])</f>
        <v>32PCS Portable Cordless Drill Set With Cyclic Battery Drive -26 Variable Speed</v>
      </c>
      <c r="W103" t="str">
        <f>_xlfn.XLOOKUP(MIN(Excel_jumia[Final Cleaned Price]), Excel_jumia[Final Cleaned Price], Excel_jumia[Product])</f>
        <v>3PCS Single Head Knitting Crochet Sweater Needle Set</v>
      </c>
      <c r="X103" s="9">
        <f t="shared" si="11"/>
        <v>8</v>
      </c>
    </row>
    <row r="104" spans="1:24" x14ac:dyDescent="0.35">
      <c r="A104" t="s">
        <v>167</v>
      </c>
      <c r="B104" t="s">
        <v>168</v>
      </c>
      <c r="C104" t="s">
        <v>169</v>
      </c>
      <c r="D104">
        <v>0.02</v>
      </c>
      <c r="F104" t="s">
        <v>83</v>
      </c>
      <c r="G104">
        <v>1660</v>
      </c>
      <c r="H104">
        <v>0.02</v>
      </c>
      <c r="K104">
        <f t="shared" si="9"/>
        <v>2</v>
      </c>
      <c r="L104">
        <v>1699</v>
      </c>
      <c r="N104" t="s">
        <v>336</v>
      </c>
      <c r="O104" s="1">
        <f t="shared" si="10"/>
        <v>39</v>
      </c>
      <c r="P104">
        <f>AVERAGE(Excel_jumia[Final Cleaned Price])</f>
        <v>1202.7777777777778</v>
      </c>
      <c r="Q104">
        <f>AVERAGE(Excel_jumia[Old Price Cleaned])</f>
        <v>1829.7685185185185</v>
      </c>
      <c r="R104">
        <f>AVERAGE(Excel_jumia[Discount Amount])</f>
        <v>621.2385321100918</v>
      </c>
      <c r="S104">
        <f>AVERAGE(Excel_jumia[[Ratings Cleaned ]])</f>
        <v>3.8894736842105266</v>
      </c>
      <c r="T104">
        <f>MAX(Excel_jumia[Final Cleaned Price])</f>
        <v>3750</v>
      </c>
      <c r="U104">
        <f>MIN(Excel_jumia[Final Cleaned Price])</f>
        <v>38</v>
      </c>
      <c r="V104" t="str">
        <f>_xlfn.XLOOKUP(MAX(Excel_jumia[Final Cleaned Price]), Excel_jumia[Final Cleaned Price], Excel_jumia[Product])</f>
        <v>32PCS Portable Cordless Drill Set With Cyclic Battery Drive -26 Variable Speed</v>
      </c>
      <c r="W104" t="str">
        <f>_xlfn.XLOOKUP(MIN(Excel_jumia[Final Cleaned Price]), Excel_jumia[Final Cleaned Price], Excel_jumia[Product])</f>
        <v>3PCS Single Head Knitting Crochet Sweater Needle Set</v>
      </c>
      <c r="X104" s="9">
        <f t="shared" si="11"/>
        <v>7</v>
      </c>
    </row>
    <row r="105" spans="1:24" x14ac:dyDescent="0.35">
      <c r="A105" t="s">
        <v>147</v>
      </c>
      <c r="B105" t="s">
        <v>148</v>
      </c>
      <c r="C105" t="s">
        <v>149</v>
      </c>
      <c r="D105">
        <v>0.02</v>
      </c>
      <c r="F105" t="s">
        <v>83</v>
      </c>
      <c r="G105">
        <v>2132</v>
      </c>
      <c r="H105">
        <v>0.02</v>
      </c>
      <c r="K105">
        <f t="shared" si="9"/>
        <v>2</v>
      </c>
      <c r="L105">
        <v>2169</v>
      </c>
      <c r="N105" t="s">
        <v>336</v>
      </c>
      <c r="O105" s="1">
        <f t="shared" si="10"/>
        <v>37</v>
      </c>
      <c r="P105">
        <f>AVERAGE(Excel_jumia[Final Cleaned Price])</f>
        <v>1202.7777777777778</v>
      </c>
      <c r="Q105">
        <f>AVERAGE(Excel_jumia[Old Price Cleaned])</f>
        <v>1829.7685185185185</v>
      </c>
      <c r="R105">
        <f>AVERAGE(Excel_jumia[Discount Amount])</f>
        <v>621.2385321100918</v>
      </c>
      <c r="S105">
        <f>AVERAGE(Excel_jumia[[Ratings Cleaned ]])</f>
        <v>3.8894736842105266</v>
      </c>
      <c r="T105">
        <f>MAX(Excel_jumia[Final Cleaned Price])</f>
        <v>3750</v>
      </c>
      <c r="U105">
        <f>MIN(Excel_jumia[Final Cleaned Price])</f>
        <v>38</v>
      </c>
      <c r="V105" t="str">
        <f>_xlfn.XLOOKUP(MAX(Excel_jumia[Final Cleaned Price]), Excel_jumia[Final Cleaned Price], Excel_jumia[Product])</f>
        <v>32PCS Portable Cordless Drill Set With Cyclic Battery Drive -26 Variable Speed</v>
      </c>
      <c r="W105" t="str">
        <f>_xlfn.XLOOKUP(MIN(Excel_jumia[Final Cleaned Price]), Excel_jumia[Final Cleaned Price], Excel_jumia[Product])</f>
        <v>3PCS Single Head Knitting Crochet Sweater Needle Set</v>
      </c>
      <c r="X105" s="9">
        <f t="shared" si="11"/>
        <v>6</v>
      </c>
    </row>
    <row r="106" spans="1:24" x14ac:dyDescent="0.35">
      <c r="A106" t="s">
        <v>287</v>
      </c>
      <c r="B106" t="s">
        <v>288</v>
      </c>
      <c r="C106" t="s">
        <v>174</v>
      </c>
      <c r="D106">
        <v>0.02</v>
      </c>
      <c r="F106" t="s">
        <v>83</v>
      </c>
      <c r="G106">
        <v>1462</v>
      </c>
      <c r="H106">
        <v>0.02</v>
      </c>
      <c r="K106">
        <f t="shared" si="9"/>
        <v>2</v>
      </c>
      <c r="L106">
        <v>1499</v>
      </c>
      <c r="N106" t="s">
        <v>336</v>
      </c>
      <c r="O106" s="1">
        <f t="shared" si="10"/>
        <v>37</v>
      </c>
      <c r="P106">
        <f>AVERAGE(Excel_jumia[Final Cleaned Price])</f>
        <v>1202.7777777777778</v>
      </c>
      <c r="Q106">
        <f>AVERAGE(Excel_jumia[Old Price Cleaned])</f>
        <v>1829.7685185185185</v>
      </c>
      <c r="R106">
        <f>AVERAGE(Excel_jumia[Discount Amount])</f>
        <v>621.2385321100918</v>
      </c>
      <c r="S106">
        <f>AVERAGE(Excel_jumia[[Ratings Cleaned ]])</f>
        <v>3.8894736842105266</v>
      </c>
      <c r="T106">
        <f>MAX(Excel_jumia[Final Cleaned Price])</f>
        <v>3750</v>
      </c>
      <c r="U106">
        <f>MIN(Excel_jumia[Final Cleaned Price])</f>
        <v>38</v>
      </c>
      <c r="V106" t="str">
        <f>_xlfn.XLOOKUP(MAX(Excel_jumia[Final Cleaned Price]), Excel_jumia[Final Cleaned Price], Excel_jumia[Product])</f>
        <v>32PCS Portable Cordless Drill Set With Cyclic Battery Drive -26 Variable Speed</v>
      </c>
      <c r="W106" t="str">
        <f>_xlfn.XLOOKUP(MIN(Excel_jumia[Final Cleaned Price]), Excel_jumia[Final Cleaned Price], Excel_jumia[Product])</f>
        <v>3PCS Single Head Knitting Crochet Sweater Needle Set</v>
      </c>
      <c r="X106" s="9">
        <f t="shared" si="11"/>
        <v>5</v>
      </c>
    </row>
    <row r="107" spans="1:24" x14ac:dyDescent="0.35">
      <c r="A107" t="s">
        <v>258</v>
      </c>
      <c r="B107" t="s">
        <v>259</v>
      </c>
      <c r="C107" t="s">
        <v>169</v>
      </c>
      <c r="D107">
        <v>0.02</v>
      </c>
      <c r="F107" t="s">
        <v>83</v>
      </c>
      <c r="G107">
        <v>1666</v>
      </c>
      <c r="H107">
        <v>0.02</v>
      </c>
      <c r="K107">
        <f t="shared" si="9"/>
        <v>2</v>
      </c>
      <c r="L107">
        <v>1699</v>
      </c>
      <c r="N107" t="s">
        <v>336</v>
      </c>
      <c r="O107" s="1">
        <f t="shared" si="10"/>
        <v>33</v>
      </c>
      <c r="P107">
        <f>AVERAGE(Excel_jumia[Final Cleaned Price])</f>
        <v>1202.7777777777778</v>
      </c>
      <c r="Q107">
        <f>AVERAGE(Excel_jumia[Old Price Cleaned])</f>
        <v>1829.7685185185185</v>
      </c>
      <c r="R107">
        <f>AVERAGE(Excel_jumia[Discount Amount])</f>
        <v>621.2385321100918</v>
      </c>
      <c r="S107">
        <f>AVERAGE(Excel_jumia[[Ratings Cleaned ]])</f>
        <v>3.8894736842105266</v>
      </c>
      <c r="T107">
        <f>MAX(Excel_jumia[Final Cleaned Price])</f>
        <v>3750</v>
      </c>
      <c r="U107">
        <f>MIN(Excel_jumia[Final Cleaned Price])</f>
        <v>38</v>
      </c>
      <c r="V107" t="str">
        <f>_xlfn.XLOOKUP(MAX(Excel_jumia[Final Cleaned Price]), Excel_jumia[Final Cleaned Price], Excel_jumia[Product])</f>
        <v>32PCS Portable Cordless Drill Set With Cyclic Battery Drive -26 Variable Speed</v>
      </c>
      <c r="W107" t="str">
        <f>_xlfn.XLOOKUP(MIN(Excel_jumia[Final Cleaned Price]), Excel_jumia[Final Cleaned Price], Excel_jumia[Product])</f>
        <v>3PCS Single Head Knitting Crochet Sweater Needle Set</v>
      </c>
      <c r="X107" s="9">
        <f t="shared" si="11"/>
        <v>4</v>
      </c>
    </row>
    <row r="108" spans="1:24" x14ac:dyDescent="0.35">
      <c r="A108" t="s">
        <v>319</v>
      </c>
      <c r="B108" t="s">
        <v>320</v>
      </c>
      <c r="C108" t="s">
        <v>245</v>
      </c>
      <c r="D108">
        <v>0.02</v>
      </c>
      <c r="F108" t="s">
        <v>83</v>
      </c>
      <c r="G108">
        <v>1768</v>
      </c>
      <c r="H108">
        <v>0.02</v>
      </c>
      <c r="K108">
        <f t="shared" si="9"/>
        <v>2</v>
      </c>
      <c r="L108">
        <v>1799</v>
      </c>
      <c r="N108" t="s">
        <v>336</v>
      </c>
      <c r="O108" s="1">
        <f t="shared" si="10"/>
        <v>31</v>
      </c>
      <c r="P108">
        <f>AVERAGE(Excel_jumia[Final Cleaned Price])</f>
        <v>1202.7777777777778</v>
      </c>
      <c r="Q108">
        <f>AVERAGE(Excel_jumia[Old Price Cleaned])</f>
        <v>1829.7685185185185</v>
      </c>
      <c r="R108">
        <f>AVERAGE(Excel_jumia[Discount Amount])</f>
        <v>621.2385321100918</v>
      </c>
      <c r="S108">
        <f>AVERAGE(Excel_jumia[[Ratings Cleaned ]])</f>
        <v>3.8894736842105266</v>
      </c>
      <c r="T108">
        <f>MAX(Excel_jumia[Final Cleaned Price])</f>
        <v>3750</v>
      </c>
      <c r="U108">
        <f>MIN(Excel_jumia[Final Cleaned Price])</f>
        <v>38</v>
      </c>
      <c r="V108" t="str">
        <f>_xlfn.XLOOKUP(MAX(Excel_jumia[Final Cleaned Price]), Excel_jumia[Final Cleaned Price], Excel_jumia[Product])</f>
        <v>32PCS Portable Cordless Drill Set With Cyclic Battery Drive -26 Variable Speed</v>
      </c>
      <c r="W108" t="str">
        <f>_xlfn.XLOOKUP(MIN(Excel_jumia[Final Cleaned Price]), Excel_jumia[Final Cleaned Price], Excel_jumia[Product])</f>
        <v>3PCS Single Head Knitting Crochet Sweater Needle Set</v>
      </c>
      <c r="X108" s="9">
        <f t="shared" si="11"/>
        <v>3</v>
      </c>
    </row>
    <row r="109" spans="1:24" x14ac:dyDescent="0.35">
      <c r="A109" t="s">
        <v>306</v>
      </c>
      <c r="B109" t="s">
        <v>307</v>
      </c>
      <c r="C109" t="s">
        <v>308</v>
      </c>
      <c r="D109">
        <v>0.01</v>
      </c>
      <c r="F109" t="s">
        <v>83</v>
      </c>
      <c r="G109">
        <v>1875</v>
      </c>
      <c r="H109">
        <v>0.01</v>
      </c>
      <c r="K109">
        <f t="shared" si="9"/>
        <v>2</v>
      </c>
      <c r="L109">
        <v>1899</v>
      </c>
      <c r="N109" t="s">
        <v>336</v>
      </c>
      <c r="O109" s="1">
        <f t="shared" si="10"/>
        <v>24</v>
      </c>
      <c r="P109">
        <f>AVERAGE(Excel_jumia[Final Cleaned Price])</f>
        <v>1202.7777777777778</v>
      </c>
      <c r="Q109">
        <f>AVERAGE(Excel_jumia[Old Price Cleaned])</f>
        <v>1829.7685185185185</v>
      </c>
      <c r="R109">
        <f>AVERAGE(Excel_jumia[Discount Amount])</f>
        <v>621.2385321100918</v>
      </c>
      <c r="S109">
        <f>AVERAGE(Excel_jumia[[Ratings Cleaned ]])</f>
        <v>3.8894736842105266</v>
      </c>
      <c r="T109">
        <f>MAX(Excel_jumia[Final Cleaned Price])</f>
        <v>3750</v>
      </c>
      <c r="U109">
        <f>MIN(Excel_jumia[Final Cleaned Price])</f>
        <v>38</v>
      </c>
      <c r="V109" t="str">
        <f>_xlfn.XLOOKUP(MAX(Excel_jumia[Final Cleaned Price]), Excel_jumia[Final Cleaned Price], Excel_jumia[Product])</f>
        <v>32PCS Portable Cordless Drill Set With Cyclic Battery Drive -26 Variable Speed</v>
      </c>
      <c r="W109" t="str">
        <f>_xlfn.XLOOKUP(MIN(Excel_jumia[Final Cleaned Price]), Excel_jumia[Final Cleaned Price], Excel_jumia[Product])</f>
        <v>3PCS Single Head Knitting Crochet Sweater Needle Set</v>
      </c>
      <c r="X109" s="9">
        <f t="shared" si="11"/>
        <v>2</v>
      </c>
    </row>
    <row r="110" spans="1:24" x14ac:dyDescent="0.35">
      <c r="A110" t="s">
        <v>132</v>
      </c>
      <c r="B110" t="s">
        <v>133</v>
      </c>
      <c r="C110" t="s">
        <v>134</v>
      </c>
      <c r="D110">
        <v>0.38</v>
      </c>
      <c r="E110">
        <v>-2</v>
      </c>
      <c r="F110" t="s">
        <v>13</v>
      </c>
      <c r="H110">
        <v>0.38</v>
      </c>
      <c r="I110">
        <v>4.5</v>
      </c>
      <c r="J110">
        <v>2</v>
      </c>
      <c r="K110">
        <f t="shared" si="9"/>
        <v>2</v>
      </c>
      <c r="M110" t="s">
        <v>332</v>
      </c>
      <c r="N110" t="s">
        <v>333</v>
      </c>
      <c r="O110" s="1">
        <f t="shared" si="10"/>
        <v>0</v>
      </c>
      <c r="P110">
        <f>AVERAGE(Excel_jumia[Final Cleaned Price])</f>
        <v>1202.7777777777778</v>
      </c>
      <c r="Q110">
        <f>AVERAGE(Excel_jumia[Old Price Cleaned])</f>
        <v>1829.7685185185185</v>
      </c>
      <c r="R110">
        <f>AVERAGE(Excel_jumia[Discount Amount])</f>
        <v>621.2385321100918</v>
      </c>
      <c r="S110">
        <f>AVERAGE(Excel_jumia[[Ratings Cleaned ]])</f>
        <v>3.8894736842105266</v>
      </c>
      <c r="T110">
        <f>MAX(Excel_jumia[Final Cleaned Price])</f>
        <v>3750</v>
      </c>
      <c r="U110">
        <f>MIN(Excel_jumia[Final Cleaned Price])</f>
        <v>38</v>
      </c>
      <c r="V110" t="str">
        <f>_xlfn.XLOOKUP(MAX(Excel_jumia[Final Cleaned Price]), Excel_jumia[Final Cleaned Price], Excel_jumia[Product])</f>
        <v>32PCS Portable Cordless Drill Set With Cyclic Battery Drive -26 Variable Speed</v>
      </c>
      <c r="W110" t="str">
        <f>_xlfn.XLOOKUP(MIN(Excel_jumia[Final Cleaned Price]), Excel_jumia[Final Cleaned Price], Excel_jumia[Product])</f>
        <v>3PCS Single Head Knitting Crochet Sweater Needle Set</v>
      </c>
      <c r="X110" s="9">
        <f t="shared" si="11"/>
        <v>1</v>
      </c>
    </row>
    <row r="131" spans="3:11" ht="58" x14ac:dyDescent="0.35">
      <c r="C131" s="7" t="s">
        <v>356</v>
      </c>
      <c r="J131" s="8" t="s">
        <v>357</v>
      </c>
      <c r="K131" s="8"/>
    </row>
    <row r="133" spans="3:11" x14ac:dyDescent="0.35">
      <c r="C133" s="5" t="s">
        <v>358</v>
      </c>
    </row>
    <row r="134" spans="3:11" x14ac:dyDescent="0.35">
      <c r="C134">
        <f>COUNTA(Excel_jumia[Product])</f>
        <v>109</v>
      </c>
    </row>
    <row r="135" spans="3:11" x14ac:dyDescent="0.35">
      <c r="C135" s="5" t="s">
        <v>359</v>
      </c>
    </row>
    <row r="136" spans="3:11" x14ac:dyDescent="0.35">
      <c r="C136">
        <f>AVERAGE(Excel_jumia[[Ratings Cleaned ]])</f>
        <v>3.8894736842105266</v>
      </c>
    </row>
    <row r="137" spans="3:11" x14ac:dyDescent="0.35">
      <c r="C137" s="5" t="s">
        <v>360</v>
      </c>
    </row>
    <row r="138" spans="3:11" x14ac:dyDescent="0.35">
      <c r="C138">
        <f>AVERAGE(Excel_jumia[Discount Cleaned])</f>
        <v>0.36385321100917445</v>
      </c>
    </row>
    <row r="139" spans="3:11" x14ac:dyDescent="0.35">
      <c r="C139" s="5" t="s">
        <v>361</v>
      </c>
    </row>
    <row r="140" spans="3:11" x14ac:dyDescent="0.35">
      <c r="C140">
        <f>SUM(Excel_jumia[Positive Review])</f>
        <v>723</v>
      </c>
    </row>
  </sheetData>
  <phoneticPr fontId="1" type="noConversion"/>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17710C-C44B-4BFC-82BC-D88103019D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Average Rating and Discount by </vt:lpstr>
      <vt:lpstr>Distribution Across Rating Cate</vt:lpstr>
      <vt:lpstr>Higher Discounts Lead to Increa</vt:lpstr>
      <vt:lpstr>Higher-Rated Products </vt:lpstr>
      <vt:lpstr>DashBoard</vt:lpstr>
      <vt:lpstr>Excel_jumia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Jaleny</dc:creator>
  <cp:lastModifiedBy>Francis Jaleny</cp:lastModifiedBy>
  <dcterms:created xsi:type="dcterms:W3CDTF">2026-01-31T08:11:00Z</dcterms:created>
  <dcterms:modified xsi:type="dcterms:W3CDTF">2026-02-03T15:27:32Z</dcterms:modified>
</cp:coreProperties>
</file>